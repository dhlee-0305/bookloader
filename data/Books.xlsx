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s\workspace_python\bookloader\data\"/>
    </mc:Choice>
  </mc:AlternateContent>
  <xr:revisionPtr revIDLastSave="0" documentId="13_ncr:1_{26FDFE14-2837-4097-9ADE-9BE85D386F4A}" xr6:coauthVersionLast="47" xr6:coauthVersionMax="47" xr10:uidLastSave="{00000000-0000-0000-0000-000000000000}"/>
  <bookViews>
    <workbookView xWindow="6495" yWindow="1245" windowWidth="21600" windowHeight="12960" xr2:uid="{00000000-000D-0000-FFFF-FFFF00000000}"/>
  </bookViews>
  <sheets>
    <sheet name="도서목록" sheetId="1" r:id="rId1"/>
    <sheet name="IT서적" sheetId="2" r:id="rId2"/>
    <sheet name="통계" sheetId="3" r:id="rId3"/>
    <sheet name="독서목록" sheetId="4" r:id="rId4"/>
    <sheet name="보류목록" sheetId="5" r:id="rId5"/>
  </sheets>
  <definedNames>
    <definedName name="_xlnm._FilterDatabase" localSheetId="1" hidden="1">IT서적!$B$2:$G$68</definedName>
    <definedName name="_xlnm._FilterDatabase" localSheetId="0" hidden="1">도서목록!$B$2:$H$573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3" l="1"/>
  <c r="C31" i="3"/>
  <c r="D20" i="3"/>
  <c r="C20" i="3"/>
  <c r="E20" i="3" s="1"/>
  <c r="D19" i="3"/>
  <c r="C19" i="3"/>
  <c r="E19" i="3" s="1"/>
  <c r="D18" i="3"/>
  <c r="C18" i="3"/>
  <c r="E18" i="3" s="1"/>
  <c r="D17" i="3"/>
  <c r="C17" i="3"/>
  <c r="E17" i="3" s="1"/>
  <c r="D16" i="3"/>
  <c r="E16" i="3" s="1"/>
  <c r="C16" i="3"/>
  <c r="B6" i="3"/>
  <c r="B7" i="3" s="1"/>
  <c r="D5" i="3"/>
  <c r="C5" i="3"/>
  <c r="E5" i="3" s="1"/>
  <c r="B5" i="3"/>
  <c r="D4" i="3"/>
  <c r="C4" i="3"/>
  <c r="E4" i="3" s="1"/>
  <c r="D3" i="3"/>
  <c r="C3" i="3"/>
  <c r="J573" i="1"/>
  <c r="F573" i="1"/>
  <c r="E573" i="1"/>
  <c r="J572" i="1"/>
  <c r="F572" i="1"/>
  <c r="E572" i="1"/>
  <c r="J571" i="1"/>
  <c r="F571" i="1"/>
  <c r="E571" i="1"/>
  <c r="J570" i="1"/>
  <c r="F570" i="1"/>
  <c r="E570" i="1"/>
  <c r="J569" i="1"/>
  <c r="F569" i="1"/>
  <c r="E569" i="1"/>
  <c r="J568" i="1"/>
  <c r="F568" i="1"/>
  <c r="E568" i="1"/>
  <c r="J567" i="1"/>
  <c r="F567" i="1"/>
  <c r="E567" i="1"/>
  <c r="J566" i="1"/>
  <c r="F566" i="1"/>
  <c r="E566" i="1"/>
  <c r="J565" i="1"/>
  <c r="F565" i="1"/>
  <c r="E565" i="1"/>
  <c r="J564" i="1"/>
  <c r="F564" i="1"/>
  <c r="E564" i="1"/>
  <c r="J563" i="1"/>
  <c r="F563" i="1"/>
  <c r="E563" i="1"/>
  <c r="J562" i="1"/>
  <c r="F562" i="1"/>
  <c r="E562" i="1"/>
  <c r="J561" i="1"/>
  <c r="F561" i="1"/>
  <c r="E561" i="1"/>
  <c r="J560" i="1"/>
  <c r="F560" i="1"/>
  <c r="E560" i="1"/>
  <c r="J559" i="1"/>
  <c r="F559" i="1"/>
  <c r="E559" i="1"/>
  <c r="J558" i="1"/>
  <c r="F558" i="1"/>
  <c r="E558" i="1"/>
  <c r="J557" i="1"/>
  <c r="F557" i="1"/>
  <c r="E557" i="1"/>
  <c r="J556" i="1"/>
  <c r="F556" i="1"/>
  <c r="E556" i="1"/>
  <c r="J555" i="1"/>
  <c r="F555" i="1"/>
  <c r="E555" i="1"/>
  <c r="J554" i="1"/>
  <c r="F554" i="1"/>
  <c r="E554" i="1"/>
  <c r="J553" i="1"/>
  <c r="F553" i="1"/>
  <c r="E553" i="1"/>
  <c r="J552" i="1"/>
  <c r="F552" i="1"/>
  <c r="E552" i="1"/>
  <c r="J551" i="1"/>
  <c r="F551" i="1"/>
  <c r="E551" i="1"/>
  <c r="J550" i="1"/>
  <c r="F550" i="1"/>
  <c r="E550" i="1"/>
  <c r="J549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I1" i="1"/>
  <c r="H1" i="1"/>
  <c r="B1" i="1"/>
  <c r="C30" i="3" s="1"/>
  <c r="E28" i="3" l="1"/>
  <c r="D27" i="3"/>
  <c r="F1" i="1"/>
  <c r="F2" i="1" s="1"/>
  <c r="E1" i="1"/>
  <c r="E2" i="1" s="1"/>
  <c r="C33" i="3"/>
  <c r="D7" i="3"/>
  <c r="C7" i="3"/>
  <c r="E7" i="3" s="1"/>
  <c r="B8" i="3"/>
  <c r="E3" i="3"/>
  <c r="C26" i="3"/>
  <c r="D26" i="3"/>
  <c r="E26" i="3"/>
  <c r="C27" i="3"/>
  <c r="E27" i="3"/>
  <c r="C6" i="3"/>
  <c r="E6" i="3" s="1"/>
  <c r="D6" i="3"/>
  <c r="D28" i="3" l="1"/>
  <c r="C28" i="3"/>
  <c r="B9" i="3"/>
  <c r="D8" i="3"/>
  <c r="C8" i="3"/>
  <c r="E8" i="3" s="1"/>
  <c r="B10" i="3" l="1"/>
  <c r="D9" i="3"/>
  <c r="C9" i="3"/>
  <c r="E9" i="3" s="1"/>
  <c r="B11" i="3" l="1"/>
  <c r="D10" i="3"/>
  <c r="C10" i="3"/>
  <c r="E10" i="3" s="1"/>
  <c r="B12" i="3" l="1"/>
  <c r="D11" i="3"/>
  <c r="C11" i="3"/>
  <c r="E11" i="3" s="1"/>
  <c r="B13" i="3" l="1"/>
  <c r="D12" i="3"/>
  <c r="C12" i="3"/>
  <c r="E12" i="3" s="1"/>
  <c r="C13" i="3" l="1"/>
  <c r="E13" i="3" s="1"/>
  <c r="B14" i="3"/>
  <c r="D13" i="3"/>
  <c r="B15" i="3" l="1"/>
  <c r="D14" i="3"/>
  <c r="C14" i="3"/>
  <c r="E14" i="3" s="1"/>
  <c r="D15" i="3" l="1"/>
  <c r="C15" i="3"/>
  <c r="E15" i="3" l="1"/>
  <c r="E22" i="3" s="1"/>
  <c r="C23" i="3"/>
  <c r="C22" i="3"/>
  <c r="D23" i="3"/>
  <c r="D22" i="3"/>
  <c r="E23" i="3" l="1"/>
</calcChain>
</file>

<file path=xl/sharedStrings.xml><?xml version="1.0" encoding="utf-8"?>
<sst xmlns="http://schemas.openxmlformats.org/spreadsheetml/2006/main" count="4443" uniqueCount="1657">
  <si>
    <t>BOOKS</t>
  </si>
  <si>
    <t>작가</t>
  </si>
  <si>
    <t>출판사</t>
  </si>
  <si>
    <t>구입 날짜</t>
  </si>
  <si>
    <t>기부/판매월</t>
  </si>
  <si>
    <t>내 이름은 빨강1</t>
  </si>
  <si>
    <t>오르한 파묵</t>
  </si>
  <si>
    <t>민음사</t>
  </si>
  <si>
    <t>2026.04.03</t>
  </si>
  <si>
    <t>내 이름은 빨강2</t>
  </si>
  <si>
    <t>빛이 이끄는 곳으로</t>
  </si>
  <si>
    <t>백희성</t>
  </si>
  <si>
    <t>북로망스</t>
  </si>
  <si>
    <t>킬리만조로의 눈</t>
  </si>
  <si>
    <t>어니스트 헤밍웨이</t>
  </si>
  <si>
    <t>문학동네</t>
  </si>
  <si>
    <t>모순</t>
  </si>
  <si>
    <t>양귀자</t>
  </si>
  <si>
    <t>쓰다</t>
  </si>
  <si>
    <t>2026. 03.03</t>
  </si>
  <si>
    <t>쓰는 사람</t>
  </si>
  <si>
    <t>교보문고</t>
  </si>
  <si>
    <t>어떻게 지내요</t>
  </si>
  <si>
    <t>시그리드 누네즈</t>
  </si>
  <si>
    <t>엘리</t>
  </si>
  <si>
    <t>자기만의 방</t>
  </si>
  <si>
    <t>버지니아 울프</t>
  </si>
  <si>
    <t>열림책들</t>
  </si>
  <si>
    <t>괴테는 모든 것을 말했다</t>
  </si>
  <si>
    <t>스즈키 유이</t>
  </si>
  <si>
    <t>리프</t>
  </si>
  <si>
    <t>2026.02.02</t>
  </si>
  <si>
    <t>안녕이라 그랬어</t>
  </si>
  <si>
    <t>김애란</t>
  </si>
  <si>
    <t>편안함의 습</t>
  </si>
  <si>
    <t>마이클 이스터</t>
  </si>
  <si>
    <t>수오서재</t>
  </si>
  <si>
    <t>넥서스</t>
  </si>
  <si>
    <t>유발 하라리</t>
  </si>
  <si>
    <t>김영사</t>
  </si>
  <si>
    <t>2026.01.05</t>
  </si>
  <si>
    <t>물고기는 존재하지 않는다</t>
  </si>
  <si>
    <t>룰루 밀러</t>
  </si>
  <si>
    <t>곰출판</t>
  </si>
  <si>
    <t>방금 떠나온 세계</t>
  </si>
  <si>
    <t>김초엽</t>
  </si>
  <si>
    <t>한겨레출판</t>
  </si>
  <si>
    <t>아버지의 해방일지</t>
  </si>
  <si>
    <t>정지아</t>
  </si>
  <si>
    <t>창비</t>
  </si>
  <si>
    <t>2025.12.02</t>
  </si>
  <si>
    <t>하얼빈</t>
  </si>
  <si>
    <t>김훈</t>
  </si>
  <si>
    <t>흐르는 강물처럼-셀리 리드</t>
  </si>
  <si>
    <t>셀리 리드</t>
  </si>
  <si>
    <t>다산책방</t>
  </si>
  <si>
    <t>YES를 이끌어내는 협상법</t>
  </si>
  <si>
    <t>로저 피셔, 윌리엄 유리, 브루스 패튼</t>
  </si>
  <si>
    <t>장락</t>
  </si>
  <si>
    <t>2025.11.03</t>
  </si>
  <si>
    <t>허브 코헨의 협상의 기술 1</t>
  </si>
  <si>
    <t>허브 코헨</t>
  </si>
  <si>
    <t>천천히 다정하게</t>
  </si>
  <si>
    <t>박웅현</t>
  </si>
  <si>
    <t>인티앤</t>
  </si>
  <si>
    <t>2025.10.10</t>
  </si>
  <si>
    <t>위버멘쉬</t>
  </si>
  <si>
    <t>프리드리히 니체</t>
  </si>
  <si>
    <t>떠오름</t>
  </si>
  <si>
    <t>빌 캠벨, 실리콘밸리의 위대한 코치</t>
  </si>
  <si>
    <t>에릭 슈미트,조너선 로젠버그,앨런 이글</t>
  </si>
  <si>
    <t>100세 할머니 약국</t>
  </si>
  <si>
    <t>히루마 에이코</t>
  </si>
  <si>
    <t>월마</t>
  </si>
  <si>
    <t>2025.09.03</t>
  </si>
  <si>
    <t>기부</t>
  </si>
  <si>
    <t>우리가 빛의 속도로 갈 수 없다면</t>
  </si>
  <si>
    <t>허블</t>
  </si>
  <si>
    <t>팩트풀니스</t>
  </si>
  <si>
    <t>한스 로슬링</t>
  </si>
  <si>
    <t>투명사회</t>
  </si>
  <si>
    <t>한병철</t>
  </si>
  <si>
    <t>문학과지성사</t>
  </si>
  <si>
    <t>2025.08.07</t>
  </si>
  <si>
    <t>우리는 어떻게 마음을 움직이는가</t>
  </si>
  <si>
    <r>
      <rPr>
        <sz val="9"/>
        <color rgb="FF000000"/>
        <rFont val="맑은 고딕"/>
        <family val="3"/>
        <charset val="129"/>
      </rPr>
      <t>크리스 보스</t>
    </r>
    <r>
      <rPr>
        <sz val="9"/>
        <color rgb="FF000000"/>
        <rFont val="맑은 고딕"/>
        <family val="3"/>
        <charset val="129"/>
      </rPr>
      <t>,</t>
    </r>
    <r>
      <rPr>
        <sz val="11"/>
        <color rgb="FF000000"/>
        <rFont val="Arial"/>
        <family val="2"/>
      </rPr>
      <t>탈 라즈</t>
    </r>
  </si>
  <si>
    <t>프롬북스</t>
  </si>
  <si>
    <t>그거 사전</t>
  </si>
  <si>
    <t>홍성윤</t>
  </si>
  <si>
    <t>인플루엔셜</t>
  </si>
  <si>
    <t>2025.07.07</t>
  </si>
  <si>
    <t>싱크 어게인</t>
  </si>
  <si>
    <t>애덤 그랜트</t>
  </si>
  <si>
    <t>한국경제신문</t>
  </si>
  <si>
    <t>일의 감각</t>
  </si>
  <si>
    <t>조수용</t>
  </si>
  <si>
    <t>B Media Company</t>
  </si>
  <si>
    <t>맡겨진 소녀</t>
  </si>
  <si>
    <t>클레어 키건</t>
  </si>
  <si>
    <t>2025.05.08</t>
  </si>
  <si>
    <t>예술 도둑</t>
  </si>
  <si>
    <t>마이클 핀클</t>
  </si>
  <si>
    <t>생각의힘</t>
  </si>
  <si>
    <t>팀워크의 부활</t>
  </si>
  <si>
    <t>페트릭 렌시오니</t>
  </si>
  <si>
    <t>위즈덤하우스</t>
  </si>
  <si>
    <t>단어가 품은 세계</t>
  </si>
  <si>
    <t>황선엽</t>
  </si>
  <si>
    <t>빛의서가</t>
  </si>
  <si>
    <t>2025.03.07</t>
  </si>
  <si>
    <t>데미안(오리지널 초판본 디자인)</t>
  </si>
  <si>
    <t>헤르만 헤세</t>
  </si>
  <si>
    <t>코너스톤</t>
  </si>
  <si>
    <t>무기력이 무기력해지도록</t>
  </si>
  <si>
    <t>한창수</t>
  </si>
  <si>
    <t>알에이치코리아</t>
  </si>
  <si>
    <t>불안 - 개정판</t>
  </si>
  <si>
    <t>알랭드 보통</t>
  </si>
  <si>
    <t>은행나무</t>
  </si>
  <si>
    <t>초역 부처의 말</t>
  </si>
  <si>
    <t>코이케 류노스케</t>
  </si>
  <si>
    <t>포레스트북스</t>
  </si>
  <si>
    <t>2025.02.06</t>
  </si>
  <si>
    <t>THICK data</t>
  </si>
  <si>
    <t>백영재</t>
  </si>
  <si>
    <t>테라코타</t>
  </si>
  <si>
    <t>2025.01.07</t>
  </si>
  <si>
    <t>새들이 남쪽으로 가는 날</t>
  </si>
  <si>
    <t>리사 리드센</t>
  </si>
  <si>
    <t>북파머스</t>
  </si>
  <si>
    <t>희랍어 시간</t>
  </si>
  <si>
    <t>한강</t>
  </si>
  <si>
    <t>2024.12.02</t>
  </si>
  <si>
    <t>마음의 기술</t>
  </si>
  <si>
    <t>안 엘렌 클레르, 뱅상 트리부</t>
  </si>
  <si>
    <t>상상스퀘어</t>
  </si>
  <si>
    <t>소년이 온다</t>
  </si>
  <si>
    <t>2024.11.06</t>
  </si>
  <si>
    <t>작별하지 않는다</t>
  </si>
  <si>
    <t>채식주의자</t>
  </si>
  <si>
    <t>흰</t>
  </si>
  <si>
    <t>면도날</t>
  </si>
  <si>
    <t>서머싯 몸</t>
  </si>
  <si>
    <t>2024.10.11</t>
  </si>
  <si>
    <t>피구왕 서영</t>
  </si>
  <si>
    <t>황유미</t>
  </si>
  <si>
    <t>빌리버튼</t>
  </si>
  <si>
    <t>2024.09.18</t>
  </si>
  <si>
    <t>누구나 킥이 필요한 순간이 있다</t>
  </si>
  <si>
    <t>도제희</t>
  </si>
  <si>
    <t>위즈뎀하우스</t>
  </si>
  <si>
    <t>푸른 들판을 걷다</t>
  </si>
  <si>
    <t>클래어 키건</t>
  </si>
  <si>
    <t>2024.09.09</t>
  </si>
  <si>
    <t>프랭클린 익스프레스</t>
  </si>
  <si>
    <t>에릭 와이너</t>
  </si>
  <si>
    <t>어크로스</t>
  </si>
  <si>
    <t>하늘과 땅 식료품점</t>
  </si>
  <si>
    <t>제임스 맥브라이드</t>
  </si>
  <si>
    <t>미래지향</t>
  </si>
  <si>
    <t>감정의 이해</t>
  </si>
  <si>
    <t>엠마 햅번</t>
  </si>
  <si>
    <t>2024.08.13</t>
  </si>
  <si>
    <t>비 그친 오후의 헌책방</t>
  </si>
  <si>
    <t>아가사와 사토시</t>
  </si>
  <si>
    <t>저속노화 식사법</t>
  </si>
  <si>
    <t>정희원</t>
  </si>
  <si>
    <t>테이스트북스</t>
  </si>
  <si>
    <t>채링크로스 84번지</t>
  </si>
  <si>
    <t>헬렌 한프</t>
  </si>
  <si>
    <t>궁리</t>
  </si>
  <si>
    <t>글렌 굴드, 피아노 솔로</t>
  </si>
  <si>
    <t>미셀 슈나이더</t>
  </si>
  <si>
    <t>동문선</t>
  </si>
  <si>
    <t>2024.07.04</t>
  </si>
  <si>
    <t>아직도 악어와 악어새 이야기를 믿어?</t>
  </si>
  <si>
    <t>이하늬</t>
  </si>
  <si>
    <t>스테이블</t>
  </si>
  <si>
    <t>녹나무의 여신</t>
  </si>
  <si>
    <t>히가시노 게이고</t>
  </si>
  <si>
    <t>소미미디어</t>
  </si>
  <si>
    <t>2024.06.04</t>
  </si>
  <si>
    <t>평가보다 피드백</t>
  </si>
  <si>
    <t>백종화</t>
  </si>
  <si>
    <t>중앙북스</t>
  </si>
  <si>
    <t>맛있게, 저염식</t>
  </si>
  <si>
    <t>윤세경</t>
  </si>
  <si>
    <t>아퍼블리싱</t>
  </si>
  <si>
    <t>그랜드 부다페스트 호텔</t>
  </si>
  <si>
    <t>웨스 앤더슨</t>
  </si>
  <si>
    <t>윌북</t>
  </si>
  <si>
    <t>2024.05.11</t>
  </si>
  <si>
    <t>아웃라이어</t>
  </si>
  <si>
    <t>말콤 글래드웰</t>
  </si>
  <si>
    <t>나를 부르는 숲</t>
  </si>
  <si>
    <t>빌 브라이슨</t>
  </si>
  <si>
    <t>까치</t>
  </si>
  <si>
    <t>2024.03.04</t>
  </si>
  <si>
    <t>죽음의 수용소에서</t>
  </si>
  <si>
    <t>빅터 프랭클</t>
  </si>
  <si>
    <t>청아출판사</t>
  </si>
  <si>
    <t>그냥 하지 말라</t>
  </si>
  <si>
    <t>송길영</t>
  </si>
  <si>
    <t>북스톤</t>
  </si>
  <si>
    <t>쏟아지는 일 완벽하게 해내는 법</t>
  </si>
  <si>
    <t>데이비드 앨런</t>
  </si>
  <si>
    <t>딥 워크</t>
  </si>
  <si>
    <t>칼 뉴포트</t>
  </si>
  <si>
    <t>2024.02.16</t>
  </si>
  <si>
    <t>멋진 신세계</t>
  </si>
  <si>
    <t>올더스 헉슬리</t>
  </si>
  <si>
    <t>소담출판사</t>
  </si>
  <si>
    <t>당신이 생각하는 모든 것을 믿지 말라</t>
  </si>
  <si>
    <t>조세프 응우엔</t>
  </si>
  <si>
    <t>십독</t>
  </si>
  <si>
    <t>이처럼 사소한 것들</t>
  </si>
  <si>
    <t>다산북스</t>
  </si>
  <si>
    <t>불안의 서</t>
  </si>
  <si>
    <t>페르난두 페소아</t>
  </si>
  <si>
    <t>봄날의 책</t>
  </si>
  <si>
    <t>2024.01.05</t>
  </si>
  <si>
    <t>칼 로저스의 사람-중심 상담</t>
  </si>
  <si>
    <t>칼 로저스</t>
  </si>
  <si>
    <t>학지사</t>
  </si>
  <si>
    <t>만화로 보는 댄 애리얼리 최고의 선택</t>
  </si>
  <si>
    <t>댄 애리얼리</t>
  </si>
  <si>
    <t>청림출판</t>
  </si>
  <si>
    <t>The One Thing</t>
  </si>
  <si>
    <t>게리 켈러 외 1명</t>
  </si>
  <si>
    <t>비즈니스북스</t>
  </si>
  <si>
    <t>2023.00.00</t>
  </si>
  <si>
    <t>인간 실격</t>
  </si>
  <si>
    <t>다자이 오사무</t>
  </si>
  <si>
    <t>올리버</t>
  </si>
  <si>
    <t>2023.12.11</t>
  </si>
  <si>
    <t>마흔에 읽는 쇼펜하우어</t>
  </si>
  <si>
    <t>강용수</t>
  </si>
  <si>
    <t>유노북스</t>
  </si>
  <si>
    <t>도어</t>
  </si>
  <si>
    <t>서보 머그더</t>
  </si>
  <si>
    <t>프시케의 숲</t>
  </si>
  <si>
    <t>더 좋은 삶을 위한 철학</t>
  </si>
  <si>
    <t>마이클 슈어</t>
  </si>
  <si>
    <t>스토너</t>
  </si>
  <si>
    <t>존 윌리엄스</t>
  </si>
  <si>
    <t>2023.11.09</t>
  </si>
  <si>
    <t>침묵의 봄</t>
  </si>
  <si>
    <t>레이첼 카슨</t>
  </si>
  <si>
    <t>에코리브르</t>
  </si>
  <si>
    <t>생각하지 않는 사람들</t>
  </si>
  <si>
    <t>니콜라스 카</t>
  </si>
  <si>
    <t>2023.10.05</t>
  </si>
  <si>
    <t>남한산성</t>
  </si>
  <si>
    <t>학고재</t>
  </si>
  <si>
    <t>가짜 노동</t>
  </si>
  <si>
    <t>데니스 뇌르마르크, 아네르스 포그 엔센</t>
  </si>
  <si>
    <t>자음과모음</t>
  </si>
  <si>
    <t>2023.09.15</t>
  </si>
  <si>
    <t>좋은 기업을 넘어 위대한 기업으로</t>
  </si>
  <si>
    <t>짐 콜린스</t>
  </si>
  <si>
    <t>2023.08.22</t>
  </si>
  <si>
    <t>도시와 그 불확실한 벽</t>
  </si>
  <si>
    <t>무라카미 하루키</t>
  </si>
  <si>
    <t>뻬드로 빠라모</t>
  </si>
  <si>
    <t>후안 룰포</t>
  </si>
  <si>
    <t>블랙스완</t>
  </si>
  <si>
    <t>나심 니콜라스 탈레브</t>
  </si>
  <si>
    <t>동녘사이언스</t>
  </si>
  <si>
    <t>도둑맞은 집중력</t>
  </si>
  <si>
    <t>요한 하리</t>
  </si>
  <si>
    <t>2023.07.18</t>
  </si>
  <si>
    <t>못 말리게 시끄럽고, 참을 수 없이 웃긴 철학책</t>
  </si>
  <si>
    <t>스콧 하쇼비츠</t>
  </si>
  <si>
    <t>드라이브</t>
  </si>
  <si>
    <t>다니엘 핑크</t>
  </si>
  <si>
    <t>문과 남자의 과학 공부</t>
  </si>
  <si>
    <t>유시민</t>
  </si>
  <si>
    <t>돌베개</t>
  </si>
  <si>
    <t>2023.06.14</t>
  </si>
  <si>
    <t>청춘의 독서</t>
  </si>
  <si>
    <t>융진지식하우스</t>
  </si>
  <si>
    <t>표현의 기술</t>
  </si>
  <si>
    <t>생각의 길</t>
  </si>
  <si>
    <t>열 번 잘해도 한 번 실수로 무너지는 게 관계다</t>
  </si>
  <si>
    <t>김다슬</t>
  </si>
  <si>
    <t>클라우디아</t>
  </si>
  <si>
    <t>2023.05.20</t>
  </si>
  <si>
    <t>불행 피하기 기술</t>
  </si>
  <si>
    <t>롤프 도벨리</t>
  </si>
  <si>
    <t>하이아웃풋 매니지먼트</t>
  </si>
  <si>
    <t>맨드루S, 그로브</t>
  </si>
  <si>
    <t>2023.03.10</t>
  </si>
  <si>
    <t>최강의 조직</t>
  </si>
  <si>
    <t>벤 호로위츠</t>
  </si>
  <si>
    <t>언러키 스타트업</t>
  </si>
  <si>
    <t>정지음</t>
  </si>
  <si>
    <t>2023.02.03</t>
  </si>
  <si>
    <t>하드씽</t>
  </si>
  <si>
    <t>제품의 탄생</t>
  </si>
  <si>
    <t>오이카와 타쿠야 외</t>
  </si>
  <si>
    <t>책만</t>
  </si>
  <si>
    <t>새의 선물</t>
  </si>
  <si>
    <t>은희경</t>
  </si>
  <si>
    <t>2023.01.22</t>
  </si>
  <si>
    <t>바닷가 작업실에서는 전혀 다른 시간이 흐른다</t>
  </si>
  <si>
    <t>김정운</t>
  </si>
  <si>
    <t>21세기북스</t>
  </si>
  <si>
    <t>방구석 미술관</t>
  </si>
  <si>
    <t>조원재</t>
  </si>
  <si>
    <t>블랙피쉬</t>
  </si>
  <si>
    <t>2023.01.05</t>
  </si>
  <si>
    <t>설국</t>
  </si>
  <si>
    <t>가와바타 야스나리</t>
  </si>
  <si>
    <t>시지프 신화</t>
  </si>
  <si>
    <t>알베르 카뮈</t>
  </si>
  <si>
    <t>채용과 선발의 심리학</t>
  </si>
  <si>
    <t>로버트 우드, 팀 페인</t>
  </si>
  <si>
    <t>시그마프레스</t>
  </si>
  <si>
    <t>2022.12.09</t>
  </si>
  <si>
    <t>더 골1</t>
  </si>
  <si>
    <t>엘리 골드렛, 제프 콕스</t>
  </si>
  <si>
    <t>동양북스</t>
  </si>
  <si>
    <t>2022.11.05</t>
  </si>
  <si>
    <t>더 골2</t>
  </si>
  <si>
    <t>엘리 골드렛</t>
  </si>
  <si>
    <t>대체 뭐가 문제야</t>
  </si>
  <si>
    <t>제럴드 와인버그, 도널드 고즈</t>
  </si>
  <si>
    <t>인사이트</t>
  </si>
  <si>
    <t>프로덕트 리더십</t>
  </si>
  <si>
    <t>리차드 밴필드 외</t>
  </si>
  <si>
    <t>에이콘</t>
  </si>
  <si>
    <t>2022.10.05</t>
  </si>
  <si>
    <t>문장과 순간</t>
  </si>
  <si>
    <t>위로의 미술관</t>
  </si>
  <si>
    <t>진병관</t>
  </si>
  <si>
    <t>빅피시</t>
  </si>
  <si>
    <t>매우 예민한 사람들을 위한 책</t>
  </si>
  <si>
    <t>전홍진</t>
  </si>
  <si>
    <t>글항아리</t>
  </si>
  <si>
    <t>2022.09.05</t>
  </si>
  <si>
    <t>크눌프</t>
  </si>
  <si>
    <t>고용 면접의 구조와 과정</t>
  </si>
  <si>
    <t>황규대</t>
  </si>
  <si>
    <t>오래</t>
  </si>
  <si>
    <t>어떻게 공부할 것인가</t>
  </si>
  <si>
    <t>헨리 뢰디거 외</t>
  </si>
  <si>
    <t>와이즈베리</t>
  </si>
  <si>
    <t>2022.07.14</t>
  </si>
  <si>
    <t>테크니컬 리더</t>
  </si>
  <si>
    <t>제럴드 M. 와인버그</t>
  </si>
  <si>
    <t>통찰, 평범에서 비범으로</t>
  </si>
  <si>
    <t>게리 클라인</t>
  </si>
  <si>
    <t>알키</t>
  </si>
  <si>
    <t>프로페셔널의 조건</t>
  </si>
  <si>
    <t>피터 드러커</t>
  </si>
  <si>
    <t>2022.08.05</t>
  </si>
  <si>
    <t>베네치아의 종소리</t>
  </si>
  <si>
    <t>스가 아쓰코</t>
  </si>
  <si>
    <t>2021.12.30</t>
  </si>
  <si>
    <t>갈라파고스</t>
  </si>
  <si>
    <t>커트 보니것</t>
  </si>
  <si>
    <t>푸른책들</t>
  </si>
  <si>
    <t>중용 인간의 맛</t>
  </si>
  <si>
    <t>도올 김용옥</t>
  </si>
  <si>
    <t>통나무</t>
  </si>
  <si>
    <t>부의 대이동</t>
  </si>
  <si>
    <t>오건영</t>
  </si>
  <si>
    <t>페이지2</t>
  </si>
  <si>
    <t>2021.01.11</t>
  </si>
  <si>
    <t>생각에 관한 생각</t>
  </si>
  <si>
    <t>대니얼 카너먼</t>
  </si>
  <si>
    <t>2021.09.02</t>
  </si>
  <si>
    <t>브람스를 좋아하세요</t>
  </si>
  <si>
    <t>프랑수아즈 사강</t>
  </si>
  <si>
    <t>고도를 기다리며</t>
  </si>
  <si>
    <t>사뮈엘 베케트</t>
  </si>
  <si>
    <t>싯다르타</t>
  </si>
  <si>
    <t>아처</t>
  </si>
  <si>
    <t>파울로 코엘료</t>
  </si>
  <si>
    <t>숫자에 약한 사람들을 위한 통계학 수업</t>
  </si>
  <si>
    <t>데이비드 스피겔할터</t>
  </si>
  <si>
    <t>웅진지식하우스</t>
  </si>
  <si>
    <t>2021.01.12</t>
  </si>
  <si>
    <t>상식 밖의 경제학</t>
  </si>
  <si>
    <t>2021.06.21</t>
  </si>
  <si>
    <t>스틱</t>
  </si>
  <si>
    <t>찹히스, 댄 하스</t>
  </si>
  <si>
    <t>엘도라도</t>
  </si>
  <si>
    <t>조국의 시간</t>
  </si>
  <si>
    <t>조국</t>
  </si>
  <si>
    <t>한길사</t>
  </si>
  <si>
    <t>아다지오 소스테누토</t>
  </si>
  <si>
    <t>문학수</t>
  </si>
  <si>
    <t>팀장의 탄생</t>
  </si>
  <si>
    <t>줄리 주오</t>
  </si>
  <si>
    <t>더퀘스트</t>
  </si>
  <si>
    <t>2020.11.01</t>
  </si>
  <si>
    <t>사피엔스</t>
  </si>
  <si>
    <t>감영사</t>
  </si>
  <si>
    <t>2020.07.01</t>
  </si>
  <si>
    <t>하버드 100년 전통 말하기 수업</t>
  </si>
  <si>
    <t>류리나</t>
  </si>
  <si>
    <t>리드리드출판</t>
  </si>
  <si>
    <t>2020.10.12</t>
  </si>
  <si>
    <t>사람은 어떻게 생각하고 배우고 기억하는가</t>
  </si>
  <si>
    <t>제레드 쿠니 호바스</t>
  </si>
  <si>
    <t>ORNADO</t>
  </si>
  <si>
    <t>타이탄의 도구들</t>
  </si>
  <si>
    <t>팀 패리스</t>
  </si>
  <si>
    <t>한문장으로 말하라</t>
  </si>
  <si>
    <t>나쓰요 립슈츠</t>
  </si>
  <si>
    <t>공간이 만든 공간</t>
  </si>
  <si>
    <t>유현준</t>
  </si>
  <si>
    <t>을유문학사</t>
  </si>
  <si>
    <t>사실, 내성적인 사람입니다</t>
  </si>
  <si>
    <t>남인숙</t>
  </si>
  <si>
    <t>2020.07.14</t>
  </si>
  <si>
    <t>GRIT</t>
  </si>
  <si>
    <t>앤절라 더크워스</t>
  </si>
  <si>
    <t>2020.06.29</t>
  </si>
  <si>
    <t>룬샷</t>
  </si>
  <si>
    <t>사피 바칼</t>
  </si>
  <si>
    <t>흐름출판</t>
  </si>
  <si>
    <t>역사란 무엇인가</t>
  </si>
  <si>
    <t>E.H. 카</t>
  </si>
  <si>
    <t>2019.08.20</t>
  </si>
  <si>
    <t>카피캣</t>
  </si>
  <si>
    <t>오데드 센카</t>
  </si>
  <si>
    <t>철학이 필요한 시간</t>
  </si>
  <si>
    <t>강신주</t>
  </si>
  <si>
    <t>사계정</t>
  </si>
  <si>
    <t>민토 피라미드로 배우는 논리적 글쓰기</t>
  </si>
  <si>
    <t>바바라 민토</t>
  </si>
  <si>
    <t>더난출판</t>
  </si>
  <si>
    <t>젊은 베르테르의 기쁨</t>
  </si>
  <si>
    <t>생각의 나무</t>
  </si>
  <si>
    <t>2019.07.06</t>
  </si>
  <si>
    <t>역사의 역사</t>
  </si>
  <si>
    <t>돌베게</t>
  </si>
  <si>
    <t>오자히르</t>
  </si>
  <si>
    <t>익숙한 그 집앞</t>
  </si>
  <si>
    <t>유희열</t>
  </si>
  <si>
    <t>중앙M&amp;B</t>
  </si>
  <si>
    <t>2018.02.04</t>
  </si>
  <si>
    <t>산에는 꽃이 피네</t>
  </si>
  <si>
    <t>법정</t>
  </si>
  <si>
    <t>동쪽나라</t>
  </si>
  <si>
    <t>2018.10.21</t>
  </si>
  <si>
    <t>무소유</t>
  </si>
  <si>
    <t>범우사</t>
  </si>
  <si>
    <t>이기는 습관</t>
  </si>
  <si>
    <t>전옥표</t>
  </si>
  <si>
    <t>샘앤파커스</t>
  </si>
  <si>
    <t>적을 만들지 않는 대화법</t>
  </si>
  <si>
    <t>샘혼</t>
  </si>
  <si>
    <t>갈매나무</t>
  </si>
  <si>
    <t>2018.09.08</t>
  </si>
  <si>
    <t>에덴의 용</t>
  </si>
  <si>
    <t>칼 세이건</t>
  </si>
  <si>
    <t>사이언스북스</t>
  </si>
  <si>
    <t>죽음에 관하여2</t>
  </si>
  <si>
    <t>시니, 혀노</t>
  </si>
  <si>
    <t>영컴</t>
  </si>
  <si>
    <t>죽음에 관하여1</t>
  </si>
  <si>
    <t>1분 경영</t>
  </si>
  <si>
    <t>켄 블랜차드, 스펜서 존슨</t>
  </si>
  <si>
    <t>사랑은 어디로 가는가</t>
  </si>
  <si>
    <t>에카르트 폰 히르슈하우젠</t>
  </si>
  <si>
    <t>2018.07.16</t>
  </si>
  <si>
    <t>백년보다 긴 하루</t>
  </si>
  <si>
    <t>친기즈 아이뜨마또프</t>
  </si>
  <si>
    <t>열린책들</t>
  </si>
  <si>
    <t>체스 이야기,  낮선 여인의 편지</t>
  </si>
  <si>
    <t>슈테판 츠바이크</t>
  </si>
  <si>
    <t>아주 작은 반복의 힘</t>
  </si>
  <si>
    <t>로버트 마우어</t>
  </si>
  <si>
    <t>스몰빅라이프</t>
  </si>
  <si>
    <t>어떻게 살 것인가</t>
  </si>
  <si>
    <t>2018.06.21</t>
  </si>
  <si>
    <t>캔터베리 이야기</t>
  </si>
  <si>
    <t>제프리 초서</t>
  </si>
  <si>
    <t>검의 대가</t>
  </si>
  <si>
    <t>아르투로 페레스 레베르테</t>
  </si>
  <si>
    <t>적과 흑2</t>
  </si>
  <si>
    <t>스탕달</t>
  </si>
  <si>
    <t>2018.05.02</t>
  </si>
  <si>
    <t>적과 흑1</t>
  </si>
  <si>
    <t>서부 전선 이상 없다</t>
  </si>
  <si>
    <t>에리히 마리아 레마르크</t>
  </si>
  <si>
    <t>순수의 시대</t>
  </si>
  <si>
    <t>이디스 워튼</t>
  </si>
  <si>
    <t>인생수정</t>
  </si>
  <si>
    <t>조너선프랜즌</t>
  </si>
  <si>
    <t>2018.04.14</t>
  </si>
  <si>
    <t>뉴스의 시대</t>
  </si>
  <si>
    <t>2018.03.14</t>
  </si>
  <si>
    <t>호모사피엔스씨의 위험한 고민</t>
  </si>
  <si>
    <t>권복규 외 7</t>
  </si>
  <si>
    <t>메디치</t>
  </si>
  <si>
    <t>2017.12.24</t>
  </si>
  <si>
    <t>우아한 관찰주의</t>
  </si>
  <si>
    <t>에이미 E 허먼</t>
  </si>
  <si>
    <t>공터에서</t>
  </si>
  <si>
    <t>해냄</t>
  </si>
  <si>
    <t>넛지</t>
  </si>
  <si>
    <t>리처드 탈러, 캐스 선스타인</t>
  </si>
  <si>
    <t>리더스북</t>
  </si>
  <si>
    <t>모비딕</t>
  </si>
  <si>
    <t>허먼 멜빌</t>
  </si>
  <si>
    <t>작가정신</t>
  </si>
  <si>
    <t>2017.09.30</t>
  </si>
  <si>
    <t>로지컬 씽킹</t>
  </si>
  <si>
    <t>테루야 하나코, 오카다 케이코</t>
  </si>
  <si>
    <t>일빛</t>
  </si>
  <si>
    <t>2017.08.11</t>
  </si>
  <si>
    <t>사람을 얻는 기술</t>
  </si>
  <si>
    <t>레일 라운즈</t>
  </si>
  <si>
    <t>토네이도</t>
  </si>
  <si>
    <t>원하는 것이 있다면 감정을 흔들어라</t>
  </si>
  <si>
    <t>다니엘 샤피로, 로저 피셔</t>
  </si>
  <si>
    <t>정재승의 과학 콘서트</t>
  </si>
  <si>
    <t>정재승</t>
  </si>
  <si>
    <t>동아시아</t>
  </si>
  <si>
    <t>심플러</t>
  </si>
  <si>
    <t>캐스 선스타인</t>
  </si>
  <si>
    <t>위험한 과학책</t>
  </si>
  <si>
    <t>랜들 먼로</t>
  </si>
  <si>
    <t>시공사</t>
  </si>
  <si>
    <t>2017.07.30</t>
  </si>
  <si>
    <t>소송</t>
  </si>
  <si>
    <t>프란츠 카프카</t>
  </si>
  <si>
    <t>피에트라 강가에서 나는 울었네</t>
  </si>
  <si>
    <t>이기는 대화</t>
  </si>
  <si>
    <t>이서정</t>
  </si>
  <si>
    <t>머니플러스</t>
  </si>
  <si>
    <t>말주변이 없어도 대화 잘하는법</t>
  </si>
  <si>
    <t>김영돈</t>
  </si>
  <si>
    <t>다연</t>
  </si>
  <si>
    <t>에브리맨</t>
  </si>
  <si>
    <t>필립 로스</t>
  </si>
  <si>
    <t>2017.07.22</t>
  </si>
  <si>
    <t>현의 노래</t>
  </si>
  <si>
    <t>고리오 영감</t>
  </si>
  <si>
    <t>오노레 드 발자크</t>
  </si>
  <si>
    <t>두 도시 이야기</t>
  </si>
  <si>
    <t>찰스 디킨스</t>
  </si>
  <si>
    <t>책읽는 수요일</t>
  </si>
  <si>
    <t>웃는 남자(하)</t>
  </si>
  <si>
    <t>빅토르 위고</t>
  </si>
  <si>
    <t>웃는 남자(상)</t>
  </si>
  <si>
    <t>변신*시골의사</t>
  </si>
  <si>
    <t>2017.05.27</t>
  </si>
  <si>
    <t>플랑드르 거장의 그림</t>
  </si>
  <si>
    <t>청춘은 아름다워</t>
  </si>
  <si>
    <t>2017.01.25</t>
  </si>
  <si>
    <t>벨킨 이야기, 스페이드 여왕</t>
  </si>
  <si>
    <t>푸슈킨</t>
  </si>
  <si>
    <t>돼지꿈</t>
  </si>
  <si>
    <t>황석영</t>
  </si>
  <si>
    <t>이상한 나라의 앨리스</t>
  </si>
  <si>
    <t>루이스 캐럴</t>
  </si>
  <si>
    <t>황야의 이리</t>
  </si>
  <si>
    <t>2016.12.17</t>
  </si>
  <si>
    <t>농담</t>
  </si>
  <si>
    <t>밀란 쿤데라</t>
  </si>
  <si>
    <t>말테의 수기</t>
  </si>
  <si>
    <t>라이너 마리아 릴케</t>
  </si>
  <si>
    <t>TED TALKS</t>
  </si>
  <si>
    <t>크리스 앤더슨</t>
  </si>
  <si>
    <t>2016.12.03</t>
  </si>
  <si>
    <t>설민석의 조선왕조실록</t>
  </si>
  <si>
    <t>설민석</t>
  </si>
  <si>
    <t>세계사</t>
  </si>
  <si>
    <t>2016.11.22</t>
  </si>
  <si>
    <t>피로사회</t>
  </si>
  <si>
    <t>대통령의 글쓰기</t>
  </si>
  <si>
    <t>강원국</t>
  </si>
  <si>
    <t>좁은 문</t>
  </si>
  <si>
    <t>앙드레 지드</t>
  </si>
  <si>
    <t>펭퀸클래식 코리아</t>
  </si>
  <si>
    <t>시를 잊은 그대에게</t>
  </si>
  <si>
    <t>정재찬</t>
  </si>
  <si>
    <t>휴머니스트</t>
  </si>
  <si>
    <t>군주론</t>
  </si>
  <si>
    <t>마키아벨리</t>
  </si>
  <si>
    <t>해누리</t>
  </si>
  <si>
    <t>2016.07.03</t>
  </si>
  <si>
    <t>리더의 그릇</t>
  </si>
  <si>
    <t>나카지마다카시</t>
  </si>
  <si>
    <t>다산</t>
  </si>
  <si>
    <t>2016.03.00</t>
  </si>
  <si>
    <t>사람을 남겨라</t>
  </si>
  <si>
    <t>정동일</t>
  </si>
  <si>
    <t>관계의 본심</t>
  </si>
  <si>
    <t>클리포드 나스/코리나 엔</t>
  </si>
  <si>
    <t>푸른숲</t>
  </si>
  <si>
    <t>2016.03.26</t>
  </si>
  <si>
    <t>일의 기쁨과 슬픔</t>
  </si>
  <si>
    <t>알랭 드 보통</t>
  </si>
  <si>
    <t>이레</t>
  </si>
  <si>
    <t>지금 시작하는 인문학</t>
  </si>
  <si>
    <t>주현성</t>
  </si>
  <si>
    <t>더좋은책</t>
  </si>
  <si>
    <t>공무도하</t>
  </si>
  <si>
    <t>내 안에서 나를 만드는 것들</t>
  </si>
  <si>
    <t>애덤 스미스</t>
  </si>
  <si>
    <t>2016.01.13</t>
  </si>
  <si>
    <t>독서의 기술</t>
  </si>
  <si>
    <t>M.J. 애들러</t>
  </si>
  <si>
    <t>너머학교</t>
  </si>
  <si>
    <t>우리글 바로쓰기</t>
  </si>
  <si>
    <t>이오덕</t>
  </si>
  <si>
    <t>차라투스트라는 이렇게 말했다</t>
  </si>
  <si>
    <t>논리의 기술</t>
  </si>
  <si>
    <t>자유론</t>
  </si>
  <si>
    <t>존 스튜어트 밀</t>
  </si>
  <si>
    <t>책세상</t>
  </si>
  <si>
    <t>클릭 서양미술사</t>
  </si>
  <si>
    <t>캐롤 스트릭 랜드</t>
  </si>
  <si>
    <t>예경</t>
  </si>
  <si>
    <t>스케치 쉽게하기</t>
  </si>
  <si>
    <t>김충원</t>
  </si>
  <si>
    <t>진선북아트</t>
  </si>
  <si>
    <t>당신은 전략가입니까</t>
  </si>
  <si>
    <t>신시아 A. 몽고메리</t>
  </si>
  <si>
    <t>2016.01.02</t>
  </si>
  <si>
    <t>버리고 갈 것만 남아서 참 홀가분하다</t>
  </si>
  <si>
    <t>박경리</t>
  </si>
  <si>
    <t>마로니에북스</t>
  </si>
  <si>
    <t>대지</t>
  </si>
  <si>
    <t>펄벅</t>
  </si>
  <si>
    <t>문예출판사</t>
  </si>
  <si>
    <r>
      <rPr>
        <sz val="9"/>
        <color rgb="FF000000"/>
        <rFont val="맑은 고딕"/>
        <family val="3"/>
        <charset val="129"/>
      </rPr>
      <t>베니스의 상인</t>
    </r>
  </si>
  <si>
    <r>
      <rPr>
        <sz val="9"/>
        <color rgb="FF000000"/>
        <rFont val="맑은 고딕"/>
        <family val="3"/>
        <charset val="129"/>
      </rPr>
      <t>윌리엄 셰익스피어</t>
    </r>
  </si>
  <si>
    <t>2015.10.18</t>
  </si>
  <si>
    <r>
      <rPr>
        <sz val="10"/>
        <color rgb="FF000000"/>
        <rFont val="맑은 고딕"/>
        <family val="3"/>
        <charset val="129"/>
      </rPr>
      <t>수레바퀴 아래서</t>
    </r>
  </si>
  <si>
    <r>
      <rPr>
        <sz val="10"/>
        <color rgb="FF000000"/>
        <rFont val="맑은 고딕"/>
        <family val="3"/>
        <charset val="129"/>
      </rPr>
      <t>해르만 해세</t>
    </r>
  </si>
  <si>
    <r>
      <rPr>
        <sz val="10"/>
        <color rgb="FF000000"/>
        <rFont val="맑은 고딕"/>
        <family val="3"/>
        <charset val="129"/>
      </rPr>
      <t>푸르스트가 우리의 삶을 바꾸는 방법들</t>
    </r>
  </si>
  <si>
    <r>
      <rPr>
        <sz val="10"/>
        <color rgb="FF000000"/>
        <rFont val="맑은 고딕"/>
        <family val="3"/>
        <charset val="129"/>
      </rPr>
      <t>알랭 드 보통</t>
    </r>
  </si>
  <si>
    <t>청미래</t>
  </si>
  <si>
    <t>2015.10.08</t>
  </si>
  <si>
    <t>방드르디, 태평양의 끝</t>
  </si>
  <si>
    <r>
      <rPr>
        <sz val="10"/>
        <color rgb="FF000000"/>
        <rFont val="맑은 고딕"/>
        <family val="3"/>
        <charset val="129"/>
      </rPr>
      <t>미셸 투르니에</t>
    </r>
  </si>
  <si>
    <r>
      <rPr>
        <sz val="10"/>
        <color rgb="FF000000"/>
        <rFont val="맑은 고딕"/>
        <family val="3"/>
        <charset val="129"/>
      </rPr>
      <t>설득의 심리학2</t>
    </r>
  </si>
  <si>
    <r>
      <rPr>
        <sz val="10"/>
        <color rgb="FF000000"/>
        <rFont val="맑은 고딕"/>
        <family val="3"/>
        <charset val="129"/>
      </rPr>
      <t>로버트 치알디니</t>
    </r>
  </si>
  <si>
    <r>
      <rPr>
        <sz val="9"/>
        <color rgb="FF000000"/>
        <rFont val="맑은 고딕"/>
        <family val="3"/>
        <charset val="129"/>
      </rPr>
      <t>2</t>
    </r>
    <r>
      <rPr>
        <sz val="10"/>
        <color rgb="FF000000"/>
        <rFont val="맑은 고딕"/>
        <family val="3"/>
        <charset val="129"/>
      </rPr>
      <t>1세기북스</t>
    </r>
  </si>
  <si>
    <r>
      <rPr>
        <sz val="10"/>
        <color rgb="FF000000"/>
        <rFont val="맑은 고딕"/>
        <family val="3"/>
        <charset val="129"/>
      </rPr>
      <t>긍정의 힘</t>
    </r>
  </si>
  <si>
    <r>
      <rPr>
        <sz val="10"/>
        <color rgb="FF000000"/>
        <rFont val="맑은 고딕"/>
        <family val="3"/>
        <charset val="129"/>
      </rPr>
      <t>웨인 W 다이어</t>
    </r>
  </si>
  <si>
    <t>새벽이슬</t>
  </si>
  <si>
    <t>파수꾼</t>
  </si>
  <si>
    <r>
      <rPr>
        <sz val="10"/>
        <color rgb="FF000000"/>
        <rFont val="맑은 고딕"/>
        <family val="3"/>
        <charset val="129"/>
      </rPr>
      <t>하퍼 리</t>
    </r>
  </si>
  <si>
    <t>2015.10.02</t>
  </si>
  <si>
    <r>
      <rPr>
        <sz val="9"/>
        <color rgb="FF000000"/>
        <rFont val="맑은 고딕"/>
        <family val="3"/>
        <charset val="129"/>
      </rPr>
      <t>소크라테스의</t>
    </r>
    <r>
      <rPr>
        <sz val="10"/>
        <color rgb="FF000000"/>
        <rFont val="맑은 고딕"/>
        <family val="3"/>
        <charset val="129"/>
      </rPr>
      <t xml:space="preserve"> 변명</t>
    </r>
  </si>
  <si>
    <t>플라톤</t>
  </si>
  <si>
    <t>글로북스</t>
  </si>
  <si>
    <r>
      <rPr>
        <sz val="10"/>
        <color rgb="FF000000"/>
        <rFont val="맑은 고딕"/>
        <family val="3"/>
        <charset val="129"/>
      </rPr>
      <t>자전거 여행2</t>
    </r>
  </si>
  <si>
    <t>2015.09.22</t>
  </si>
  <si>
    <r>
      <rPr>
        <sz val="10"/>
        <color rgb="FF000000"/>
        <rFont val="맑은 고딕"/>
        <family val="3"/>
        <charset val="129"/>
      </rPr>
      <t>자전거 여행1</t>
    </r>
  </si>
  <si>
    <r>
      <rPr>
        <sz val="10"/>
        <color rgb="FF000000"/>
        <rFont val="맑은 고딕"/>
        <family val="3"/>
        <charset val="129"/>
      </rPr>
      <t>노인과 바다</t>
    </r>
  </si>
  <si>
    <t>헤밍웨이</t>
  </si>
  <si>
    <t>2015.08.09</t>
  </si>
  <si>
    <t>화폐전쟁</t>
  </si>
  <si>
    <t>쑹훙빙</t>
  </si>
  <si>
    <t>랜덤하우스</t>
  </si>
  <si>
    <t>2015.06.26</t>
  </si>
  <si>
    <t>코스모스</t>
  </si>
  <si>
    <r>
      <rPr>
        <sz val="9"/>
        <color rgb="FF000000"/>
        <rFont val="맑은 고딕"/>
        <family val="3"/>
        <charset val="129"/>
      </rPr>
      <t>칼 세이건</t>
    </r>
  </si>
  <si>
    <r>
      <rPr>
        <sz val="9"/>
        <color rgb="FF000000"/>
        <rFont val="맑은 고딕"/>
        <family val="3"/>
        <charset val="129"/>
      </rPr>
      <t>지적 대화를 위한 넓고 얕은 지식 : 현실 세계 편</t>
    </r>
  </si>
  <si>
    <t>채사장</t>
  </si>
  <si>
    <t>한빛비즈</t>
  </si>
  <si>
    <r>
      <rPr>
        <sz val="9"/>
        <color rgb="FF000000"/>
        <rFont val="맑은 고딕"/>
        <family val="3"/>
        <charset val="129"/>
      </rPr>
      <t>지적 대화를 위한 넓고 얕은 지식 : 현실 너머 편</t>
    </r>
  </si>
  <si>
    <r>
      <rPr>
        <sz val="9"/>
        <color rgb="FF000000"/>
        <rFont val="맑은 고딕"/>
        <family val="3"/>
        <charset val="129"/>
      </rPr>
      <t>조국 현상을 말한다 - 개정판</t>
    </r>
  </si>
  <si>
    <t>김용민</t>
  </si>
  <si>
    <t>미래를소유한사람들</t>
  </si>
  <si>
    <r>
      <rPr>
        <sz val="9"/>
        <color rgb="FF000000"/>
        <rFont val="맑은 고딕"/>
        <family val="3"/>
        <charset val="129"/>
      </rPr>
      <t>이기적 유전자</t>
    </r>
  </si>
  <si>
    <r>
      <rPr>
        <sz val="9"/>
        <color rgb="FF000000"/>
        <rFont val="맑은 고딕"/>
        <family val="3"/>
        <charset val="129"/>
      </rPr>
      <t>리처드 도킨스 지음</t>
    </r>
  </si>
  <si>
    <t>을유문화사</t>
  </si>
  <si>
    <r>
      <rPr>
        <sz val="9"/>
        <color rgb="FF000000"/>
        <rFont val="맑은 고딕"/>
        <family val="3"/>
        <charset val="129"/>
      </rPr>
      <t>열세 걸음</t>
    </r>
  </si>
  <si>
    <r>
      <rPr>
        <sz val="9"/>
        <color rgb="FF000000"/>
        <rFont val="맑은 고딕"/>
        <family val="3"/>
        <charset val="129"/>
      </rPr>
      <t>모옌 지음</t>
    </r>
  </si>
  <si>
    <t>디어 라이프</t>
  </si>
  <si>
    <r>
      <rPr>
        <sz val="9"/>
        <color rgb="FF000000"/>
        <rFont val="맑은 고딕"/>
        <family val="3"/>
        <charset val="129"/>
      </rPr>
      <t>앨리스 먼로 지음</t>
    </r>
  </si>
  <si>
    <t>금난새의 내가 사랑한 교향곡</t>
  </si>
  <si>
    <t>금난새</t>
  </si>
  <si>
    <t>2015.05.31</t>
  </si>
  <si>
    <t>세계 명화 비밀</t>
  </si>
  <si>
    <t>모니카 봄 두첸</t>
  </si>
  <si>
    <t>현대 물리학과 동양 사상</t>
  </si>
  <si>
    <t>프리초프 카프라</t>
  </si>
  <si>
    <t>범양사</t>
  </si>
  <si>
    <t>2015.04.03</t>
  </si>
  <si>
    <t>유시민의 글쓰기 특강</t>
  </si>
  <si>
    <t>심리 정치</t>
  </si>
  <si>
    <t>쉽게 배우는 인테리어</t>
  </si>
  <si>
    <t>주부의 벗사</t>
  </si>
  <si>
    <t>삼호미디어</t>
  </si>
  <si>
    <t>내가 사랑하는 클래식3</t>
  </si>
  <si>
    <t>박종호</t>
  </si>
  <si>
    <t>2014.11.18</t>
  </si>
  <si>
    <t>내가 사랑하는 클래식2</t>
  </si>
  <si>
    <t>내가 사랑하는 클래식1</t>
  </si>
  <si>
    <t>세계 철학사</t>
  </si>
  <si>
    <t>한스 요아힘 슈퇴리히</t>
  </si>
  <si>
    <t>칼의 노래</t>
  </si>
  <si>
    <t>파우스트</t>
  </si>
  <si>
    <t>요한 볼프강 폰 괴테</t>
  </si>
  <si>
    <t>그림 아는 만큼 보인다</t>
  </si>
  <si>
    <t>손철주</t>
  </si>
  <si>
    <t>인문의 바다에 빠져라</t>
  </si>
  <si>
    <t>최진기</t>
  </si>
  <si>
    <t>스마트북스</t>
  </si>
  <si>
    <t>어린왕자</t>
  </si>
  <si>
    <t>생텍 쥐페리</t>
  </si>
  <si>
    <t>소와 다리</t>
  </si>
  <si>
    <t>2014.09.13</t>
  </si>
  <si>
    <t>가난한 사람들</t>
  </si>
  <si>
    <t>표도르 도스또예프스끼</t>
  </si>
  <si>
    <t>무신론자를 위한 종교</t>
  </si>
  <si>
    <t>여행의 기술</t>
  </si>
  <si>
    <t>책상은 책상이다</t>
  </si>
  <si>
    <t>페터 빅셀</t>
  </si>
  <si>
    <t>예담</t>
  </si>
  <si>
    <t>거대한 전환</t>
  </si>
  <si>
    <t>칼 폴라니</t>
  </si>
  <si>
    <t>길</t>
  </si>
  <si>
    <t>2014.07.03</t>
  </si>
  <si>
    <t>전쟁의 세계사</t>
  </si>
  <si>
    <t>윌리엄 맥닐</t>
  </si>
  <si>
    <t>이산</t>
  </si>
  <si>
    <t>도리언그레이의 초상</t>
  </si>
  <si>
    <t>오스카 와일드</t>
  </si>
  <si>
    <t>2014.05.29</t>
  </si>
  <si>
    <t>아프니까 청춘이다</t>
  </si>
  <si>
    <t>김난도</t>
  </si>
  <si>
    <t>2014.05.16</t>
  </si>
  <si>
    <t>일본전산 이야기</t>
  </si>
  <si>
    <t>김성호</t>
  </si>
  <si>
    <t>허클베리핀의 모험</t>
  </si>
  <si>
    <t>마크 트웨인</t>
  </si>
  <si>
    <t>2013.12.15</t>
  </si>
  <si>
    <t>실마릴리온 - 2</t>
  </si>
  <si>
    <t>J.R.R.톨킨</t>
  </si>
  <si>
    <t>씨앗을뿌리는사람</t>
  </si>
  <si>
    <t>2013.12.13</t>
  </si>
  <si>
    <t>실마릴리온 - 1</t>
  </si>
  <si>
    <t>그리고 아무 말도 하지 않았다</t>
  </si>
  <si>
    <t>하인리히 뵐</t>
  </si>
  <si>
    <t>여덟 단어</t>
  </si>
  <si>
    <t>북하우스</t>
  </si>
  <si>
    <t>폭풍의 언덕</t>
  </si>
  <si>
    <t>에밀리 브론테</t>
  </si>
  <si>
    <t>까라마조프 씨네 형제들 - 하</t>
  </si>
  <si>
    <t>까라마조프 씨네 형제들 - 중</t>
  </si>
  <si>
    <t>까라마조프 씨네 형제들 - 상</t>
  </si>
  <si>
    <t>악마와 미스 프랭</t>
  </si>
  <si>
    <t>2013.12.08</t>
  </si>
  <si>
    <t>총,균,쇠</t>
  </si>
  <si>
    <t>재레드 다이아몬드</t>
  </si>
  <si>
    <t>문학사상사</t>
  </si>
  <si>
    <t>2013.11.13</t>
  </si>
  <si>
    <t>이방인</t>
  </si>
  <si>
    <t>로아나(하)</t>
  </si>
  <si>
    <t>움베르토 에코</t>
  </si>
  <si>
    <t>로아나(상)</t>
  </si>
  <si>
    <t>최초의 인간</t>
  </si>
  <si>
    <t>2013.11.10</t>
  </si>
  <si>
    <t>시골의사 박경철의 자기혁명</t>
  </si>
  <si>
    <t>박경철</t>
  </si>
  <si>
    <t>2013.10.09</t>
  </si>
  <si>
    <t>팀장이 절대로 해서는 안될 101가지 행동</t>
  </si>
  <si>
    <t>메리 올브라이트/클레이카</t>
  </si>
  <si>
    <t>아인북스</t>
  </si>
  <si>
    <t>셰익스피어 비극선</t>
  </si>
  <si>
    <t>윌리엄 셰익스피어</t>
  </si>
  <si>
    <t>일송북</t>
  </si>
  <si>
    <t>2013.08.10</t>
  </si>
  <si>
    <t>전망 좋은 방</t>
  </si>
  <si>
    <t>에드워드 모건 포스터</t>
  </si>
  <si>
    <t>2013.08.09</t>
  </si>
  <si>
    <t>몽유병자들(하)</t>
  </si>
  <si>
    <t>헤르만브로흐</t>
  </si>
  <si>
    <t>몽유병자들(상)</t>
  </si>
  <si>
    <t>깊이에의 강요</t>
  </si>
  <si>
    <t>파트리크 쥐스킨트</t>
  </si>
  <si>
    <t>답을내는 조직</t>
  </si>
  <si>
    <t>대위의 딸</t>
  </si>
  <si>
    <t>뿌쉬낀</t>
  </si>
  <si>
    <t>2013.07.30</t>
  </si>
  <si>
    <t>백야</t>
  </si>
  <si>
    <r>
      <rPr>
        <sz val="9"/>
        <color rgb="FF000000"/>
        <rFont val="맑은 고딕"/>
        <family val="3"/>
        <charset val="129"/>
      </rPr>
      <t>표도르</t>
    </r>
    <r>
      <rPr>
        <sz val="10"/>
        <color rgb="FF000000"/>
        <rFont val="맑은 고딕"/>
        <family val="3"/>
        <charset val="129"/>
      </rPr>
      <t xml:space="preserve"> 도스또예프스끼</t>
    </r>
  </si>
  <si>
    <t>톨스토이 단편선 - 2</t>
  </si>
  <si>
    <t>L.N. 톨스토이</t>
  </si>
  <si>
    <t>현대문학</t>
  </si>
  <si>
    <t>나의 문화유산답사기 1</t>
  </si>
  <si>
    <t>유홍준</t>
  </si>
  <si>
    <t>창작과비평사</t>
  </si>
  <si>
    <t>얼굴 빨개지는 아이</t>
  </si>
  <si>
    <t>장 자끄 상뻬</t>
  </si>
  <si>
    <t>2013.07.15</t>
  </si>
  <si>
    <t>불안</t>
  </si>
  <si>
    <t>앵무새 죽이기</t>
  </si>
  <si>
    <t>하퍼 리</t>
  </si>
  <si>
    <t>2013.06.25</t>
  </si>
  <si>
    <t>호밀밭의 파수꾼</t>
  </si>
  <si>
    <t>J.D. 샐린저</t>
  </si>
  <si>
    <t>게르만 신화와 전설</t>
  </si>
  <si>
    <t>라이너 테츠너</t>
  </si>
  <si>
    <t>이집트 신화</t>
  </si>
  <si>
    <t>베로니카 이온스</t>
  </si>
  <si>
    <t>2013.02.12</t>
  </si>
  <si>
    <t>왜 나는 너를 사랑하는가</t>
  </si>
  <si>
    <t>데미안</t>
  </si>
  <si>
    <t>할아버지가 꼭 보여주고 싶은 서양명화 101</t>
  </si>
  <si>
    <t>김필규</t>
  </si>
  <si>
    <t>2012.10.29</t>
  </si>
  <si>
    <t>순간의 꽃</t>
  </si>
  <si>
    <t>고은</t>
  </si>
  <si>
    <t>리딩노트</t>
  </si>
  <si>
    <t>존 발도니</t>
  </si>
  <si>
    <t>멈추면 비로소 보이는 것들</t>
  </si>
  <si>
    <t>혜민스님, 우창헌 저</t>
  </si>
  <si>
    <t>쌤앤파커스</t>
  </si>
  <si>
    <t>2012.10.18</t>
  </si>
  <si>
    <t>참을수 없는 존재의 가벼움</t>
  </si>
  <si>
    <t>2012.08.24</t>
  </si>
  <si>
    <t>구글을 지탱하는 기술</t>
  </si>
  <si>
    <t>니시다케이스케</t>
  </si>
  <si>
    <t>멘토르</t>
  </si>
  <si>
    <t>서양 미술사</t>
  </si>
  <si>
    <t>곰브리치</t>
  </si>
  <si>
    <t>2012.08.09</t>
  </si>
  <si>
    <t>안나 카레니나3</t>
  </si>
  <si>
    <r>
      <rPr>
        <sz val="9"/>
        <color rgb="FF000000"/>
        <rFont val="맑은 고딕"/>
        <family val="3"/>
        <charset val="129"/>
      </rPr>
      <t>레프 톨스토이</t>
    </r>
  </si>
  <si>
    <t>안나 카레니나2</t>
  </si>
  <si>
    <r>
      <rPr>
        <sz val="9"/>
        <color rgb="FF000000"/>
        <rFont val="맑은 고딕"/>
        <family val="3"/>
        <charset val="129"/>
      </rPr>
      <t>레프 톨스토이</t>
    </r>
  </si>
  <si>
    <t>안나 카레니나1</t>
  </si>
  <si>
    <r>
      <rPr>
        <sz val="9"/>
        <color rgb="FF000000"/>
        <rFont val="맑은 고딕"/>
        <family val="3"/>
        <charset val="129"/>
      </rPr>
      <t>레프 톨스토이</t>
    </r>
  </si>
  <si>
    <t>변신이야기2</t>
  </si>
  <si>
    <t>오비디우스</t>
  </si>
  <si>
    <t>변신이야기1</t>
  </si>
  <si>
    <r>
      <rPr>
        <sz val="9"/>
        <color rgb="FF000000"/>
        <rFont val="맑은 고딕"/>
        <family val="3"/>
        <charset val="129"/>
      </rPr>
      <t>그리스인 조르바</t>
    </r>
  </si>
  <si>
    <r>
      <rPr>
        <sz val="9"/>
        <color rgb="FF000000"/>
        <rFont val="맑은 고딕"/>
        <family val="3"/>
        <charset val="129"/>
      </rPr>
      <t xml:space="preserve">니코스 카잔차키스 </t>
    </r>
  </si>
  <si>
    <t>2012.06.03</t>
  </si>
  <si>
    <r>
      <rPr>
        <sz val="9"/>
        <color rgb="FF000000"/>
        <rFont val="맑은 고딕"/>
        <family val="3"/>
        <charset val="129"/>
      </rPr>
      <t>세계 미술관 기행 - 루브르 박물관</t>
    </r>
  </si>
  <si>
    <r>
      <rPr>
        <sz val="9"/>
        <color rgb="FF000000"/>
        <rFont val="맑은 고딕"/>
        <family val="3"/>
        <charset val="129"/>
      </rPr>
      <t>알레산드라 프레콜렌트</t>
    </r>
  </si>
  <si>
    <t>콘트라베이스</t>
  </si>
  <si>
    <r>
      <rPr>
        <sz val="9"/>
        <color rgb="FF000000"/>
        <rFont val="맑은 고딕"/>
        <family val="3"/>
        <charset val="129"/>
      </rPr>
      <t>파트리크 쥐스킨트</t>
    </r>
  </si>
  <si>
    <t>2012.05.11</t>
  </si>
  <si>
    <r>
      <rPr>
        <sz val="9"/>
        <color rgb="FF000000"/>
        <rFont val="맑은 고딕"/>
        <family val="3"/>
        <charset val="129"/>
      </rPr>
      <t>왜 세계의 절반은 굶주리는가?</t>
    </r>
  </si>
  <si>
    <r>
      <rPr>
        <sz val="9"/>
        <color rgb="FF000000"/>
        <rFont val="맑은 고딕"/>
        <family val="3"/>
        <charset val="129"/>
      </rPr>
      <t>장 지글러</t>
    </r>
  </si>
  <si>
    <t>좀머씨 이야기</t>
  </si>
  <si>
    <r>
      <rPr>
        <sz val="9"/>
        <color rgb="FF000000"/>
        <rFont val="맑은 고딕"/>
        <family val="3"/>
        <charset val="129"/>
      </rPr>
      <t>파트리크 쥐스킨트</t>
    </r>
  </si>
  <si>
    <t>책은 도끼다</t>
  </si>
  <si>
    <t>2012.03.09</t>
  </si>
  <si>
    <t>어떻게 원하는 것을 얻는가</t>
  </si>
  <si>
    <t>스튜어트 다이아몬드</t>
  </si>
  <si>
    <t>2012.02.24</t>
  </si>
  <si>
    <t>나쁜 사마리아인들</t>
  </si>
  <si>
    <t>장하준</t>
  </si>
  <si>
    <t>부키</t>
  </si>
  <si>
    <t>오만과 편견</t>
  </si>
  <si>
    <t>제인 오스틴</t>
  </si>
  <si>
    <t>젊은 베르테르의 슬픔</t>
  </si>
  <si>
    <t>전날의 섬</t>
  </si>
  <si>
    <t>난장이가 쏘아올린 작은 공</t>
  </si>
  <si>
    <t>조세희</t>
  </si>
  <si>
    <t>이성과힘</t>
  </si>
  <si>
    <t>2012.01.17</t>
  </si>
  <si>
    <t>이것은 질문입니까?</t>
  </si>
  <si>
    <t>존 판던</t>
  </si>
  <si>
    <t>조지 오웰</t>
  </si>
  <si>
    <t>보수를 팝니다</t>
  </si>
  <si>
    <t>퍼플카우</t>
  </si>
  <si>
    <t>2011.12.00</t>
  </si>
  <si>
    <t>비둘기</t>
  </si>
  <si>
    <t>벤자민 버튼의 시간은 거꾸로 간다</t>
  </si>
  <si>
    <t>F. 스콧 피츠 제럴드</t>
  </si>
  <si>
    <t>현대문화센타</t>
  </si>
  <si>
    <t>위대한 개츠비</t>
  </si>
  <si>
    <t/>
  </si>
  <si>
    <t>톨스토이 단편선 - 1</t>
  </si>
  <si>
    <t>인디북</t>
  </si>
  <si>
    <t>죽음을 그리다</t>
  </si>
  <si>
    <t>아고라</t>
  </si>
  <si>
    <t>오두막 편지</t>
  </si>
  <si>
    <t>일기일회</t>
  </si>
  <si>
    <t>문학의숲</t>
  </si>
  <si>
    <t>인생의 절반쯤 왔을 때 깨닫게 되는 것들</t>
  </si>
  <si>
    <t>리처드 J. 리이더, 데이비드 A. 시비로</t>
  </si>
  <si>
    <t>낮익은 타인들의 도시</t>
  </si>
  <si>
    <t>최인호</t>
  </si>
  <si>
    <t>여백</t>
  </si>
  <si>
    <t>만들어진 신</t>
  </si>
  <si>
    <t>리처드 도킨스</t>
  </si>
  <si>
    <t>아이디어맨</t>
  </si>
  <si>
    <t>폴앨런</t>
  </si>
  <si>
    <t>-</t>
  </si>
  <si>
    <t>백범일지</t>
  </si>
  <si>
    <t>김구</t>
  </si>
  <si>
    <t>서문당</t>
  </si>
  <si>
    <t>미하엘 쾰마이어의 그리스 로마 신화</t>
  </si>
  <si>
    <t>미하엘 쾰마이어</t>
  </si>
  <si>
    <t>북스캔</t>
  </si>
  <si>
    <t>마당 깊은 집</t>
  </si>
  <si>
    <t>김원일</t>
  </si>
  <si>
    <t>사진이 즐거워지는 사진책</t>
  </si>
  <si>
    <t>채승우</t>
  </si>
  <si>
    <t>그러나 나는 살아가리라</t>
  </si>
  <si>
    <t>유용주</t>
  </si>
  <si>
    <t>솔</t>
  </si>
  <si>
    <r>
      <rPr>
        <sz val="9"/>
        <color rgb="FF000000"/>
        <rFont val="맑은 고딕"/>
        <family val="3"/>
        <charset val="129"/>
      </rPr>
      <t>무량수전 배흘림기둥에 기대서서</t>
    </r>
  </si>
  <si>
    <t>최순우</t>
  </si>
  <si>
    <t>오르세 미술관</t>
  </si>
  <si>
    <t>시모나 바르탈레나</t>
  </si>
  <si>
    <t>타샤의 그림 정원</t>
  </si>
  <si>
    <t>타샤 튜더</t>
  </si>
  <si>
    <t>잃어버린 낙원을 찾아서</t>
  </si>
  <si>
    <t>림행쉬</t>
  </si>
  <si>
    <t>가야북스</t>
  </si>
  <si>
    <t>체사레 보르자 혹은 우아한 냉혹</t>
  </si>
  <si>
    <t>사오노 나나미</t>
  </si>
  <si>
    <t>동물농장</t>
  </si>
  <si>
    <t>꿈꾸는 아이들</t>
  </si>
  <si>
    <t>브리다</t>
  </si>
  <si>
    <t>베로니카, 죽기로 결심하다</t>
  </si>
  <si>
    <t>11분</t>
  </si>
  <si>
    <t>연금술사</t>
  </si>
  <si>
    <t>흐르는 강물처럼</t>
  </si>
  <si>
    <t>상실의 시대</t>
  </si>
  <si>
    <t>내 영혼이 따뜻했던 날들</t>
  </si>
  <si>
    <t>포리스터 카터</t>
  </si>
  <si>
    <t>아름드리미디어</t>
  </si>
  <si>
    <t>칭찬은 고래도 춤추게 한다</t>
  </si>
  <si>
    <t>켄 블랜차드 외 3</t>
  </si>
  <si>
    <t>마시멜로 이야기</t>
  </si>
  <si>
    <t>호아킴 데 포시다, 엘런 싱어</t>
  </si>
  <si>
    <t>누가 내 치즈를 옮겼을까?</t>
  </si>
  <si>
    <t>스펜서 존스</t>
  </si>
  <si>
    <t>진명출판사</t>
  </si>
  <si>
    <t>대화의 기술 107의 법칙</t>
  </si>
  <si>
    <t>한국인재경영연구회</t>
  </si>
  <si>
    <t>경영자료사</t>
  </si>
  <si>
    <t>그들이 말하지 않는 23가지</t>
  </si>
  <si>
    <t>스눕</t>
  </si>
  <si>
    <t>샘 고슬링</t>
  </si>
  <si>
    <r>
      <rPr>
        <sz val="10"/>
        <color rgb="FF000000"/>
        <rFont val="돋움"/>
        <family val="3"/>
        <charset val="129"/>
      </rPr>
      <t>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도덕인가</t>
    </r>
  </si>
  <si>
    <t>마이클 샌댈</t>
  </si>
  <si>
    <r>
      <rPr>
        <sz val="10"/>
        <color rgb="FF000000"/>
        <rFont val="돋움"/>
        <family val="3"/>
        <charset val="129"/>
      </rPr>
      <t>정의란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무엇인가</t>
    </r>
  </si>
  <si>
    <r>
      <rPr>
        <sz val="10"/>
        <color rgb="FF000000"/>
        <rFont val="돋움"/>
        <family val="3"/>
        <charset val="129"/>
      </rPr>
      <t>달과</t>
    </r>
    <r>
      <rPr>
        <sz val="10"/>
        <color rgb="FF000000"/>
        <rFont val="Arial"/>
        <family val="2"/>
      </rPr>
      <t xml:space="preserve"> 6</t>
    </r>
    <r>
      <rPr>
        <sz val="10"/>
        <color rgb="FF000000"/>
        <rFont val="돋움"/>
        <family val="3"/>
        <charset val="129"/>
      </rPr>
      <t>펜스</t>
    </r>
  </si>
  <si>
    <t>향수</t>
  </si>
  <si>
    <t>개를 데리고 다니는 부인</t>
  </si>
  <si>
    <t>안똔 빠블로비치 체호프</t>
  </si>
  <si>
    <t>죄와 벌(하)</t>
  </si>
  <si>
    <r>
      <rPr>
        <sz val="9"/>
        <color rgb="FF000000"/>
        <rFont val="맑은 고딕"/>
        <family val="3"/>
        <charset val="129"/>
      </rPr>
      <t>표도르 도스또예프스끼</t>
    </r>
  </si>
  <si>
    <t>죄와 벌(상)</t>
  </si>
  <si>
    <t>장미의 이름(하)</t>
  </si>
  <si>
    <t>장미의 이름(상)</t>
  </si>
  <si>
    <t>푸코의 진자-3</t>
  </si>
  <si>
    <t>푸코의 진자-2</t>
  </si>
  <si>
    <t>푸코의 진자-1</t>
  </si>
  <si>
    <t>지금 사랑하지 않는 자, 모두 유죄</t>
  </si>
  <si>
    <t>노희경</t>
  </si>
  <si>
    <t>헤르메스미디어</t>
  </si>
  <si>
    <t>위로</t>
  </si>
  <si>
    <t>이철환</t>
  </si>
  <si>
    <t>1cm+</t>
  </si>
  <si>
    <t>김은주</t>
  </si>
  <si>
    <t>허밍버드</t>
  </si>
  <si>
    <t>행복은 혼자오지 않는다</t>
  </si>
  <si>
    <t>One Plus One</t>
  </si>
  <si>
    <t>조조 모예스</t>
  </si>
  <si>
    <t>살림</t>
  </si>
  <si>
    <t>판매</t>
  </si>
  <si>
    <t>창문 넘어 도망친 100세 노인</t>
  </si>
  <si>
    <t>요나스 요나손</t>
  </si>
  <si>
    <t>진주귀고리 소녀</t>
  </si>
  <si>
    <t>트레이시 슈발리에</t>
  </si>
  <si>
    <t>강</t>
  </si>
  <si>
    <t>연애 소설 읽는 노인</t>
  </si>
  <si>
    <t>루이스 세풀베다</t>
  </si>
  <si>
    <t>월드오브워크래프트 스톰레인지</t>
  </si>
  <si>
    <t>리처드 A. 나크</t>
  </si>
  <si>
    <t>제우미디어</t>
  </si>
  <si>
    <t>2017.04.16</t>
  </si>
  <si>
    <t>워크래프트 - 듀로탄</t>
  </si>
  <si>
    <t>크리스티 골든</t>
  </si>
  <si>
    <t>2016.12.19</t>
  </si>
  <si>
    <t>워크래프트 - 전쟁의 서막</t>
  </si>
  <si>
    <t>반짝 반짝 빛나는</t>
  </si>
  <si>
    <t>에쿠니 가오리</t>
  </si>
  <si>
    <t>꿈의 도시</t>
  </si>
  <si>
    <t>오쿠다 히데오</t>
  </si>
  <si>
    <t>끝없는 이야기</t>
  </si>
  <si>
    <t>미하엘 엔데</t>
  </si>
  <si>
    <t>비룡소</t>
  </si>
  <si>
    <t>1리터의 눈물</t>
  </si>
  <si>
    <t>키토아야</t>
  </si>
  <si>
    <t>이덴슬리벨</t>
  </si>
  <si>
    <t>긍정의 한줄</t>
  </si>
  <si>
    <t>린다 파콘</t>
  </si>
  <si>
    <t>책이있는풍경</t>
  </si>
  <si>
    <t>화성에서 온 남자 금성에서 온 여자</t>
  </si>
  <si>
    <t>존 그레이</t>
  </si>
  <si>
    <t>동녁라이프</t>
  </si>
  <si>
    <t>샐러드 &amp; 소스 만들기</t>
  </si>
  <si>
    <t>전도근, 박명남</t>
  </si>
  <si>
    <t>크라운출판사</t>
  </si>
  <si>
    <t>카산드라의 거울 - 2</t>
  </si>
  <si>
    <t>베르나르 베르베르</t>
  </si>
  <si>
    <t>카산드라의 거울 - 1</t>
  </si>
  <si>
    <t>나무</t>
  </si>
  <si>
    <t>파라다이스 - 2</t>
  </si>
  <si>
    <t>파라다이스 - 1</t>
  </si>
  <si>
    <t>마미야 형제</t>
  </si>
  <si>
    <t>빨간장화</t>
  </si>
  <si>
    <t>공중그네</t>
  </si>
  <si>
    <t>오후다 히데오</t>
  </si>
  <si>
    <t>모방범 - 3</t>
  </si>
  <si>
    <t>미야베 미유키</t>
  </si>
  <si>
    <t>모방범 - 2</t>
  </si>
  <si>
    <t>모방범 - 1</t>
  </si>
  <si>
    <t>1Q84-3</t>
  </si>
  <si>
    <t>1Q84-2</t>
  </si>
  <si>
    <t>1Q84-1</t>
  </si>
  <si>
    <t>모모</t>
  </si>
  <si>
    <t>스피드 당구</t>
  </si>
  <si>
    <t>유효식</t>
  </si>
  <si>
    <t>일신미디어</t>
  </si>
  <si>
    <t>2018.05.00</t>
  </si>
  <si>
    <t>한국 미술</t>
  </si>
  <si>
    <t>샬롯 홀릭</t>
  </si>
  <si>
    <t>재승출판</t>
  </si>
  <si>
    <t>제이나 프라우드무어 : 전쟁의 물결</t>
  </si>
  <si>
    <t>월드오브워크래프트 볼진: 호드의 그림자</t>
  </si>
  <si>
    <t>마이클 A. 스텍폴</t>
  </si>
  <si>
    <t>월드오브워크래프트 - 호드의 탄생</t>
  </si>
  <si>
    <t>월드오브워크래프트 - 아서스</t>
  </si>
  <si>
    <t>프로파간다</t>
  </si>
  <si>
    <t>에드워드 버네이스</t>
  </si>
  <si>
    <t>공존</t>
  </si>
  <si>
    <t>나이트런 파더스데이(상, 하)</t>
  </si>
  <si>
    <t>김성민</t>
  </si>
  <si>
    <t>길찾기</t>
  </si>
  <si>
    <t>걱정이 많아서 걱정인 당신에게</t>
  </si>
  <si>
    <t>한창욱</t>
  </si>
  <si>
    <t>정민미디어</t>
  </si>
  <si>
    <t>밥 먹는 술집을 차렸습니다</t>
  </si>
  <si>
    <t>김광연</t>
  </si>
  <si>
    <t>지콜론북</t>
  </si>
  <si>
    <t>2019.08.22</t>
  </si>
  <si>
    <t>삼귀</t>
  </si>
  <si>
    <t>북스피어</t>
  </si>
  <si>
    <t>이야기 파라독스</t>
  </si>
  <si>
    <t>마틴 가드너</t>
  </si>
  <si>
    <t>사계절</t>
  </si>
  <si>
    <t>기억력의 비밀</t>
  </si>
  <si>
    <t>EBS</t>
  </si>
  <si>
    <t>북폴리오</t>
  </si>
  <si>
    <t>적의 화장법</t>
  </si>
  <si>
    <t>아멜리 노통브</t>
  </si>
  <si>
    <t>문학세계사</t>
  </si>
  <si>
    <t>me Before you</t>
  </si>
  <si>
    <t>할머니가 미안하다고 전해달랬어요</t>
  </si>
  <si>
    <t>프레드릭 배크만</t>
  </si>
  <si>
    <t>박사가 사랑한 수식</t>
  </si>
  <si>
    <t>요가와 요코</t>
  </si>
  <si>
    <t>살인자의 건강법</t>
  </si>
  <si>
    <t>아멜리 노통</t>
  </si>
  <si>
    <t>배고품의 자서전</t>
  </si>
  <si>
    <t>프랑스 여자는 늙지 않는다</t>
  </si>
  <si>
    <t>미레유 길리아노</t>
  </si>
  <si>
    <t>내마음 다치지 않게</t>
  </si>
  <si>
    <t>설레다</t>
  </si>
  <si>
    <t>오베라는 남자</t>
  </si>
  <si>
    <t>나는 단순하게 살기로 했다</t>
  </si>
  <si>
    <t>사사키 후미오</t>
  </si>
  <si>
    <t>생각 버리기 연습2</t>
  </si>
  <si>
    <t>생각 버리기 연습</t>
  </si>
  <si>
    <t>마션</t>
  </si>
  <si>
    <r>
      <rPr>
        <sz val="10"/>
        <color rgb="FF000000"/>
        <rFont val="맑은 고딕"/>
        <family val="3"/>
        <charset val="129"/>
      </rPr>
      <t>앤디 위어</t>
    </r>
  </si>
  <si>
    <t>미움받을 용기</t>
  </si>
  <si>
    <t>기시미 이치로, 고가 후미타케</t>
  </si>
  <si>
    <t>설득의 심리학</t>
  </si>
  <si>
    <t>로버트 치알디니</t>
  </si>
  <si>
    <t>스마트한 심리학 사용법</t>
  </si>
  <si>
    <t>폴커 키츠, 마누엘 투쉬</t>
  </si>
  <si>
    <t>갤리온</t>
  </si>
  <si>
    <t>2014.09.26</t>
  </si>
  <si>
    <t>내 심장을 쏴라</t>
  </si>
  <si>
    <t>정유정</t>
  </si>
  <si>
    <t>시골의사의 아름다운 동행</t>
  </si>
  <si>
    <t>제노사이드</t>
  </si>
  <si>
    <t>다카노 가즈아키</t>
  </si>
  <si>
    <t>황금가지</t>
  </si>
  <si>
    <t>드라큘라</t>
  </si>
  <si>
    <t>브램 스토커</t>
  </si>
  <si>
    <t>키친</t>
  </si>
  <si>
    <t>요시모토 바나나</t>
  </si>
  <si>
    <t>시가 내게로 왔다</t>
  </si>
  <si>
    <t>김용택</t>
  </si>
  <si>
    <t>마음산책</t>
  </si>
  <si>
    <t>도쿄타워</t>
  </si>
  <si>
    <t>꿈꾸는 책들의 도시 - 2</t>
  </si>
  <si>
    <t>발터 뫼르스</t>
  </si>
  <si>
    <t>들녘</t>
  </si>
  <si>
    <t>꿈꾸는 책들의 도시 - 1</t>
  </si>
  <si>
    <t>노란 코끼리</t>
  </si>
  <si>
    <t>스에요시 아키코</t>
  </si>
  <si>
    <t>이가서</t>
  </si>
  <si>
    <t>용의자 X의 헌신</t>
  </si>
  <si>
    <t>하가시노 게이고</t>
  </si>
  <si>
    <t>꼬마 니콜라 - 나 홀로 기차 여행</t>
  </si>
  <si>
    <t>꼬마 니콜라 - 공동 꼴찌</t>
  </si>
  <si>
    <t>꼬마 니콜라 - 초콜릿 공장 소동</t>
  </si>
  <si>
    <t>꼬마 니콜라의 골칫거리</t>
  </si>
  <si>
    <t>꼬마 니콜라와 친구들</t>
  </si>
  <si>
    <t>꼬마 니콜라의 여름방학</t>
  </si>
  <si>
    <t>꼬마 니콜라의 쉬는시간</t>
  </si>
  <si>
    <t>꼬마 니콜라</t>
  </si>
  <si>
    <t>스텝 파더 스텝</t>
  </si>
  <si>
    <t>2013.03.30</t>
  </si>
  <si>
    <t>눈의 아이</t>
  </si>
  <si>
    <t>경청</t>
  </si>
  <si>
    <t>조선영,박현완</t>
  </si>
  <si>
    <t>이집트, 고대 문명의 역사와 보물</t>
  </si>
  <si>
    <t>조르조 페레오</t>
  </si>
  <si>
    <t>나미야 잡화점의 기적</t>
  </si>
  <si>
    <t>템테이션</t>
  </si>
  <si>
    <t>더글라스 케네디</t>
  </si>
  <si>
    <t>밝은세상</t>
  </si>
  <si>
    <t>2012.12.08</t>
  </si>
  <si>
    <t>상식으로 꼭 알아야 할 최고의 명품 최고의 디자이너</t>
  </si>
  <si>
    <t>명수진</t>
  </si>
  <si>
    <t>삼양미디어</t>
  </si>
  <si>
    <t>환상동화</t>
  </si>
  <si>
    <t>하늘연못</t>
  </si>
  <si>
    <t>육식의 종말</t>
  </si>
  <si>
    <t>제레미리프킨</t>
  </si>
  <si>
    <t>과학의 책</t>
  </si>
  <si>
    <t>내셔널지오그래픽</t>
  </si>
  <si>
    <t>2012.06.30</t>
  </si>
  <si>
    <t>지식의 책</t>
  </si>
  <si>
    <t>세계의 역사를 뒤바꾼 1000가지 사건</t>
  </si>
  <si>
    <r>
      <rPr>
        <sz val="9"/>
        <color rgb="FF000000"/>
        <rFont val="맑은 고딕"/>
        <family val="3"/>
        <charset val="129"/>
      </rPr>
      <t>위험한 관계</t>
    </r>
  </si>
  <si>
    <r>
      <rPr>
        <sz val="9"/>
        <color rgb="FF000000"/>
        <rFont val="맑은 고딕"/>
        <family val="3"/>
        <charset val="129"/>
      </rPr>
      <t>더글라스 케네디</t>
    </r>
  </si>
  <si>
    <t>화차</t>
  </si>
  <si>
    <r>
      <rPr>
        <sz val="9"/>
        <color rgb="FF000000"/>
        <rFont val="맑은 고딕"/>
        <family val="3"/>
        <charset val="129"/>
      </rPr>
      <t>미야베 미유키</t>
    </r>
  </si>
  <si>
    <r>
      <rPr>
        <sz val="9"/>
        <color rgb="FF000000"/>
        <rFont val="맑은 고딕"/>
        <family val="3"/>
        <charset val="129"/>
      </rPr>
      <t>시간을 달리는 소녀</t>
    </r>
  </si>
  <si>
    <r>
      <rPr>
        <sz val="9"/>
        <color rgb="FF000000"/>
        <rFont val="맑은 고딕"/>
        <family val="3"/>
        <charset val="129"/>
      </rPr>
      <t>츠츠이 야스타카</t>
    </r>
  </si>
  <si>
    <t>북스토리</t>
  </si>
  <si>
    <t>고우영 삼국지 10</t>
  </si>
  <si>
    <t>고우영</t>
  </si>
  <si>
    <t>애니북스</t>
  </si>
  <si>
    <t>고우영 삼국지 9</t>
  </si>
  <si>
    <t>고우영 삼국지 8</t>
  </si>
  <si>
    <t>고우영 삼국지 7</t>
  </si>
  <si>
    <t>고우영 삼국지 6</t>
  </si>
  <si>
    <t>고우영 삼국지 5</t>
  </si>
  <si>
    <t>고우영 삼국지 4</t>
  </si>
  <si>
    <t>고우영 삼국지 3</t>
  </si>
  <si>
    <t>고우영 삼국지 2</t>
  </si>
  <si>
    <t>고우영 삼국지 1</t>
  </si>
  <si>
    <t>빅 픽쳐</t>
  </si>
  <si>
    <t>운명이다-노무현자서전</t>
  </si>
  <si>
    <t>노무현재단, 유시민정리</t>
  </si>
  <si>
    <t>너무 친한 친구들</t>
  </si>
  <si>
    <t>넬래 노이하우스</t>
  </si>
  <si>
    <t>북로드</t>
  </si>
  <si>
    <t>달려라 정봉주</t>
  </si>
  <si>
    <t>정봉주</t>
  </si>
  <si>
    <t>왕의서재</t>
  </si>
  <si>
    <t>해리포터와 죽음의 성물 - 4</t>
  </si>
  <si>
    <t>조엔 K 롤링</t>
  </si>
  <si>
    <t>문학수첩</t>
  </si>
  <si>
    <t>2011.12.11</t>
  </si>
  <si>
    <t>해리포터와 죽음의 성물 - 3</t>
  </si>
  <si>
    <t>해리포터와 죽음의 성물 - 2</t>
  </si>
  <si>
    <t>해리포터와 죽음의 성물 - 1</t>
  </si>
  <si>
    <t>해리포터와 혼혈왕자 - 4</t>
  </si>
  <si>
    <t>해리포터와 혼혈왕자 - 3</t>
  </si>
  <si>
    <t>해리포터와 혼혈왕자 - 2</t>
  </si>
  <si>
    <t>해리포터와 혼혈왕자 - 1</t>
  </si>
  <si>
    <t>해리포터와 불사조 기사단 - 5</t>
  </si>
  <si>
    <t>해리포터와 불사조 기사단 - 4</t>
  </si>
  <si>
    <t>해리포터와 불사조 기사단 - 3</t>
  </si>
  <si>
    <t>해리포터와 불사조 기사단 - 2</t>
  </si>
  <si>
    <t>해리포터와 불사조 기사단 - 1</t>
  </si>
  <si>
    <t>해리포터와 불의 잔 - 4</t>
  </si>
  <si>
    <t>해리포터와 불의 잔 - 3</t>
  </si>
  <si>
    <t>해리포터와 불의 잔 - 2</t>
  </si>
  <si>
    <t>해리포터와 불의 잔 - 1</t>
  </si>
  <si>
    <t>해리포터와 아즈카반의 죄수 - 2</t>
  </si>
  <si>
    <t>해리포터와 아즈카반의 죄수 - 1</t>
  </si>
  <si>
    <t>해리포터와 비밀의 방 - 2</t>
  </si>
  <si>
    <t>해리포터와 비밀의 방 - 1</t>
  </si>
  <si>
    <t>해리포터와 마법사의 돌 - 2</t>
  </si>
  <si>
    <t>해리포터와 마법사의 돌 - 1</t>
  </si>
  <si>
    <t>작은 아씨들</t>
  </si>
  <si>
    <t>루이자 메이 올콧</t>
  </si>
  <si>
    <t>인디고</t>
  </si>
  <si>
    <t>빨간머리 앤</t>
  </si>
  <si>
    <t>루시 모드 몽고메리</t>
  </si>
  <si>
    <t>백설공주</t>
  </si>
  <si>
    <t>그림 형제</t>
  </si>
  <si>
    <t>눈의 여왕</t>
  </si>
  <si>
    <t>안데르센</t>
  </si>
  <si>
    <t>피노키오</t>
  </si>
  <si>
    <t>카를로 콜로디</t>
  </si>
  <si>
    <t>소년 짐</t>
  </si>
  <si>
    <t>토니 얼리</t>
  </si>
  <si>
    <t>백설공주에게 죽음을</t>
  </si>
  <si>
    <t>살인자들의 섬</t>
  </si>
  <si>
    <t>데니스 루헤인</t>
  </si>
  <si>
    <t>황금 가지</t>
  </si>
  <si>
    <t>죽음본능</t>
  </si>
  <si>
    <t>제드 러벤펠드</t>
  </si>
  <si>
    <t>살인의 해석</t>
  </si>
  <si>
    <t>비채</t>
  </si>
  <si>
    <t>백야행 - 3</t>
  </si>
  <si>
    <t>태동출판사</t>
  </si>
  <si>
    <t>백야행 - 2</t>
  </si>
  <si>
    <t>백야행 - 1</t>
  </si>
  <si>
    <t>한순간 바람이 되어라 - 3</t>
  </si>
  <si>
    <t>사토 다카코</t>
  </si>
  <si>
    <t>노블마인</t>
  </si>
  <si>
    <t>한순간 바람이 되어라 - 2</t>
  </si>
  <si>
    <t>노블애인</t>
  </si>
  <si>
    <t>한순간 바람이 되어라 - 1</t>
  </si>
  <si>
    <t>규장각 각신들의 나날 - 2</t>
  </si>
  <si>
    <t>전은궐</t>
  </si>
  <si>
    <t>파란</t>
  </si>
  <si>
    <t>규장각 각신들의 나날 - 1</t>
  </si>
  <si>
    <t>성균관 유생들의 나날 - 2</t>
  </si>
  <si>
    <t>성균관 유생들의 나날 - 1</t>
  </si>
  <si>
    <t>빵과 장미</t>
  </si>
  <si>
    <t>캐서린 패터슨</t>
  </si>
  <si>
    <t>모던 팥쥐전</t>
  </si>
  <si>
    <t>조선희</t>
  </si>
  <si>
    <t>조선 상고사</t>
  </si>
  <si>
    <t>신채호</t>
  </si>
  <si>
    <t>북북서</t>
  </si>
  <si>
    <t>최근 100년의 세계사</t>
  </si>
  <si>
    <t>우에무라 미쓰오</t>
  </si>
  <si>
    <t>네오비전</t>
  </si>
  <si>
    <t>과자, 내 아이를 해치는 달콤한 유혹</t>
  </si>
  <si>
    <t>안병수</t>
  </si>
  <si>
    <t>국일미디어</t>
  </si>
  <si>
    <t>조선 왕조실록</t>
  </si>
  <si>
    <t>박영규</t>
  </si>
  <si>
    <t>2011.12.06</t>
  </si>
  <si>
    <t>고려 왕조실록</t>
  </si>
  <si>
    <t>신라 왕조실록</t>
  </si>
  <si>
    <t>백제 왕조실록</t>
  </si>
  <si>
    <t>고구려 왕조실록</t>
  </si>
  <si>
    <t>빈센트 반고흐</t>
  </si>
  <si>
    <t>빈센트 반 고흐</t>
  </si>
  <si>
    <t>신 - 3</t>
  </si>
  <si>
    <t>신 - 2</t>
  </si>
  <si>
    <t>신 - 1</t>
  </si>
  <si>
    <t>종이 여자</t>
  </si>
  <si>
    <t>기욤 뮈소</t>
  </si>
  <si>
    <t>구해줘</t>
  </si>
  <si>
    <t>돈 까밀로와 빼뽀네</t>
  </si>
  <si>
    <t>죠반니노 과레스</t>
  </si>
  <si>
    <t>서교출판사</t>
  </si>
  <si>
    <t>마음을 리셋할 때 읽으면 좋은 71가지 어드바이스</t>
  </si>
  <si>
    <t>사이토 시게다</t>
  </si>
  <si>
    <t>지식여행</t>
  </si>
  <si>
    <t>헬가 게버트의 그림 동화</t>
  </si>
  <si>
    <t>헬가 게버트</t>
  </si>
  <si>
    <t>샘터</t>
  </si>
  <si>
    <t>소울메이트</t>
  </si>
  <si>
    <t>세시</t>
  </si>
  <si>
    <t>달팽이 식당</t>
  </si>
  <si>
    <t>오가와 이토</t>
  </si>
  <si>
    <t>인간의 증명</t>
  </si>
  <si>
    <t>모리무라 세이치</t>
  </si>
  <si>
    <t>해문</t>
  </si>
  <si>
    <t>사치코 서점</t>
  </si>
  <si>
    <t>슈카와 미나토</t>
  </si>
  <si>
    <t>약속된 장소에서</t>
  </si>
  <si>
    <t>언더그라운드</t>
  </si>
  <si>
    <t>마음밭에 무얼 심지?</t>
  </si>
  <si>
    <t>최영순</t>
  </si>
  <si>
    <t>해토</t>
  </si>
  <si>
    <t>파페모모 메모리즈</t>
  </si>
  <si>
    <t>심승현</t>
  </si>
  <si>
    <t>홍익출판사</t>
  </si>
  <si>
    <t>연을 쫓는 아이</t>
  </si>
  <si>
    <t>할레드 호세이니</t>
  </si>
  <si>
    <t>열림원</t>
  </si>
  <si>
    <t>청소부 밥</t>
  </si>
  <si>
    <t>토드 홉킨스, 레이 힐버트</t>
  </si>
  <si>
    <t>인간의 두얼굴 : 내면의 진실</t>
  </si>
  <si>
    <t>지식채널</t>
  </si>
  <si>
    <t>인간의 두얼굴 : 외부 조종자</t>
  </si>
  <si>
    <t>EBS, 김지승</t>
  </si>
  <si>
    <r>
      <rPr>
        <sz val="9"/>
        <color rgb="FF000000"/>
        <rFont val="맑은 고딕"/>
        <family val="3"/>
        <charset val="129"/>
      </rPr>
      <t>거의 모든 재난으로 부터 살아남는 법</t>
    </r>
  </si>
  <si>
    <t>성상원, 전명윤</t>
  </si>
  <si>
    <t>웅진 리빙하우스</t>
  </si>
  <si>
    <t>바우돌리노(하)</t>
  </si>
  <si>
    <t>바우돌리노(상)</t>
  </si>
  <si>
    <t>필경사 바틀비</t>
  </si>
  <si>
    <t>하비에르 사발라</t>
  </si>
  <si>
    <t>IT BOOKS</t>
  </si>
  <si>
    <t>대현</t>
  </si>
  <si>
    <t>문선</t>
  </si>
  <si>
    <t>요즘 당근 AI 개발</t>
  </si>
  <si>
    <t>당근팀</t>
  </si>
  <si>
    <t>골든래빗</t>
  </si>
  <si>
    <t>MCP로 똑똑하게 일하는 법</t>
  </si>
  <si>
    <t>케이트리</t>
  </si>
  <si>
    <t>제이펍</t>
  </si>
  <si>
    <t>개발자를 넘어 기술 리더로 가는 길</t>
  </si>
  <si>
    <t>타냐 라일리</t>
  </si>
  <si>
    <t>디코딩</t>
  </si>
  <si>
    <t>2025.04.08</t>
  </si>
  <si>
    <t>데이터 메시</t>
  </si>
  <si>
    <t>세막 데그하니</t>
  </si>
  <si>
    <t>한빛미디어</t>
  </si>
  <si>
    <t>모던 리액트 Deep Dive</t>
  </si>
  <si>
    <t>김용찬</t>
  </si>
  <si>
    <t>위키북스</t>
  </si>
  <si>
    <t>O</t>
  </si>
  <si>
    <t>생활코딩! Ract 리액트 프로그래밍</t>
  </si>
  <si>
    <t>이고잉</t>
  </si>
  <si>
    <t>소프트웨어 설계의 정석</t>
  </si>
  <si>
    <t>요시하라 쇼자부로</t>
  </si>
  <si>
    <t>개발자 원칙</t>
  </si>
  <si>
    <t>박성철 외 8명</t>
  </si>
  <si>
    <t>코드 밖 커뮤니케이션</t>
  </si>
  <si>
    <t>재퀴 리드</t>
  </si>
  <si>
    <t>Do it! Vue.js 입문</t>
  </si>
  <si>
    <t>장기효</t>
  </si>
  <si>
    <t>이지스퍼블리싱</t>
  </si>
  <si>
    <t xml:space="preserve">데이터아키텍처 준전문가(DAsP) 한 권으로 끝내기 </t>
  </si>
  <si>
    <t>김상목</t>
  </si>
  <si>
    <t>마크리더</t>
  </si>
  <si>
    <t>SQL 자격검정 실전문제</t>
  </si>
  <si>
    <t>한국데이터산업진흥원</t>
  </si>
  <si>
    <t>피닉스 프로젝트</t>
  </si>
  <si>
    <t>진킴, 케빈 베어, 조지 스패포트</t>
  </si>
  <si>
    <t>데이터 모델링 실전처럼 시작하기</t>
  </si>
  <si>
    <t>박종원</t>
  </si>
  <si>
    <t>세나북스</t>
  </si>
  <si>
    <t>데이터 분석 준전문가</t>
  </si>
  <si>
    <t>윤종식</t>
  </si>
  <si>
    <t>데이터에듀</t>
  </si>
  <si>
    <t>데이터 모델링 이야기</t>
  </si>
  <si>
    <t>김상래</t>
  </si>
  <si>
    <t>IT 엔지니어를 위한 네트워크 입문</t>
  </si>
  <si>
    <t>고재성, 이상훈</t>
  </si>
  <si>
    <t>길벗</t>
  </si>
  <si>
    <t>사용자 스토리</t>
  </si>
  <si>
    <t>마이크 콘</t>
  </si>
  <si>
    <t>익스트림 프로그래밍</t>
  </si>
  <si>
    <t>켄트 벡, 신시아 안드레스</t>
  </si>
  <si>
    <t>애자일 회고</t>
  </si>
  <si>
    <t>에스더 더비, 다이애나 라센</t>
  </si>
  <si>
    <t>클린 코더</t>
  </si>
  <si>
    <t>로버트 C.마틴</t>
  </si>
  <si>
    <t>2022.06.08</t>
  </si>
  <si>
    <t>읽기 좋은 코드가 좋은 코드다</t>
  </si>
  <si>
    <t>더스트 보즈웨, 트레버 파우커</t>
  </si>
  <si>
    <t>레거시 코드 활용 전략</t>
  </si>
  <si>
    <t>마이클 C. 페더스</t>
  </si>
  <si>
    <t>2022.05.11</t>
  </si>
  <si>
    <t>함께 자라기</t>
  </si>
  <si>
    <t>김창준</t>
  </si>
  <si>
    <t>도메인 주도 개발 시작하기</t>
  </si>
  <si>
    <t>최범균</t>
  </si>
  <si>
    <t>2022.04.13</t>
  </si>
  <si>
    <t>테스트 주도 개발</t>
  </si>
  <si>
    <t>켄트 벡</t>
  </si>
  <si>
    <t>코드로 배우는 스프링 부트 웹 프로젝트</t>
  </si>
  <si>
    <t>구멍가게 코딩단</t>
  </si>
  <si>
    <t>남가람북스</t>
  </si>
  <si>
    <t>2022.03.13</t>
  </si>
  <si>
    <t>아파치 카프가</t>
  </si>
  <si>
    <t>최원영</t>
  </si>
  <si>
    <t>비제이퍼블릭</t>
  </si>
  <si>
    <t>2022.02.03</t>
  </si>
  <si>
    <t>클린 코드</t>
  </si>
  <si>
    <t>클린 아키텍처</t>
  </si>
  <si>
    <t>데이터 중심 애플리케이션 설계</t>
  </si>
  <si>
    <t>마틴 클레이프만</t>
  </si>
  <si>
    <t>클린 애자일</t>
  </si>
  <si>
    <t>스프링 부트와 AWS로 혼자 구현하는 웹 서비스</t>
  </si>
  <si>
    <t>이동욱</t>
  </si>
  <si>
    <t>프리렉</t>
  </si>
  <si>
    <t>2021.11.23</t>
  </si>
  <si>
    <t>배워서 바로 쓰는 14가지 AWS 구축 패턴</t>
  </si>
  <si>
    <t>가와카미 아키히사</t>
  </si>
  <si>
    <t>클라우드 네이티브 인프라스트럭처</t>
  </si>
  <si>
    <t>저스틴 게리슨, 크리스 노바</t>
  </si>
  <si>
    <t>2021.10.29</t>
  </si>
  <si>
    <t>마이크로서비스 도입 이렇게 한다</t>
  </si>
  <si>
    <t>샘 뉴먼</t>
  </si>
  <si>
    <t>도메인 주도 설계 철저 입문</t>
  </si>
  <si>
    <t>나루세 마사노부</t>
  </si>
  <si>
    <t>2021.09.27</t>
  </si>
  <si>
    <t>소프트웨어 아키텍처 : 이론과 실제 - 개정3판</t>
  </si>
  <si>
    <t>렌 베스</t>
  </si>
  <si>
    <t>에이콘출판</t>
  </si>
  <si>
    <t>2021.07.29</t>
  </si>
  <si>
    <r>
      <rPr>
        <sz val="9"/>
        <color rgb="FF222222"/>
        <rFont val="Arial"/>
        <family val="2"/>
      </rPr>
      <t>개발자에서 아키텍트로</t>
    </r>
    <r>
      <rPr>
        <sz val="9"/>
        <color rgb="FF222222"/>
        <rFont val="Arial"/>
        <family val="2"/>
      </rPr>
      <t xml:space="preserve"> - 38가지 팀 활동을 활용한 실전 소프트웨어 아키텍트 훈련법</t>
    </r>
  </si>
  <si>
    <t>마이클 킬링</t>
  </si>
  <si>
    <t>자바 ORM 표준 JPA 프로그래밍</t>
  </si>
  <si>
    <t>김영한</t>
  </si>
  <si>
    <t>읽는 중</t>
  </si>
  <si>
    <t>생각하는 프로그래밍 - 프로그래밍 본질에 관한 15가지 에세이</t>
  </si>
  <si>
    <t>존 벤틀리</t>
  </si>
  <si>
    <t>2021.05.24</t>
  </si>
  <si>
    <t>스프링 부트 코딩 공작소</t>
  </si>
  <si>
    <t>크레이그 월즈</t>
  </si>
  <si>
    <t>객체지향의 사실과 오해 - 역할, 책임, 협력 관점에서 본 객체지향</t>
  </si>
  <si>
    <t>조영호</t>
  </si>
  <si>
    <t>2021.04.19</t>
  </si>
  <si>
    <t>엔터프라이즈 애플리케이션 아키텍처 패턴</t>
  </si>
  <si>
    <t>마틴 파울러</t>
  </si>
  <si>
    <t>리펙터링 2판</t>
  </si>
  <si>
    <t>2021.03.11</t>
  </si>
  <si>
    <t>개발자의 글쓰기</t>
  </si>
  <si>
    <t>김철수</t>
  </si>
  <si>
    <t>2021.03.08</t>
  </si>
  <si>
    <t>gRPC 시작에서 운영까지</t>
  </si>
  <si>
    <t>카순</t>
  </si>
  <si>
    <t>2021.02.01</t>
  </si>
  <si>
    <t>도메인 주도 설계</t>
  </si>
  <si>
    <t>에릭 에반스</t>
  </si>
  <si>
    <t>자바 기반의 마이크로서비스 이해와 아키텍처 구축하기</t>
  </si>
  <si>
    <t>박성훈</t>
  </si>
  <si>
    <t>Head First Python</t>
  </si>
  <si>
    <t>폴 베리</t>
  </si>
  <si>
    <t>2020.04.27</t>
  </si>
  <si>
    <t>실용주의 프로그래머</t>
  </si>
  <si>
    <t>데이비드 토머스</t>
  </si>
  <si>
    <t>개발자와 DBA를 위한 Real MySQL</t>
  </si>
  <si>
    <t>이성욱</t>
  </si>
  <si>
    <t>2020.03.16</t>
  </si>
  <si>
    <t>이것이 MariaDB다</t>
  </si>
  <si>
    <t>우재남</t>
  </si>
  <si>
    <t>2020.02.24</t>
  </si>
  <si>
    <t>마이크로서비스 아키텍처 구축 - 대용량 시스템의 효율적인 분산 설계 기법</t>
  </si>
  <si>
    <t>2018.12.26</t>
  </si>
  <si>
    <t>시작하세요! 도커</t>
  </si>
  <si>
    <t>용찬호</t>
  </si>
  <si>
    <t>HTTP 완벽 가이드</t>
  </si>
  <si>
    <t>데이빗 고울리</t>
  </si>
  <si>
    <t>2017.11.08</t>
  </si>
  <si>
    <t>구글 애널리틱스를 활용한 데이터분석 입문</t>
  </si>
  <si>
    <t xml:space="preserve">김진 </t>
  </si>
  <si>
    <t>머니매그넷주식회사</t>
  </si>
  <si>
    <t>2017.04.27</t>
  </si>
  <si>
    <t>파이썬 3</t>
  </si>
  <si>
    <t>폴 배리</t>
  </si>
  <si>
    <t>파이썬 코딩 도장</t>
  </si>
  <si>
    <t>남재윤</t>
  </si>
  <si>
    <t>하이브 완벽 가이드</t>
  </si>
  <si>
    <t>에드워드 카프리올로</t>
  </si>
  <si>
    <t>IT 아키텍트가 하지 말아야 할 128가지</t>
  </si>
  <si>
    <t>니케이시스템즈</t>
  </si>
  <si>
    <t>로드북</t>
  </si>
  <si>
    <t>거침없이 배우는 하둡</t>
  </si>
  <si>
    <t>첡 램</t>
  </si>
  <si>
    <t>지앤선</t>
  </si>
  <si>
    <t>쿠버네티스를 활용한 클라우드 네이티브 데이옵스</t>
  </si>
  <si>
    <t>존 어들런, 저스틴 도밍거스</t>
  </si>
  <si>
    <t>HBase 인액션</t>
  </si>
  <si>
    <t>닉 디미덕, 아만딥 쿠라나</t>
  </si>
  <si>
    <t>UML 실전에서는 이것만 쓴다</t>
  </si>
  <si>
    <t>로버트 C. 마틴</t>
  </si>
  <si>
    <t># 독서</t>
  </si>
  <si>
    <t>Year</t>
  </si>
  <si>
    <t>합계</t>
  </si>
  <si>
    <t>연도불명</t>
  </si>
  <si>
    <t>Average</t>
  </si>
  <si>
    <t>Total</t>
  </si>
  <si>
    <t>공통</t>
  </si>
  <si>
    <t>읽음</t>
  </si>
  <si>
    <t>안 읽을</t>
  </si>
  <si>
    <t>읽어야 할</t>
  </si>
  <si>
    <t>구입</t>
  </si>
  <si>
    <t>보관</t>
  </si>
  <si>
    <t>년</t>
  </si>
  <si>
    <t>IT 천재들</t>
  </si>
  <si>
    <t>고용면접의 구조와 과정</t>
  </si>
  <si>
    <t>이기적 유전자</t>
  </si>
  <si>
    <t>프로젝트 헤일메리</t>
  </si>
  <si>
    <t>수레바퀴 아래서</t>
  </si>
  <si>
    <t>셜록의 기억력을 훔처라(정계원)(대여)</t>
  </si>
  <si>
    <t>대용량 아키텍처와 성능 튜닝</t>
  </si>
  <si>
    <r>
      <rPr>
        <sz val="9"/>
        <color rgb="FF000000"/>
        <rFont val="돋움"/>
        <family val="3"/>
        <charset val="129"/>
      </rPr>
      <t>말테의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수기</t>
    </r>
  </si>
  <si>
    <r>
      <rPr>
        <sz val="10"/>
        <color rgb="FF000000"/>
        <rFont val="돋움"/>
        <family val="3"/>
        <charset val="129"/>
      </rPr>
      <t>관계의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본심</t>
    </r>
  </si>
  <si>
    <r>
      <rPr>
        <sz val="9"/>
        <color rgb="FF000000"/>
        <rFont val="돋움"/>
        <family val="3"/>
        <charset val="129"/>
      </rPr>
      <t>월드오브워크래프트</t>
    </r>
    <r>
      <rPr>
        <sz val="9"/>
        <color rgb="FF000000"/>
        <rFont val="Arial"/>
        <family val="2"/>
      </rPr>
      <t xml:space="preserve"> - </t>
    </r>
    <r>
      <rPr>
        <sz val="9"/>
        <color rgb="FF000000"/>
        <rFont val="돋움"/>
        <family val="3"/>
        <charset val="129"/>
      </rPr>
      <t>호드의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탄생</t>
    </r>
  </si>
  <si>
    <r>
      <rPr>
        <sz val="9"/>
        <color rgb="FF000000"/>
        <rFont val="돋움"/>
        <family val="3"/>
        <charset val="129"/>
      </rPr>
      <t>워크래프트</t>
    </r>
    <r>
      <rPr>
        <sz val="9"/>
        <color rgb="FF000000"/>
        <rFont val="Arial"/>
        <family val="2"/>
      </rPr>
      <t xml:space="preserve"> - </t>
    </r>
    <r>
      <rPr>
        <sz val="9"/>
        <color rgb="FF000000"/>
        <rFont val="돋움"/>
        <family val="3"/>
        <charset val="129"/>
      </rPr>
      <t>전쟁의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서막</t>
    </r>
  </si>
  <si>
    <r>
      <rPr>
        <sz val="9"/>
        <color rgb="FF000000"/>
        <rFont val="돋움"/>
        <family val="3"/>
        <charset val="129"/>
      </rPr>
      <t>월드오브워크래프트</t>
    </r>
    <r>
      <rPr>
        <sz val="9"/>
        <color rgb="FF000000"/>
        <rFont val="Arial"/>
        <family val="2"/>
      </rPr>
      <t xml:space="preserve"> - </t>
    </r>
    <r>
      <rPr>
        <sz val="9"/>
        <color rgb="FF000000"/>
        <rFont val="돋움"/>
        <family val="3"/>
        <charset val="129"/>
      </rPr>
      <t>호드의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탄생</t>
    </r>
  </si>
  <si>
    <r>
      <rPr>
        <sz val="9"/>
        <color rgb="FF000000"/>
        <rFont val="돋움"/>
        <family val="3"/>
        <charset val="129"/>
      </rPr>
      <t>월드오브워크래프트</t>
    </r>
    <r>
      <rPr>
        <sz val="9"/>
        <color rgb="FF000000"/>
        <rFont val="Arial"/>
        <family val="2"/>
      </rPr>
      <t xml:space="preserve"> - </t>
    </r>
    <r>
      <rPr>
        <sz val="9"/>
        <color rgb="FF000000"/>
        <rFont val="돋움"/>
        <family val="3"/>
        <charset val="129"/>
      </rPr>
      <t>아서스</t>
    </r>
  </si>
  <si>
    <r>
      <rPr>
        <sz val="9"/>
        <color rgb="FF000000"/>
        <rFont val="돋움"/>
        <family val="3"/>
        <charset val="129"/>
      </rPr>
      <t>월드오브워크래프트</t>
    </r>
    <r>
      <rPr>
        <sz val="9"/>
        <color rgb="FF000000"/>
        <rFont val="Arial"/>
        <family val="2"/>
      </rPr>
      <t xml:space="preserve"> - </t>
    </r>
    <r>
      <rPr>
        <sz val="9"/>
        <color rgb="FF000000"/>
        <rFont val="돋움"/>
        <family val="3"/>
        <charset val="129"/>
      </rPr>
      <t>아서스</t>
    </r>
  </si>
  <si>
    <r>
      <rPr>
        <sz val="9"/>
        <color rgb="FF000000"/>
        <rFont val="돋움"/>
        <family val="3"/>
        <charset val="129"/>
      </rPr>
      <t>벨킨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이야기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스페이드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여왕</t>
    </r>
  </si>
  <si>
    <r>
      <rPr>
        <sz val="9"/>
        <color rgb="FF000000"/>
        <rFont val="돋움"/>
        <family val="3"/>
        <charset val="129"/>
      </rPr>
      <t>논리의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기술</t>
    </r>
  </si>
  <si>
    <r>
      <rPr>
        <sz val="9"/>
        <color rgb="FF000000"/>
        <rFont val="돋움"/>
        <family val="3"/>
        <charset val="129"/>
      </rPr>
      <t>배고품의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자서전</t>
    </r>
  </si>
  <si>
    <r>
      <rPr>
        <sz val="9"/>
        <color rgb="FF000000"/>
        <rFont val="돋움"/>
        <family val="3"/>
        <charset val="129"/>
      </rPr>
      <t>연애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소설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읽는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노인</t>
    </r>
  </si>
  <si>
    <r>
      <rPr>
        <sz val="9"/>
        <color rgb="FF000000"/>
        <rFont val="돋움"/>
        <family val="3"/>
        <charset val="129"/>
      </rPr>
      <t>박사가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사랑한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수식</t>
    </r>
  </si>
  <si>
    <r>
      <rPr>
        <sz val="9"/>
        <color rgb="FF000000"/>
        <rFont val="돋움"/>
        <family val="3"/>
        <charset val="129"/>
      </rPr>
      <t>연애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소설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읽는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노인</t>
    </r>
  </si>
  <si>
    <r>
      <rPr>
        <sz val="9"/>
        <color rgb="FF000000"/>
        <rFont val="돋움"/>
        <family val="3"/>
        <charset val="129"/>
      </rPr>
      <t>배고품의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자서전</t>
    </r>
  </si>
  <si>
    <r>
      <rPr>
        <sz val="9"/>
        <color rgb="FF000000"/>
        <rFont val="돋움"/>
        <family val="3"/>
        <charset val="129"/>
      </rPr>
      <t>월드오브워크래프트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스톰레인지</t>
    </r>
  </si>
  <si>
    <r>
      <rPr>
        <sz val="9"/>
        <color rgb="FF000000"/>
        <rFont val="돋움"/>
        <family val="3"/>
        <charset val="129"/>
      </rPr>
      <t>플랑드르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거장의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그림</t>
    </r>
  </si>
  <si>
    <r>
      <rPr>
        <sz val="9"/>
        <color rgb="FF000000"/>
        <rFont val="돋움"/>
        <family val="3"/>
        <charset val="129"/>
      </rPr>
      <t>적의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화장법</t>
    </r>
  </si>
  <si>
    <r>
      <rPr>
        <sz val="9"/>
        <color rgb="FF000000"/>
        <rFont val="돋움"/>
        <family val="3"/>
        <charset val="129"/>
      </rPr>
      <t>살인자의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기억법</t>
    </r>
  </si>
  <si>
    <r>
      <rPr>
        <sz val="9"/>
        <color rgb="FF000000"/>
        <rFont val="돋움"/>
        <family val="3"/>
        <charset val="129"/>
      </rPr>
      <t>버리고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것만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남아서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홀가분하다</t>
    </r>
  </si>
  <si>
    <r>
      <rPr>
        <sz val="10"/>
        <color rgb="FF000000"/>
        <rFont val="돋움"/>
        <family val="3"/>
        <charset val="129"/>
      </rPr>
      <t>베니스의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상인</t>
    </r>
  </si>
  <si>
    <r>
      <rPr>
        <sz val="9"/>
        <color rgb="FF000000"/>
        <rFont val="돋움"/>
        <family val="3"/>
        <charset val="129"/>
      </rPr>
      <t>당신은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전략가입니까</t>
    </r>
  </si>
  <si>
    <r>
      <rPr>
        <sz val="9"/>
        <color rgb="FF000000"/>
        <rFont val="돋움"/>
        <family val="3"/>
        <charset val="129"/>
      </rPr>
      <t>생각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버리기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연습</t>
    </r>
  </si>
  <si>
    <r>
      <rPr>
        <sz val="9"/>
        <color rgb="FF000000"/>
        <rFont val="돋움"/>
        <family val="3"/>
        <charset val="129"/>
      </rPr>
      <t>독서의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기술</t>
    </r>
  </si>
  <si>
    <r>
      <rPr>
        <sz val="9"/>
        <color rgb="FF000000"/>
        <rFont val="돋움"/>
        <family val="3"/>
        <charset val="129"/>
      </rPr>
      <t>차라투스트라는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이렇게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말했다</t>
    </r>
  </si>
  <si>
    <r>
      <rPr>
        <sz val="9"/>
        <color rgb="FF000000"/>
        <rFont val="돋움"/>
        <family val="3"/>
        <charset val="129"/>
      </rPr>
      <t>사람을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남겨라</t>
    </r>
  </si>
  <si>
    <r>
      <rPr>
        <sz val="9"/>
        <color rgb="FF000000"/>
        <rFont val="돋움"/>
        <family val="3"/>
        <charset val="129"/>
      </rPr>
      <t>대통령의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글쓰기</t>
    </r>
  </si>
  <si>
    <r>
      <rPr>
        <sz val="9"/>
        <color rgb="FF000000"/>
        <rFont val="돋움"/>
        <family val="3"/>
        <charset val="129"/>
      </rPr>
      <t>나는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단순하게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살기로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했다</t>
    </r>
  </si>
  <si>
    <r>
      <rPr>
        <sz val="9"/>
        <color rgb="FF000000"/>
        <rFont val="돋움"/>
        <family val="3"/>
        <charset val="129"/>
      </rPr>
      <t>리더의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그릇</t>
    </r>
  </si>
  <si>
    <r>
      <rPr>
        <sz val="9"/>
        <color rgb="FF000000"/>
        <rFont val="돋움"/>
        <family val="3"/>
        <charset val="129"/>
      </rPr>
      <t>대통령의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글쓰기</t>
    </r>
  </si>
  <si>
    <r>
      <rPr>
        <sz val="9"/>
        <color rgb="FF000000"/>
        <rFont val="돋움"/>
        <family val="3"/>
        <charset val="129"/>
      </rPr>
      <t>고려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왕조실록</t>
    </r>
  </si>
  <si>
    <r>
      <rPr>
        <sz val="9"/>
        <color rgb="FF000000"/>
        <rFont val="돋움"/>
        <family val="3"/>
        <charset val="129"/>
      </rPr>
      <t>좁은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문</t>
    </r>
  </si>
  <si>
    <r>
      <rPr>
        <sz val="9"/>
        <color rgb="FF000000"/>
        <rFont val="돋움"/>
        <family val="3"/>
        <charset val="129"/>
      </rPr>
      <t>워크래프트</t>
    </r>
    <r>
      <rPr>
        <sz val="9"/>
        <color rgb="FF000000"/>
        <rFont val="Arial"/>
        <family val="2"/>
      </rPr>
      <t xml:space="preserve"> - </t>
    </r>
    <r>
      <rPr>
        <sz val="9"/>
        <color rgb="FF000000"/>
        <rFont val="돋움"/>
        <family val="3"/>
        <charset val="129"/>
      </rPr>
      <t>전쟁의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서막</t>
    </r>
  </si>
  <si>
    <r>
      <rPr>
        <sz val="9"/>
        <color rgb="FF000000"/>
        <rFont val="돋움"/>
        <family val="3"/>
        <charset val="129"/>
      </rPr>
      <t>워크래프트</t>
    </r>
    <r>
      <rPr>
        <sz val="9"/>
        <color rgb="FF000000"/>
        <rFont val="Arial"/>
        <family val="2"/>
      </rPr>
      <t xml:space="preserve"> - </t>
    </r>
    <r>
      <rPr>
        <sz val="9"/>
        <color rgb="FF000000"/>
        <rFont val="돋움"/>
        <family val="3"/>
        <charset val="129"/>
      </rPr>
      <t>듀로탄</t>
    </r>
  </si>
  <si>
    <r>
      <rPr>
        <sz val="9"/>
        <color rgb="FF000000"/>
        <rFont val="돋움"/>
        <family val="3"/>
        <charset val="129"/>
      </rPr>
      <t>황야의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이리</t>
    </r>
  </si>
  <si>
    <r>
      <rPr>
        <sz val="9"/>
        <color rgb="FF000000"/>
        <rFont val="돋움"/>
        <family val="3"/>
        <charset val="129"/>
      </rPr>
      <t>설득의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심리학</t>
    </r>
  </si>
  <si>
    <r>
      <rPr>
        <sz val="10"/>
        <color rgb="FF000000"/>
        <rFont val="돋움"/>
        <family val="3"/>
        <charset val="129"/>
      </rPr>
      <t>할아버지가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보여주고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싶은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서양명화</t>
    </r>
    <r>
      <rPr>
        <sz val="10"/>
        <color rgb="FF000000"/>
        <rFont val="Arial"/>
        <family val="2"/>
      </rPr>
      <t xml:space="preserve"> 101</t>
    </r>
  </si>
  <si>
    <r>
      <rPr>
        <sz val="9"/>
        <color rgb="FF000000"/>
        <rFont val="돋움"/>
        <family val="3"/>
        <charset val="129"/>
      </rPr>
      <t>세계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철학사</t>
    </r>
  </si>
  <si>
    <r>
      <rPr>
        <sz val="9"/>
        <color rgb="FF000000"/>
        <rFont val="돋움"/>
        <family val="3"/>
        <charset val="129"/>
      </rPr>
      <t>칼의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노래</t>
    </r>
  </si>
  <si>
    <r>
      <rPr>
        <sz val="9"/>
        <color rgb="FF000000"/>
        <rFont val="돋움"/>
        <family val="3"/>
        <charset val="129"/>
      </rPr>
      <t>육식의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종말</t>
    </r>
  </si>
  <si>
    <r>
      <rPr>
        <sz val="9"/>
        <color rgb="FF000000"/>
        <rFont val="돋움"/>
        <family val="3"/>
        <charset val="129"/>
      </rPr>
      <t>일본전산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이야기</t>
    </r>
  </si>
  <si>
    <r>
      <rPr>
        <sz val="9"/>
        <color rgb="FF000000"/>
        <rFont val="돋움"/>
        <family val="3"/>
        <charset val="129"/>
      </rPr>
      <t>유시민의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글쓰기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특강</t>
    </r>
  </si>
  <si>
    <r>
      <rPr>
        <sz val="9"/>
        <color rgb="FF000000"/>
        <rFont val="돋움"/>
        <family val="3"/>
        <charset val="129"/>
      </rPr>
      <t>세계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명화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비밀</t>
    </r>
  </si>
  <si>
    <r>
      <rPr>
        <sz val="9"/>
        <color rgb="FF000000"/>
        <rFont val="돋움"/>
        <family val="3"/>
        <charset val="129"/>
      </rPr>
      <t>유시민의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글쓰기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특강</t>
    </r>
  </si>
  <si>
    <r>
      <rPr>
        <sz val="9"/>
        <color rgb="FF000000"/>
        <rFont val="Arial"/>
        <family val="2"/>
      </rPr>
      <t>1</t>
    </r>
    <r>
      <rPr>
        <sz val="9"/>
        <color rgb="FF000000"/>
        <rFont val="돋움"/>
        <family val="3"/>
        <charset val="129"/>
      </rPr>
      <t>리터의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눈물</t>
    </r>
  </si>
  <si>
    <r>
      <rPr>
        <sz val="9"/>
        <color rgb="FF000000"/>
        <rFont val="돋움"/>
        <family val="3"/>
        <charset val="129"/>
      </rPr>
      <t>지적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대화를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위한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넓고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얕은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지식</t>
    </r>
    <r>
      <rPr>
        <sz val="9"/>
        <color rgb="FF000000"/>
        <rFont val="Arial"/>
        <family val="2"/>
      </rPr>
      <t xml:space="preserve"> : </t>
    </r>
    <r>
      <rPr>
        <sz val="9"/>
        <color rgb="FF000000"/>
        <rFont val="돋움"/>
        <family val="3"/>
        <charset val="129"/>
      </rPr>
      <t>현실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세계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편</t>
    </r>
  </si>
  <si>
    <r>
      <rPr>
        <sz val="9"/>
        <color rgb="FF000000"/>
        <rFont val="돋움"/>
        <family val="3"/>
        <charset val="129"/>
      </rPr>
      <t>지적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대화를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위한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넓고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얕은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지식</t>
    </r>
    <r>
      <rPr>
        <sz val="9"/>
        <color rgb="FF000000"/>
        <rFont val="Arial"/>
        <family val="2"/>
      </rPr>
      <t xml:space="preserve"> : </t>
    </r>
    <r>
      <rPr>
        <sz val="9"/>
        <color rgb="FF000000"/>
        <rFont val="돋움"/>
        <family val="3"/>
        <charset val="129"/>
      </rPr>
      <t>현실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세계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편</t>
    </r>
  </si>
  <si>
    <t>지적 대화를 위한 넓고 얕은 지식 : 현실 너머 편</t>
  </si>
  <si>
    <r>
      <rPr>
        <sz val="9"/>
        <color rgb="FF000000"/>
        <rFont val="돋움"/>
        <family val="3"/>
        <charset val="129"/>
      </rPr>
      <t>조국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현상을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말한다</t>
    </r>
    <r>
      <rPr>
        <sz val="9"/>
        <color rgb="FF000000"/>
        <rFont val="Arial"/>
        <family val="2"/>
      </rPr>
      <t xml:space="preserve"> - </t>
    </r>
    <r>
      <rPr>
        <sz val="9"/>
        <color rgb="FF000000"/>
        <rFont val="돋움"/>
        <family val="3"/>
        <charset val="129"/>
      </rPr>
      <t>개정판</t>
    </r>
  </si>
  <si>
    <r>
      <rPr>
        <sz val="9"/>
        <color rgb="FF000000"/>
        <rFont val="돋움"/>
        <family val="3"/>
        <charset val="129"/>
      </rPr>
      <t>노인과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바다</t>
    </r>
  </si>
  <si>
    <r>
      <rPr>
        <sz val="9"/>
        <color rgb="FF000000"/>
        <rFont val="돋움"/>
        <family val="3"/>
        <charset val="129"/>
      </rPr>
      <t>노인과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바다</t>
    </r>
  </si>
  <si>
    <t>자전거 여행1</t>
  </si>
  <si>
    <r>
      <rPr>
        <sz val="10"/>
        <color rgb="FF000000"/>
        <rFont val="돋움"/>
        <family val="3"/>
        <charset val="129"/>
      </rPr>
      <t>자전거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여행</t>
    </r>
    <r>
      <rPr>
        <sz val="10"/>
        <color rgb="FF000000"/>
        <rFont val="Arial"/>
        <family val="2"/>
      </rPr>
      <t>2</t>
    </r>
  </si>
  <si>
    <t>자전거 여행2</t>
  </si>
  <si>
    <r>
      <rPr>
        <sz val="9"/>
        <color rgb="FF000000"/>
        <rFont val="돋움"/>
        <family val="3"/>
        <charset val="129"/>
      </rPr>
      <t>소크라테스의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변명</t>
    </r>
  </si>
  <si>
    <r>
      <rPr>
        <sz val="9"/>
        <color rgb="FF000000"/>
        <rFont val="돋움"/>
        <family val="3"/>
        <charset val="129"/>
      </rPr>
      <t>설득의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심리학</t>
    </r>
    <r>
      <rPr>
        <sz val="9"/>
        <color rgb="FF000000"/>
        <rFont val="Arial"/>
        <family val="2"/>
      </rPr>
      <t>2</t>
    </r>
  </si>
  <si>
    <r>
      <rPr>
        <sz val="9"/>
        <color rgb="FF000000"/>
        <rFont val="돋움"/>
        <family val="3"/>
        <charset val="129"/>
      </rPr>
      <t>베니스의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상인</t>
    </r>
  </si>
  <si>
    <r>
      <rPr>
        <sz val="9"/>
        <color rgb="FF000000"/>
        <rFont val="돋움"/>
        <family val="3"/>
        <charset val="129"/>
      </rPr>
      <t>방드르디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태평양의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끝</t>
    </r>
  </si>
  <si>
    <r>
      <rPr>
        <sz val="9"/>
        <color rgb="FF000000"/>
        <rFont val="돋움"/>
        <family val="3"/>
        <charset val="129"/>
      </rPr>
      <t>수레바퀴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아래서</t>
    </r>
  </si>
  <si>
    <r>
      <rPr>
        <sz val="9"/>
        <color rgb="FF000000"/>
        <rFont val="돋움"/>
        <family val="3"/>
        <charset val="129"/>
      </rPr>
      <t>푸르스트가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우리의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삶을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바꾸는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방법들</t>
    </r>
  </si>
  <si>
    <r>
      <rPr>
        <sz val="9"/>
        <color rgb="FF000000"/>
        <rFont val="돋움"/>
        <family val="3"/>
        <charset val="129"/>
      </rPr>
      <t>긍정의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힘</t>
    </r>
  </si>
  <si>
    <r>
      <rPr>
        <sz val="9"/>
        <color rgb="FF000000"/>
        <rFont val="돋움"/>
        <family val="3"/>
        <charset val="129"/>
      </rPr>
      <t>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도시</t>
    </r>
  </si>
  <si>
    <r>
      <rPr>
        <sz val="9"/>
        <color rgb="FF000000"/>
        <rFont val="돋움"/>
        <family val="3"/>
        <charset val="129"/>
      </rPr>
      <t>악마와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미스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프랭</t>
    </r>
  </si>
  <si>
    <r>
      <rPr>
        <sz val="9"/>
        <color rgb="FF000000"/>
        <rFont val="돋움"/>
        <family val="3"/>
        <charset val="129"/>
      </rPr>
      <t>그리고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아무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말도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않았다</t>
    </r>
  </si>
  <si>
    <r>
      <rPr>
        <sz val="9"/>
        <color rgb="FF000000"/>
        <rFont val="돋움"/>
        <family val="3"/>
        <charset val="129"/>
      </rPr>
      <t>지금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사랑하지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않는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자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모두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유죄</t>
    </r>
  </si>
  <si>
    <t>트와일라잇-eBook</t>
  </si>
  <si>
    <r>
      <rPr>
        <sz val="9"/>
        <color rgb="FF000000"/>
        <rFont val="돋움"/>
        <family val="3"/>
        <charset val="129"/>
      </rPr>
      <t>폭풍의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언덕</t>
    </r>
  </si>
  <si>
    <r>
      <rPr>
        <sz val="9"/>
        <color rgb="FF000000"/>
        <rFont val="돋움"/>
        <family val="3"/>
        <charset val="129"/>
      </rPr>
      <t>뉴문</t>
    </r>
    <r>
      <rPr>
        <sz val="9"/>
        <color rgb="FF000000"/>
        <rFont val="Arial"/>
        <family val="2"/>
      </rPr>
      <t>-eBook</t>
    </r>
  </si>
  <si>
    <t>이클립스-eBook</t>
  </si>
  <si>
    <r>
      <rPr>
        <sz val="9"/>
        <color rgb="FF000000"/>
        <rFont val="돋움"/>
        <family val="3"/>
        <charset val="129"/>
      </rPr>
      <t>시가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내게로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왔다</t>
    </r>
  </si>
  <si>
    <r>
      <rPr>
        <sz val="9"/>
        <color rgb="FF000000"/>
        <rFont val="돋움"/>
        <family val="3"/>
        <charset val="129"/>
      </rPr>
      <t>브레이킹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던</t>
    </r>
    <r>
      <rPr>
        <sz val="9"/>
        <color rgb="FF000000"/>
        <rFont val="Arial"/>
        <family val="2"/>
      </rPr>
      <t>-eBook</t>
    </r>
  </si>
  <si>
    <r>
      <rPr>
        <sz val="9"/>
        <color rgb="FF000000"/>
        <rFont val="돋움"/>
        <family val="3"/>
        <charset val="129"/>
      </rPr>
      <t>여덟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단어</t>
    </r>
  </si>
  <si>
    <r>
      <rPr>
        <sz val="9"/>
        <color rgb="FF000000"/>
        <rFont val="돋움"/>
        <family val="3"/>
        <charset val="129"/>
      </rPr>
      <t>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나는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너를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사랑하는</t>
    </r>
    <r>
      <rPr>
        <sz val="9"/>
        <color rgb="FF000000"/>
        <rFont val="돋움"/>
        <family val="3"/>
        <charset val="129"/>
      </rPr>
      <t>가</t>
    </r>
  </si>
  <si>
    <r>
      <rPr>
        <sz val="9"/>
        <color rgb="FF000000"/>
        <rFont val="돋움"/>
        <family val="3"/>
        <charset val="129"/>
      </rPr>
      <t>시골의사의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아름다운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동행</t>
    </r>
  </si>
  <si>
    <r>
      <rPr>
        <sz val="9"/>
        <color rgb="FF000000"/>
        <rFont val="돋움"/>
        <family val="3"/>
        <charset val="129"/>
      </rPr>
      <t>아프니까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청춘이다</t>
    </r>
  </si>
  <si>
    <r>
      <rPr>
        <sz val="9"/>
        <color rgb="FF000000"/>
        <rFont val="돋움"/>
        <family val="3"/>
        <charset val="129"/>
      </rPr>
      <t>아프니까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청춘이다</t>
    </r>
  </si>
  <si>
    <r>
      <rPr>
        <sz val="9"/>
        <color rgb="FF000000"/>
        <rFont val="돋움"/>
        <family val="3"/>
        <charset val="129"/>
      </rPr>
      <t>도리언그레이의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초상</t>
    </r>
  </si>
  <si>
    <r>
      <rPr>
        <sz val="9"/>
        <color rgb="FF000000"/>
        <rFont val="돋움"/>
        <family val="3"/>
        <charset val="129"/>
      </rPr>
      <t>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심장을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쏴라</t>
    </r>
  </si>
  <si>
    <r>
      <rPr>
        <sz val="9"/>
        <color rgb="FF000000"/>
        <rFont val="돋움"/>
        <family val="3"/>
        <charset val="129"/>
      </rPr>
      <t>시골의사의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아름다운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동행</t>
    </r>
  </si>
  <si>
    <r>
      <rPr>
        <sz val="9"/>
        <color rgb="FF000000"/>
        <rFont val="돋움"/>
        <family val="3"/>
        <charset val="129"/>
      </rPr>
      <t>전쟁의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세계사</t>
    </r>
  </si>
  <si>
    <r>
      <rPr>
        <sz val="9"/>
        <color rgb="FF000000"/>
        <rFont val="돋움"/>
        <family val="3"/>
        <charset val="129"/>
      </rPr>
      <t>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심장을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쏴라</t>
    </r>
  </si>
  <si>
    <r>
      <rPr>
        <sz val="9"/>
        <color rgb="FF000000"/>
        <rFont val="돋움"/>
        <family val="3"/>
        <charset val="129"/>
      </rPr>
      <t>도리언그레이의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초상</t>
    </r>
  </si>
  <si>
    <t>무소유 - ebook</t>
  </si>
  <si>
    <r>
      <rPr>
        <sz val="9"/>
        <color rgb="FF000000"/>
        <rFont val="돋움"/>
        <family val="3"/>
        <charset val="129"/>
      </rPr>
      <t>거대한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전환</t>
    </r>
  </si>
  <si>
    <r>
      <rPr>
        <sz val="9"/>
        <color rgb="FF000000"/>
        <rFont val="돋움"/>
        <family val="3"/>
        <charset val="129"/>
      </rPr>
      <t>스마트한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심리학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사용법</t>
    </r>
  </si>
  <si>
    <r>
      <rPr>
        <sz val="9"/>
        <color rgb="FF000000"/>
        <rFont val="돋움"/>
        <family val="3"/>
        <charset val="129"/>
      </rPr>
      <t>무신론자를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위한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종교</t>
    </r>
  </si>
  <si>
    <r>
      <rPr>
        <sz val="9"/>
        <color rgb="FF000000"/>
        <rFont val="돋움"/>
        <family val="3"/>
        <charset val="129"/>
      </rPr>
      <t>스마트한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심리학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사용법</t>
    </r>
  </si>
  <si>
    <r>
      <rPr>
        <sz val="9"/>
        <color rgb="FF000000"/>
        <rFont val="돋움"/>
        <family val="3"/>
        <charset val="129"/>
      </rPr>
      <t>가난한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사람들</t>
    </r>
  </si>
  <si>
    <r>
      <rPr>
        <sz val="9"/>
        <color rgb="FF000000"/>
        <rFont val="돋움"/>
        <family val="3"/>
        <charset val="129"/>
      </rPr>
      <t>그리고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아무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말도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않았다</t>
    </r>
  </si>
  <si>
    <r>
      <rPr>
        <sz val="9"/>
        <color rgb="FF000000"/>
        <rFont val="돋움"/>
        <family val="3"/>
        <charset val="129"/>
      </rPr>
      <t>여행의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기술</t>
    </r>
  </si>
  <si>
    <r>
      <rPr>
        <sz val="9"/>
        <color rgb="FF000000"/>
        <rFont val="돋움"/>
        <family val="3"/>
        <charset val="129"/>
      </rPr>
      <t>여행의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기술</t>
    </r>
  </si>
  <si>
    <r>
      <rPr>
        <sz val="9"/>
        <color rgb="FF000000"/>
        <rFont val="돋움"/>
        <family val="3"/>
        <charset val="129"/>
      </rPr>
      <t>그림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아는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만큼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보인다</t>
    </r>
  </si>
  <si>
    <r>
      <rPr>
        <sz val="9"/>
        <color rgb="FF000000"/>
        <rFont val="돋움"/>
        <family val="3"/>
        <charset val="129"/>
      </rPr>
      <t>그림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아는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만큼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보인다</t>
    </r>
  </si>
  <si>
    <r>
      <rPr>
        <sz val="9"/>
        <color rgb="FF000000"/>
        <rFont val="돋움"/>
        <family val="3"/>
        <charset val="129"/>
      </rPr>
      <t>칼의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노래</t>
    </r>
  </si>
  <si>
    <r>
      <rPr>
        <sz val="9"/>
        <color rgb="FF000000"/>
        <rFont val="돋움"/>
        <family val="3"/>
        <charset val="129"/>
      </rPr>
      <t>책상은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책상이다</t>
    </r>
  </si>
  <si>
    <r>
      <rPr>
        <sz val="10"/>
        <color rgb="FF000000"/>
        <rFont val="돋움"/>
        <family val="3"/>
        <charset val="129"/>
      </rPr>
      <t>멈추면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비로소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보이는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것들</t>
    </r>
  </si>
  <si>
    <r>
      <rPr>
        <sz val="9"/>
        <color rgb="FF000000"/>
        <rFont val="돋움"/>
        <family val="3"/>
        <charset val="129"/>
      </rPr>
      <t>이집트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신화</t>
    </r>
  </si>
  <si>
    <r>
      <rPr>
        <sz val="9"/>
        <color rgb="FF000000"/>
        <rFont val="돋움"/>
        <family val="3"/>
        <charset val="129"/>
      </rPr>
      <t>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아이</t>
    </r>
  </si>
  <si>
    <r>
      <rPr>
        <sz val="9"/>
        <color rgb="FF000000"/>
        <rFont val="돋움"/>
        <family val="3"/>
        <charset val="129"/>
      </rPr>
      <t>시간을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달리는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소녀</t>
    </r>
  </si>
  <si>
    <r>
      <rPr>
        <sz val="9"/>
        <color rgb="FF000000"/>
        <rFont val="돋움"/>
        <family val="3"/>
        <charset val="129"/>
      </rPr>
      <t>나이트런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파더스데이</t>
    </r>
    <r>
      <rPr>
        <sz val="9"/>
        <color rgb="FF000000"/>
        <rFont val="Arial"/>
        <family val="2"/>
      </rPr>
      <t>(</t>
    </r>
    <r>
      <rPr>
        <sz val="9"/>
        <color rgb="FF000000"/>
        <rFont val="돋움"/>
        <family val="3"/>
        <charset val="129"/>
      </rPr>
      <t>상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하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</si>
  <si>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돋움"/>
        <family val="3"/>
        <charset val="129"/>
      </rPr>
      <t>스텝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파더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스텝</t>
    </r>
  </si>
  <si>
    <r>
      <rPr>
        <sz val="9"/>
        <color rgb="FF000000"/>
        <rFont val="돋움"/>
        <family val="3"/>
        <charset val="129"/>
      </rPr>
      <t>게르만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신화와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전설</t>
    </r>
  </si>
  <si>
    <r>
      <rPr>
        <sz val="9"/>
        <color rgb="FF000000"/>
        <rFont val="돋움"/>
        <family val="3"/>
        <charset val="129"/>
      </rPr>
      <t>앵무새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죽이기</t>
    </r>
  </si>
  <si>
    <r>
      <rPr>
        <sz val="9"/>
        <color rgb="FF000000"/>
        <rFont val="돋움"/>
        <family val="3"/>
        <charset val="129"/>
      </rPr>
      <t>호밀밭의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파수꾼</t>
    </r>
  </si>
  <si>
    <r>
      <rPr>
        <sz val="9"/>
        <color rgb="FF000000"/>
        <rFont val="돋움"/>
        <family val="3"/>
        <charset val="129"/>
      </rPr>
      <t>호밀밭의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파수꾼</t>
    </r>
  </si>
  <si>
    <r>
      <rPr>
        <sz val="9"/>
        <color rgb="FF000000"/>
        <rFont val="돋움"/>
        <family val="3"/>
        <charset val="129"/>
      </rPr>
      <t>앵무새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죽이기</t>
    </r>
  </si>
  <si>
    <r>
      <rPr>
        <sz val="9"/>
        <color rgb="FF000000"/>
        <rFont val="돋움"/>
        <family val="3"/>
        <charset val="129"/>
      </rPr>
      <t>빨간머리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앤</t>
    </r>
  </si>
  <si>
    <r>
      <rPr>
        <sz val="9"/>
        <color rgb="FF000000"/>
        <rFont val="돋움"/>
        <family val="3"/>
        <charset val="129"/>
      </rPr>
      <t>노란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코끼리</t>
    </r>
  </si>
  <si>
    <r>
      <rPr>
        <sz val="9"/>
        <color rgb="FF000000"/>
        <rFont val="돋움"/>
        <family val="3"/>
        <charset val="129"/>
      </rPr>
      <t>서양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미술사</t>
    </r>
  </si>
  <si>
    <r>
      <rPr>
        <sz val="9"/>
        <color rgb="FF000000"/>
        <rFont val="돋움"/>
        <family val="3"/>
        <charset val="129"/>
      </rPr>
      <t>끝없는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이야기</t>
    </r>
  </si>
  <si>
    <r>
      <rPr>
        <sz val="9"/>
        <color rgb="FF000000"/>
        <rFont val="돋움"/>
        <family val="3"/>
        <charset val="129"/>
      </rPr>
      <t>플랫폼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전략</t>
    </r>
  </si>
  <si>
    <r>
      <rPr>
        <sz val="9"/>
        <color rgb="FF000000"/>
        <rFont val="돋움"/>
        <family val="3"/>
        <charset val="129"/>
      </rPr>
      <t>순간의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꽃</t>
    </r>
  </si>
  <si>
    <r>
      <rPr>
        <sz val="9"/>
        <color rgb="FF000000"/>
        <rFont val="돋움"/>
        <family val="3"/>
        <charset val="129"/>
      </rPr>
      <t>플랫폼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전략</t>
    </r>
  </si>
  <si>
    <r>
      <rPr>
        <sz val="10"/>
        <color rgb="FF000000"/>
        <rFont val="돋움"/>
        <family val="3"/>
        <charset val="129"/>
      </rPr>
      <t>할아버지가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보여주고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싶은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서양명화</t>
    </r>
    <r>
      <rPr>
        <sz val="10"/>
        <color rgb="FF000000"/>
        <rFont val="Arial"/>
        <family val="2"/>
      </rPr>
      <t xml:space="preserve"> 101</t>
    </r>
  </si>
  <si>
    <r>
      <rPr>
        <sz val="10"/>
        <color rgb="FF000000"/>
        <rFont val="돋움"/>
        <family val="3"/>
        <charset val="129"/>
      </rPr>
      <t>끝없는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이야기</t>
    </r>
  </si>
  <si>
    <r>
      <rPr>
        <sz val="9"/>
        <color rgb="FF000000"/>
        <rFont val="돋움"/>
        <family val="3"/>
        <charset val="129"/>
      </rPr>
      <t>몽유병자들</t>
    </r>
    <r>
      <rPr>
        <sz val="9"/>
        <color rgb="FF000000"/>
        <rFont val="Arial"/>
        <family val="2"/>
      </rPr>
      <t>(</t>
    </r>
    <r>
      <rPr>
        <sz val="9"/>
        <color rgb="FF000000"/>
        <rFont val="돋움"/>
        <family val="3"/>
        <charset val="129"/>
      </rPr>
      <t>상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</si>
  <si>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돋움"/>
        <family val="3"/>
        <charset val="129"/>
      </rPr>
      <t>깊이에의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강요</t>
    </r>
  </si>
  <si>
    <r>
      <rPr>
        <sz val="9"/>
        <color rgb="FF000000"/>
        <rFont val="돋움"/>
        <family val="3"/>
        <charset val="129"/>
      </rPr>
      <t>몽유병자들</t>
    </r>
    <r>
      <rPr>
        <sz val="9"/>
        <color rgb="FF000000"/>
        <rFont val="Arial"/>
        <family val="2"/>
      </rPr>
      <t>(</t>
    </r>
    <r>
      <rPr>
        <sz val="9"/>
        <color rgb="FF000000"/>
        <rFont val="돋움"/>
        <family val="3"/>
        <charset val="129"/>
      </rPr>
      <t>하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</si>
  <si>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돋움"/>
        <family val="3"/>
        <charset val="129"/>
      </rPr>
      <t>시골의사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박경철의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자기혁명</t>
    </r>
  </si>
  <si>
    <r>
      <rPr>
        <sz val="9"/>
        <color rgb="FF000000"/>
        <rFont val="돋움"/>
        <family val="3"/>
        <charset val="129"/>
      </rPr>
      <t>팀장이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절대로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해서는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안될</t>
    </r>
    <r>
      <rPr>
        <sz val="9"/>
        <color rgb="FF000000"/>
        <rFont val="Arial"/>
        <family val="2"/>
      </rPr>
      <t xml:space="preserve"> 101</t>
    </r>
    <r>
      <rPr>
        <sz val="9"/>
        <color rgb="FF000000"/>
        <rFont val="돋움"/>
        <family val="3"/>
        <charset val="129"/>
      </rPr>
      <t>가지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행동</t>
    </r>
  </si>
  <si>
    <r>
      <rPr>
        <sz val="9"/>
        <color rgb="FF000000"/>
        <rFont val="돋움"/>
        <family val="3"/>
        <charset val="129"/>
      </rPr>
      <t>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도시</t>
    </r>
  </si>
  <si>
    <t>거의 모든 재난으로 부터 살아남는 법</t>
  </si>
  <si>
    <r>
      <rPr>
        <sz val="9"/>
        <color rgb="FF000000"/>
        <rFont val="돋움"/>
        <family val="3"/>
        <charset val="129"/>
      </rPr>
      <t>순간의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꽃</t>
    </r>
  </si>
  <si>
    <r>
      <rPr>
        <sz val="9"/>
        <color rgb="FF000000"/>
        <rFont val="돋움"/>
        <family val="3"/>
        <charset val="129"/>
      </rPr>
      <t>깊이에의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강요</t>
    </r>
  </si>
  <si>
    <r>
      <rPr>
        <sz val="9"/>
        <color rgb="FF000000"/>
        <rFont val="돋움"/>
        <family val="3"/>
        <charset val="129"/>
      </rPr>
      <t>시가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내게로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왔다</t>
    </r>
  </si>
  <si>
    <r>
      <rPr>
        <sz val="9"/>
        <color rgb="FF000000"/>
        <rFont val="돋움"/>
        <family val="3"/>
        <charset val="129"/>
      </rPr>
      <t>노란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코끼리</t>
    </r>
  </si>
  <si>
    <r>
      <rPr>
        <sz val="9"/>
        <color rgb="FF000000"/>
        <rFont val="돋움"/>
        <family val="3"/>
        <charset val="129"/>
      </rPr>
      <t>대위의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딸</t>
    </r>
  </si>
  <si>
    <r>
      <rPr>
        <sz val="9"/>
        <color rgb="FF000000"/>
        <rFont val="돋움"/>
        <family val="3"/>
        <charset val="129"/>
      </rPr>
      <t>서양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미술사</t>
    </r>
  </si>
  <si>
    <r>
      <rPr>
        <sz val="9"/>
        <color rgb="FF000000"/>
        <rFont val="돋움"/>
        <family val="3"/>
        <charset val="129"/>
      </rPr>
      <t>전망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좋은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방</t>
    </r>
  </si>
  <si>
    <r>
      <rPr>
        <sz val="9"/>
        <color rgb="FF000000"/>
        <rFont val="돋움"/>
        <family val="3"/>
        <charset val="129"/>
      </rPr>
      <t>총</t>
    </r>
    <r>
      <rPr>
        <sz val="9"/>
        <color rgb="FF000000"/>
        <rFont val="Arial"/>
        <family val="2"/>
      </rPr>
      <t>,</t>
    </r>
    <r>
      <rPr>
        <sz val="9"/>
        <color rgb="FF000000"/>
        <rFont val="돋움"/>
        <family val="3"/>
        <charset val="129"/>
      </rPr>
      <t>균</t>
    </r>
    <r>
      <rPr>
        <sz val="9"/>
        <color rgb="FF000000"/>
        <rFont val="Arial"/>
        <family val="2"/>
      </rPr>
      <t>,</t>
    </r>
    <r>
      <rPr>
        <sz val="9"/>
        <color rgb="FF000000"/>
        <rFont val="돋움"/>
        <family val="3"/>
        <charset val="129"/>
      </rPr>
      <t>쇠</t>
    </r>
  </si>
  <si>
    <t>달과 6펜스</t>
  </si>
  <si>
    <r>
      <rPr>
        <sz val="9"/>
        <color rgb="FF000000"/>
        <rFont val="돋움"/>
        <family val="3"/>
        <charset val="129"/>
      </rPr>
      <t>책은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도끼다</t>
    </r>
  </si>
  <si>
    <r>
      <rPr>
        <sz val="9"/>
        <color rgb="FF000000"/>
        <rFont val="돋움"/>
        <family val="3"/>
        <charset val="129"/>
      </rPr>
      <t>오만과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편견</t>
    </r>
  </si>
  <si>
    <r>
      <rPr>
        <sz val="9"/>
        <color rgb="FF000000"/>
        <rFont val="돋움"/>
        <family val="3"/>
        <charset val="129"/>
      </rPr>
      <t>죄와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벌</t>
    </r>
    <r>
      <rPr>
        <sz val="9"/>
        <color rgb="FF000000"/>
        <rFont val="Arial"/>
        <family val="2"/>
      </rPr>
      <t>(</t>
    </r>
    <r>
      <rPr>
        <sz val="9"/>
        <color rgb="FF000000"/>
        <rFont val="돋움"/>
        <family val="3"/>
        <charset val="129"/>
      </rPr>
      <t>상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</si>
  <si>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돋움"/>
        <family val="3"/>
        <charset val="129"/>
      </rPr>
      <t>죄와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벌</t>
    </r>
    <r>
      <rPr>
        <sz val="9"/>
        <color rgb="FF000000"/>
        <rFont val="Arial"/>
        <family val="2"/>
      </rPr>
      <t>(</t>
    </r>
    <r>
      <rPr>
        <sz val="9"/>
        <color rgb="FF000000"/>
        <rFont val="돋움"/>
        <family val="3"/>
        <charset val="129"/>
      </rPr>
      <t>하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</si>
  <si>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돋움"/>
        <family val="3"/>
        <charset val="129"/>
      </rPr>
      <t>오두막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편지</t>
    </r>
  </si>
  <si>
    <r>
      <rPr>
        <sz val="9"/>
        <color rgb="FF000000"/>
        <rFont val="돋움"/>
        <family val="3"/>
        <charset val="129"/>
      </rPr>
      <t>책은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도끼다</t>
    </r>
  </si>
  <si>
    <r>
      <rPr>
        <sz val="9"/>
        <color rgb="FF000000"/>
        <rFont val="돋움"/>
        <family val="3"/>
        <charset val="129"/>
      </rPr>
      <t>좀머씨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이야기</t>
    </r>
  </si>
  <si>
    <r>
      <rPr>
        <sz val="9"/>
        <color rgb="FF000000"/>
        <rFont val="돋움"/>
        <family val="3"/>
        <charset val="129"/>
      </rPr>
      <t>위험한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관계</t>
    </r>
  </si>
  <si>
    <r>
      <rPr>
        <sz val="9"/>
        <color rgb="FF000000"/>
        <rFont val="돋움"/>
        <family val="3"/>
        <charset val="129"/>
      </rPr>
      <t>위험한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관계</t>
    </r>
  </si>
  <si>
    <r>
      <rPr>
        <sz val="9"/>
        <color rgb="FF000000"/>
        <rFont val="돋움"/>
        <family val="3"/>
        <charset val="129"/>
      </rPr>
      <t>시간을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달리는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소녀</t>
    </r>
  </si>
  <si>
    <r>
      <rPr>
        <sz val="10"/>
        <color rgb="FF000000"/>
        <rFont val="돋움"/>
        <family val="3"/>
        <charset val="129"/>
      </rPr>
      <t>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세계의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절반은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굶주리는가</t>
    </r>
    <r>
      <rPr>
        <sz val="10"/>
        <color rgb="FF000000"/>
        <rFont val="Arial"/>
        <family val="2"/>
      </rPr>
      <t>?</t>
    </r>
  </si>
  <si>
    <r>
      <rPr>
        <sz val="10"/>
        <color rgb="FF000000"/>
        <rFont val="돋움"/>
        <family val="3"/>
        <charset val="129"/>
      </rPr>
      <t>세계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미술관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기행</t>
    </r>
    <r>
      <rPr>
        <sz val="10"/>
        <color rgb="FF000000"/>
        <rFont val="Arial"/>
        <family val="2"/>
      </rPr>
      <t xml:space="preserve"> - </t>
    </r>
    <r>
      <rPr>
        <sz val="10"/>
        <color rgb="FF000000"/>
        <rFont val="돋움"/>
        <family val="3"/>
        <charset val="129"/>
      </rPr>
      <t>루브르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박물관</t>
    </r>
  </si>
  <si>
    <r>
      <rPr>
        <sz val="9"/>
        <color rgb="FF000000"/>
        <rFont val="돋움"/>
        <family val="3"/>
        <charset val="129"/>
      </rPr>
      <t>세계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미술관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기행</t>
    </r>
    <r>
      <rPr>
        <sz val="9"/>
        <color rgb="FF000000"/>
        <rFont val="Arial"/>
        <family val="2"/>
      </rPr>
      <t xml:space="preserve"> - </t>
    </r>
    <r>
      <rPr>
        <sz val="9"/>
        <color rgb="FF000000"/>
        <rFont val="돋움"/>
        <family val="3"/>
        <charset val="129"/>
      </rPr>
      <t>루브르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박물관</t>
    </r>
  </si>
  <si>
    <r>
      <rPr>
        <sz val="9"/>
        <color rgb="FF000000"/>
        <rFont val="돋움"/>
        <family val="3"/>
        <charset val="129"/>
      </rPr>
      <t>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세계의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절반은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굶주리는가</t>
    </r>
    <r>
      <rPr>
        <sz val="9"/>
        <color rgb="FF000000"/>
        <rFont val="Arial"/>
        <family val="2"/>
      </rPr>
      <t>?</t>
    </r>
  </si>
  <si>
    <r>
      <rPr>
        <sz val="9"/>
        <color rgb="FF000000"/>
        <rFont val="돋움"/>
        <family val="3"/>
        <charset val="129"/>
      </rPr>
      <t>그리스인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조르바</t>
    </r>
  </si>
  <si>
    <r>
      <rPr>
        <sz val="10"/>
        <color rgb="FF000000"/>
        <rFont val="돋움"/>
        <family val="3"/>
        <charset val="129"/>
      </rPr>
      <t>그리스인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조르바</t>
    </r>
  </si>
  <si>
    <r>
      <rPr>
        <sz val="9"/>
        <color rgb="FF000000"/>
        <rFont val="돋움"/>
        <family val="3"/>
        <charset val="129"/>
      </rPr>
      <t>너무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친한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친구들</t>
    </r>
  </si>
  <si>
    <r>
      <rPr>
        <sz val="10"/>
        <color rgb="FF000000"/>
        <rFont val="돋움"/>
        <family val="3"/>
        <charset val="129"/>
      </rPr>
      <t>변신이야기</t>
    </r>
    <r>
      <rPr>
        <sz val="10"/>
        <color rgb="FF000000"/>
        <rFont val="Arial"/>
        <family val="2"/>
      </rPr>
      <t>1</t>
    </r>
  </si>
  <si>
    <r>
      <rPr>
        <sz val="10"/>
        <color rgb="FF000000"/>
        <rFont val="돋움"/>
        <family val="3"/>
        <charset val="129"/>
      </rPr>
      <t>무량수전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배흘림기둥에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기대서서</t>
    </r>
  </si>
  <si>
    <r>
      <rPr>
        <sz val="10"/>
        <color rgb="FF000000"/>
        <rFont val="돋움"/>
        <family val="3"/>
        <charset val="129"/>
      </rPr>
      <t>안나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카레니나</t>
    </r>
    <r>
      <rPr>
        <sz val="10"/>
        <color rgb="FF000000"/>
        <rFont val="Arial"/>
        <family val="2"/>
      </rPr>
      <t>1</t>
    </r>
  </si>
  <si>
    <r>
      <rPr>
        <sz val="10"/>
        <color rgb="FF000000"/>
        <rFont val="돋움"/>
        <family val="3"/>
        <charset val="129"/>
      </rPr>
      <t>안나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카레니나</t>
    </r>
    <r>
      <rPr>
        <sz val="10"/>
        <color rgb="FF000000"/>
        <rFont val="Arial"/>
        <family val="2"/>
      </rPr>
      <t>2</t>
    </r>
  </si>
  <si>
    <r>
      <rPr>
        <sz val="10"/>
        <color rgb="FF000000"/>
        <rFont val="돋움"/>
        <family val="3"/>
        <charset val="129"/>
      </rPr>
      <t>안나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카레니나</t>
    </r>
    <r>
      <rPr>
        <sz val="10"/>
        <color rgb="FF000000"/>
        <rFont val="Arial"/>
        <family val="2"/>
      </rPr>
      <t>3</t>
    </r>
  </si>
  <si>
    <r>
      <rPr>
        <sz val="10"/>
        <color rgb="FF000000"/>
        <rFont val="돋움"/>
        <family val="3"/>
        <charset val="129"/>
      </rPr>
      <t>안나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카레니나</t>
    </r>
    <r>
      <rPr>
        <sz val="10"/>
        <color rgb="FF000000"/>
        <rFont val="Arial"/>
        <family val="2"/>
      </rPr>
      <t>1</t>
    </r>
  </si>
  <si>
    <r>
      <rPr>
        <sz val="10"/>
        <color rgb="FF000000"/>
        <rFont val="돋움"/>
        <family val="3"/>
        <charset val="129"/>
      </rPr>
      <t>상식으로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알아야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최고의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명품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최고의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디자이너</t>
    </r>
  </si>
  <si>
    <r>
      <rPr>
        <sz val="10"/>
        <color rgb="FF000000"/>
        <rFont val="돋움"/>
        <family val="3"/>
        <charset val="129"/>
      </rPr>
      <t>상식으로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알아야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최고의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명품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최고의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디자이너</t>
    </r>
  </si>
  <si>
    <r>
      <rPr>
        <sz val="10"/>
        <color rgb="FF000000"/>
        <rFont val="돋움"/>
        <family val="3"/>
        <charset val="129"/>
      </rPr>
      <t>리딩</t>
    </r>
    <r>
      <rPr>
        <sz val="10"/>
        <color rgb="FF000000"/>
        <rFont val="돋움"/>
        <family val="3"/>
        <charset val="129"/>
      </rPr>
      <t>노트</t>
    </r>
  </si>
  <si>
    <r>
      <rPr>
        <sz val="9"/>
        <color rgb="FF000000"/>
        <rFont val="맑은 고딕"/>
        <family val="3"/>
        <charset val="129"/>
      </rPr>
      <t>무량수전 배흘림기둥에 기대서서</t>
    </r>
  </si>
  <si>
    <r>
      <rPr>
        <sz val="10"/>
        <color rgb="FF000000"/>
        <rFont val="돋움"/>
        <family val="3"/>
        <charset val="129"/>
      </rPr>
      <t>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도덕인가</t>
    </r>
  </si>
  <si>
    <r>
      <rPr>
        <sz val="10"/>
        <color rgb="FF000000"/>
        <rFont val="돋움"/>
        <family val="3"/>
        <charset val="129"/>
      </rPr>
      <t>정의란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무엇인가</t>
    </r>
  </si>
  <si>
    <t>당신의 주말은 몇개 입니까</t>
  </si>
  <si>
    <t>정의란 무엇인가</t>
  </si>
  <si>
    <t>눈의여왕</t>
  </si>
  <si>
    <r>
      <rPr>
        <sz val="9"/>
        <color rgb="FF000000"/>
        <rFont val="맑은 고딕"/>
        <family val="3"/>
        <charset val="129"/>
      </rPr>
      <t>거의 모든 재난으로 부터 살아남는 법</t>
    </r>
  </si>
  <si>
    <r>
      <rPr>
        <sz val="10"/>
        <color rgb="FF000000"/>
        <rFont val="맑은 고딕"/>
        <family val="3"/>
        <charset val="129"/>
      </rPr>
      <t>설득의 심리학2</t>
    </r>
  </si>
  <si>
    <t>책 이름</t>
    <phoneticPr fontId="28" type="noConversion"/>
  </si>
  <si>
    <t>상태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</si>
</sst>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</font>
    <font>
      <b/>
      <sz val="18"/>
      <color rgb="FFFFFFFF"/>
      <name val="Arial"/>
    </font>
    <font>
      <b/>
      <i/>
      <sz val="18"/>
      <color rgb="FF000000"/>
      <name val="Verdana"/>
    </font>
    <font>
      <sz val="10"/>
      <name val="Arial"/>
    </font>
    <font>
      <sz val="8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sz val="9"/>
      <color rgb="FF000000"/>
      <name val="맑은 고딕"/>
      <family val="3"/>
      <charset val="129"/>
    </font>
    <font>
      <sz val="9"/>
      <color rgb="FF000000"/>
      <name val="Arial"/>
    </font>
    <font>
      <sz val="9"/>
      <color rgb="FF222222"/>
      <name val="Arial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name val="Arial"/>
    </font>
    <font>
      <sz val="9"/>
      <color rgb="FF444444"/>
      <name val="돋움"/>
      <family val="3"/>
      <charset val="129"/>
    </font>
    <font>
      <sz val="9"/>
      <color rgb="FF333333"/>
      <name val="돋움"/>
      <family val="3"/>
      <charset val="129"/>
    </font>
    <font>
      <sz val="9"/>
      <color rgb="FF222222"/>
      <name val="Malgun"/>
    </font>
    <font>
      <sz val="9"/>
      <color rgb="FF222222"/>
      <name val="&quot;Apple SD Gothic Neo&quot;"/>
    </font>
    <font>
      <sz val="9"/>
      <color rgb="FF222222"/>
      <name val="&quot;Noto Sans KR&quot;"/>
    </font>
    <font>
      <sz val="9"/>
      <color rgb="FF444444"/>
      <name val="Arial"/>
      <family val="2"/>
    </font>
    <font>
      <b/>
      <sz val="10"/>
      <name val="Arial"/>
      <family val="2"/>
    </font>
    <font>
      <sz val="9"/>
      <color rgb="FF000000"/>
      <name val="-webkit-standard"/>
    </font>
    <font>
      <sz val="9"/>
      <color rgb="FF000000"/>
      <name val="돋움"/>
      <family val="3"/>
      <charset val="129"/>
    </font>
    <font>
      <sz val="9"/>
      <color rgb="FF000000"/>
      <name val="Roboto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222222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20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0" fillId="5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vertical="center" wrapText="1"/>
    </xf>
    <xf numFmtId="0" fontId="8" fillId="9" borderId="2" xfId="0" applyFont="1" applyFill="1" applyBorder="1" applyAlignment="1">
      <alignment vertical="center" wrapText="1"/>
    </xf>
    <xf numFmtId="0" fontId="14" fillId="9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vertical="center" wrapText="1"/>
    </xf>
    <xf numFmtId="0" fontId="21" fillId="0" borderId="0" xfId="0" applyFont="1" applyAlignment="1">
      <alignment vertical="center"/>
    </xf>
    <xf numFmtId="0" fontId="9" fillId="9" borderId="2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3" fillId="2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3" fillId="9" borderId="4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22" fillId="9" borderId="2" xfId="0" applyFont="1" applyFill="1" applyBorder="1" applyAlignment="1">
      <alignment vertical="center" wrapText="1"/>
    </xf>
    <xf numFmtId="0" fontId="13" fillId="9" borderId="2" xfId="0" applyFont="1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9" fillId="9" borderId="3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/>
    </xf>
    <xf numFmtId="0" fontId="8" fillId="9" borderId="4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9" fillId="0" borderId="5" xfId="0" applyFont="1" applyBorder="1" applyAlignment="1">
      <alignment vertical="center" wrapText="1"/>
    </xf>
    <xf numFmtId="0" fontId="22" fillId="0" borderId="6" xfId="0" applyFont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9" fillId="9" borderId="5" xfId="0" applyFont="1" applyFill="1" applyBorder="1" applyAlignment="1">
      <alignment vertical="center"/>
    </xf>
    <xf numFmtId="0" fontId="22" fillId="9" borderId="6" xfId="0" applyFont="1" applyFill="1" applyBorder="1" applyAlignment="1">
      <alignment vertical="center" wrapText="1"/>
    </xf>
    <xf numFmtId="0" fontId="22" fillId="9" borderId="7" xfId="0" applyFont="1" applyFill="1" applyBorder="1" applyAlignment="1">
      <alignment vertical="center" wrapText="1"/>
    </xf>
    <xf numFmtId="0" fontId="9" fillId="9" borderId="5" xfId="0" applyFont="1" applyFill="1" applyBorder="1" applyAlignment="1">
      <alignment vertical="center" wrapText="1"/>
    </xf>
    <xf numFmtId="0" fontId="22" fillId="9" borderId="3" xfId="0" applyFont="1" applyFill="1" applyBorder="1" applyAlignment="1">
      <alignment vertical="center" wrapText="1"/>
    </xf>
    <xf numFmtId="0" fontId="22" fillId="9" borderId="5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22" fillId="0" borderId="3" xfId="0" applyFont="1" applyBorder="1" applyAlignment="1">
      <alignment vertical="center" wrapText="1"/>
    </xf>
    <xf numFmtId="0" fontId="11" fillId="9" borderId="5" xfId="0" applyFont="1" applyFill="1" applyBorder="1" applyAlignment="1">
      <alignment vertical="center" wrapText="1"/>
    </xf>
    <xf numFmtId="0" fontId="0" fillId="9" borderId="5" xfId="0" applyFill="1" applyBorder="1" applyAlignment="1">
      <alignment vertical="center" wrapText="1"/>
    </xf>
    <xf numFmtId="0" fontId="9" fillId="9" borderId="5" xfId="0" applyFont="1" applyFill="1" applyBorder="1" applyAlignment="1">
      <alignment horizontal="left" vertical="center" wrapText="1"/>
    </xf>
    <xf numFmtId="0" fontId="9" fillId="9" borderId="6" xfId="0" applyFont="1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3" fillId="10" borderId="4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8" fillId="10" borderId="2" xfId="0" applyFont="1" applyFill="1" applyBorder="1" applyAlignment="1">
      <alignment vertical="center" wrapText="1"/>
    </xf>
    <xf numFmtId="0" fontId="0" fillId="10" borderId="2" xfId="0" applyFill="1" applyBorder="1" applyAlignment="1">
      <alignment vertical="center" wrapText="1"/>
    </xf>
    <xf numFmtId="0" fontId="9" fillId="10" borderId="2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9" fillId="3" borderId="2" xfId="0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2"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연도별 독서량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통계!$C$2</c:f>
              <c:strCache>
                <c:ptCount val="1"/>
                <c:pt idx="0">
                  <c:v>대현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통계!$B$3:$B$20</c:f>
              <c:strCache>
                <c:ptCount val="18"/>
                <c:pt idx="0">
                  <c:v>연도불명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strCache>
            </c:strRef>
          </c:cat>
          <c:val>
            <c:numRef>
              <c:f>통계!$C$3:$C$20</c:f>
              <c:numCache>
                <c:formatCode>General</c:formatCode>
                <c:ptCount val="18"/>
                <c:pt idx="0">
                  <c:v>0</c:v>
                </c:pt>
                <c:pt idx="1">
                  <c:v>41</c:v>
                </c:pt>
                <c:pt idx="2">
                  <c:v>55</c:v>
                </c:pt>
                <c:pt idx="3">
                  <c:v>53</c:v>
                </c:pt>
                <c:pt idx="4">
                  <c:v>43</c:v>
                </c:pt>
                <c:pt idx="5">
                  <c:v>33</c:v>
                </c:pt>
                <c:pt idx="6">
                  <c:v>41</c:v>
                </c:pt>
                <c:pt idx="7">
                  <c:v>30</c:v>
                </c:pt>
                <c:pt idx="8">
                  <c:v>25</c:v>
                </c:pt>
                <c:pt idx="9">
                  <c:v>43</c:v>
                </c:pt>
                <c:pt idx="10">
                  <c:v>10</c:v>
                </c:pt>
                <c:pt idx="11">
                  <c:v>11</c:v>
                </c:pt>
                <c:pt idx="12">
                  <c:v>15</c:v>
                </c:pt>
                <c:pt idx="13">
                  <c:v>17</c:v>
                </c:pt>
                <c:pt idx="14">
                  <c:v>32</c:v>
                </c:pt>
                <c:pt idx="15">
                  <c:v>30</c:v>
                </c:pt>
                <c:pt idx="16">
                  <c:v>26</c:v>
                </c:pt>
                <c:pt idx="17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E7-4396-B55A-C0AF76AF9189}"/>
            </c:ext>
          </c:extLst>
        </c:ser>
        <c:ser>
          <c:idx val="1"/>
          <c:order val="1"/>
          <c:tx>
            <c:strRef>
              <c:f>통계!$D$2</c:f>
              <c:strCache>
                <c:ptCount val="1"/>
                <c:pt idx="0">
                  <c:v>문선</c:v>
                </c:pt>
              </c:strCache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통계!$B$3:$B$20</c:f>
              <c:strCache>
                <c:ptCount val="18"/>
                <c:pt idx="0">
                  <c:v>연도불명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strCache>
            </c:strRef>
          </c:cat>
          <c:val>
            <c:numRef>
              <c:f>통계!$D$3:$D$20</c:f>
              <c:numCache>
                <c:formatCode>General</c:formatCode>
                <c:ptCount val="18"/>
                <c:pt idx="0">
                  <c:v>80</c:v>
                </c:pt>
                <c:pt idx="1">
                  <c:v>47</c:v>
                </c:pt>
                <c:pt idx="2">
                  <c:v>49</c:v>
                </c:pt>
                <c:pt idx="3">
                  <c:v>57</c:v>
                </c:pt>
                <c:pt idx="4">
                  <c:v>34</c:v>
                </c:pt>
                <c:pt idx="5">
                  <c:v>29</c:v>
                </c:pt>
                <c:pt idx="6">
                  <c:v>30</c:v>
                </c:pt>
                <c:pt idx="7">
                  <c:v>19</c:v>
                </c:pt>
                <c:pt idx="8">
                  <c:v>24</c:v>
                </c:pt>
                <c:pt idx="9">
                  <c:v>34</c:v>
                </c:pt>
                <c:pt idx="10">
                  <c:v>4</c:v>
                </c:pt>
                <c:pt idx="11">
                  <c:v>17</c:v>
                </c:pt>
                <c:pt idx="12">
                  <c:v>14</c:v>
                </c:pt>
                <c:pt idx="13">
                  <c:v>10</c:v>
                </c:pt>
                <c:pt idx="14">
                  <c:v>26</c:v>
                </c:pt>
                <c:pt idx="15">
                  <c:v>31</c:v>
                </c:pt>
                <c:pt idx="16">
                  <c:v>20</c:v>
                </c:pt>
                <c:pt idx="17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1E7-4396-B55A-C0AF76AF9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9306723"/>
        <c:axId val="1093541106"/>
      </c:barChart>
      <c:catAx>
        <c:axId val="779306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093541106"/>
        <c:crosses val="autoZero"/>
        <c:auto val="1"/>
        <c:lblAlgn val="ctr"/>
        <c:lblOffset val="100"/>
        <c:noMultiLvlLbl val="1"/>
      </c:catAx>
      <c:valAx>
        <c:axId val="1093541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7793067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0</xdr:row>
      <xdr:rowOff>180975</xdr:rowOff>
    </xdr:from>
    <xdr:ext cx="7343775" cy="4371975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73"/>
  <sheetViews>
    <sheetView tabSelected="1" workbookViewId="0">
      <pane ySplit="2" topLeftCell="A312" activePane="bottomLeft" state="frozen"/>
      <selection pane="bottomLeft" activeCell="B326" sqref="B326"/>
    </sheetView>
  </sheetViews>
  <sheetFormatPr defaultColWidth="12.5703125" defaultRowHeight="15" customHeight="1"/>
  <cols>
    <col min="1" max="1" width="3.5703125" customWidth="1"/>
    <col min="2" max="2" width="38.7109375" customWidth="1"/>
    <col min="3" max="3" width="27.140625" customWidth="1"/>
    <col min="4" max="4" width="14.140625" customWidth="1"/>
    <col min="5" max="6" width="9.140625" customWidth="1"/>
    <col min="7" max="7" width="10.85546875" customWidth="1"/>
    <col min="8" max="8" width="11.140625" customWidth="1"/>
    <col min="9" max="9" width="8.42578125" customWidth="1"/>
    <col min="10" max="17" width="15" customWidth="1"/>
    <col min="18" max="25" width="15.140625" customWidth="1"/>
  </cols>
  <sheetData>
    <row r="1" spans="1:17" ht="23.25" customHeight="1">
      <c r="A1" s="1"/>
      <c r="B1" s="2">
        <f>COUNTA($B$15:B2108)</f>
        <v>559</v>
      </c>
      <c r="C1" s="114" t="s">
        <v>0</v>
      </c>
      <c r="D1" s="115"/>
      <c r="E1" s="2">
        <f ca="1">COUNTBLANK($E$15:E2108)</f>
        <v>1535</v>
      </c>
      <c r="F1" s="2">
        <f ca="1">COUNTBLANK($F$15:F2108)</f>
        <v>1535</v>
      </c>
      <c r="G1" s="4"/>
      <c r="H1" s="5">
        <f t="shared" ref="H1:I1" si="0">COUNTA($H$15:H2108)</f>
        <v>309</v>
      </c>
      <c r="I1" s="5">
        <f t="shared" si="0"/>
        <v>618</v>
      </c>
    </row>
    <row r="2" spans="1:17" ht="21" customHeight="1">
      <c r="A2" s="6"/>
      <c r="B2" s="112" t="s">
        <v>1655</v>
      </c>
      <c r="C2" s="7" t="s">
        <v>1</v>
      </c>
      <c r="D2" s="7" t="s">
        <v>2</v>
      </c>
      <c r="E2" s="7" t="str">
        <f ca="1">CONCATENATE("대현","(",E1,")")</f>
        <v>대현(1535)</v>
      </c>
      <c r="F2" s="7" t="str">
        <f ca="1">CONCATENATE("문선","(",F1,")")</f>
        <v>문선(1535)</v>
      </c>
      <c r="G2" s="7" t="s">
        <v>3</v>
      </c>
      <c r="H2" s="112" t="s">
        <v>1656</v>
      </c>
      <c r="I2" s="7" t="s">
        <v>4</v>
      </c>
      <c r="J2" s="8"/>
      <c r="K2" s="8"/>
      <c r="L2" s="8"/>
      <c r="M2" s="8"/>
      <c r="N2" s="8"/>
      <c r="O2" s="8"/>
      <c r="P2" s="8"/>
      <c r="Q2" s="8"/>
    </row>
    <row r="3" spans="1:17" ht="16.5" hidden="1" customHeight="1">
      <c r="A3" s="9"/>
      <c r="B3" s="10"/>
      <c r="C3" s="11"/>
      <c r="D3" s="11"/>
      <c r="E3" s="12" t="e">
        <f ca="1">_xludf.IFS(COUNTIF(보류목록!$B$3:$B$1000, B3)&gt;0, "-",COUNTIF(독서목록!$C$2:$C$1091, B3)=0, , COUNTIF(독서목록!$C$2:$C$1091, B3)&gt;0, COUNTIF(독서목록!$C$2:$C$1091, B3))</f>
        <v>#NAME?</v>
      </c>
      <c r="F3" s="12" t="e">
        <f ca="1">_xludf.IFS(COUNTIF(보류목록!$C$3:$C$1000, B3)&gt;0, "-",COUNTIF(독서목록!$D$2:$D$1091, B3)=0, , COUNTIF(독서목록!$D$2:$D$1091, B3)&gt;0, COUNTIF(독서목록!$D$2:$D$1091, B3))</f>
        <v>#NAME?</v>
      </c>
      <c r="G3" s="13"/>
      <c r="H3" s="14"/>
      <c r="I3" s="14"/>
    </row>
    <row r="4" spans="1:17" ht="16.5" customHeight="1">
      <c r="A4" s="9"/>
      <c r="B4" s="10" t="s">
        <v>5</v>
      </c>
      <c r="C4" s="11" t="s">
        <v>6</v>
      </c>
      <c r="D4" s="11" t="s">
        <v>7</v>
      </c>
      <c r="E4" s="12" t="e">
        <f ca="1">_xludf.IFS(COUNTIF(보류목록!$B$3:$B$1000, B4)&gt;0, "-",COUNTIF(독서목록!$C$2:$C$1091, B4)=0, , COUNTIF(독서목록!$C$2:$C$1091, B4)&gt;0, COUNTIF(독서목록!$C$2:$C$1091, B4))</f>
        <v>#NAME?</v>
      </c>
      <c r="F4" s="12" t="e">
        <f ca="1">_xludf.IFS(COUNTIF(보류목록!$C$3:$C$1000, B4)&gt;0, "-",COUNTIF(독서목록!$D$2:$D$1091, B4)=0, , COUNTIF(독서목록!$D$2:$D$1091, B4)&gt;0, COUNTIF(독서목록!$D$2:$D$1091, B4))</f>
        <v>#NAME?</v>
      </c>
      <c r="G4" s="13" t="s">
        <v>8</v>
      </c>
      <c r="H4" s="14"/>
      <c r="I4" s="14"/>
    </row>
    <row r="5" spans="1:17" ht="16.5" customHeight="1">
      <c r="A5" s="9"/>
      <c r="B5" s="10" t="s">
        <v>9</v>
      </c>
      <c r="C5" s="11" t="s">
        <v>6</v>
      </c>
      <c r="D5" s="11" t="s">
        <v>7</v>
      </c>
      <c r="E5" s="12" t="e">
        <f ca="1">_xludf.IFS(COUNTIF(보류목록!$B$3:$B$1000, B5)&gt;0, "-",COUNTIF(독서목록!$C$2:$C$1091, B5)=0, , COUNTIF(독서목록!$C$2:$C$1091, B5)&gt;0, COUNTIF(독서목록!$C$2:$C$1091, B5))</f>
        <v>#NAME?</v>
      </c>
      <c r="F5" s="12" t="e">
        <f ca="1">_xludf.IFS(COUNTIF(보류목록!$C$3:$C$1000, B5)&gt;0, "-",COUNTIF(독서목록!$D$2:$D$1091, B5)=0, , COUNTIF(독서목록!$D$2:$D$1091, B5)&gt;0, COUNTIF(독서목록!$D$2:$D$1091, B5))</f>
        <v>#NAME?</v>
      </c>
      <c r="G5" s="13" t="s">
        <v>8</v>
      </c>
      <c r="H5" s="14"/>
      <c r="I5" s="14"/>
    </row>
    <row r="6" spans="1:17" ht="16.5" customHeight="1">
      <c r="A6" s="9"/>
      <c r="B6" s="10" t="s">
        <v>10</v>
      </c>
      <c r="C6" s="11" t="s">
        <v>11</v>
      </c>
      <c r="D6" s="11" t="s">
        <v>12</v>
      </c>
      <c r="E6" s="12" t="e">
        <f ca="1">_xludf.IFS(COUNTIF(보류목록!$B$3:$B$1000, B6)&gt;0, "-",COUNTIF(독서목록!$C$2:$C$1091, B6)=0, , COUNTIF(독서목록!$C$2:$C$1091, B6)&gt;0, COUNTIF(독서목록!$C$2:$C$1091, B6))</f>
        <v>#NAME?</v>
      </c>
      <c r="F6" s="12" t="e">
        <f ca="1">_xludf.IFS(COUNTIF(보류목록!$C$3:$C$1000, B6)&gt;0, "-",COUNTIF(독서목록!$D$2:$D$1091, B6)=0, , COUNTIF(독서목록!$D$2:$D$1091, B6)&gt;0, COUNTIF(독서목록!$D$2:$D$1091, B6))</f>
        <v>#NAME?</v>
      </c>
      <c r="G6" s="13" t="s">
        <v>8</v>
      </c>
      <c r="H6" s="14"/>
      <c r="I6" s="14"/>
    </row>
    <row r="7" spans="1:17" ht="16.5" customHeight="1">
      <c r="A7" s="9"/>
      <c r="B7" s="10" t="s">
        <v>13</v>
      </c>
      <c r="C7" s="11" t="s">
        <v>14</v>
      </c>
      <c r="D7" s="11" t="s">
        <v>15</v>
      </c>
      <c r="E7" s="12" t="e">
        <f ca="1">_xludf.IFS(COUNTIF(보류목록!$B$3:$B$1000, B7)&gt;0, "-",COUNTIF(독서목록!$C$2:$C$1091, B7)=0, , COUNTIF(독서목록!$C$2:$C$1091, B7)&gt;0, COUNTIF(독서목록!$C$2:$C$1091, B7))</f>
        <v>#NAME?</v>
      </c>
      <c r="F7" s="12" t="e">
        <f ca="1">_xludf.IFS(COUNTIF(보류목록!$C$3:$C$1000, B7)&gt;0, "-",COUNTIF(독서목록!$D$2:$D$1091, B7)=0, , COUNTIF(독서목록!$D$2:$D$1091, B7)&gt;0, COUNTIF(독서목록!$D$2:$D$1091, B7))</f>
        <v>#NAME?</v>
      </c>
      <c r="G7" s="13" t="s">
        <v>8</v>
      </c>
      <c r="H7" s="14"/>
      <c r="I7" s="14"/>
    </row>
    <row r="8" spans="1:17" ht="16.5" customHeight="1">
      <c r="A8" s="9"/>
      <c r="B8" s="10" t="s">
        <v>16</v>
      </c>
      <c r="C8" s="11" t="s">
        <v>17</v>
      </c>
      <c r="D8" s="11" t="s">
        <v>18</v>
      </c>
      <c r="E8" s="12" t="e">
        <f ca="1">_xludf.IFS(COUNTIF(보류목록!$B$3:$B$1000, B8)&gt;0, "-",COUNTIF(독서목록!$C$2:$C$1091, B8)=0, , COUNTIF(독서목록!$C$2:$C$1091, B8)&gt;0, COUNTIF(독서목록!$C$2:$C$1091, B8))</f>
        <v>#NAME?</v>
      </c>
      <c r="F8" s="12" t="e">
        <f ca="1">_xludf.IFS(COUNTIF(보류목록!$C$3:$C$1000, B8)&gt;0, "-",COUNTIF(독서목록!$D$2:$D$1091, B8)=0, , COUNTIF(독서목록!$D$2:$D$1091, B8)&gt;0, COUNTIF(독서목록!$D$2:$D$1091, B8))</f>
        <v>#NAME?</v>
      </c>
      <c r="G8" s="13" t="s">
        <v>19</v>
      </c>
      <c r="H8" s="14"/>
      <c r="I8" s="14"/>
    </row>
    <row r="9" spans="1:17" ht="16.5" customHeight="1">
      <c r="A9" s="9"/>
      <c r="B9" s="10" t="s">
        <v>20</v>
      </c>
      <c r="C9" s="11" t="s">
        <v>11</v>
      </c>
      <c r="D9" s="11" t="s">
        <v>21</v>
      </c>
      <c r="E9" s="12" t="e">
        <f ca="1">_xludf.IFS(COUNTIF(보류목록!$B$3:$B$1000, B9)&gt;0, "-",COUNTIF(독서목록!$C$2:$C$1091, B9)=0, , COUNTIF(독서목록!$C$2:$C$1091, B9)&gt;0, COUNTIF(독서목록!$C$2:$C$1091, B9))</f>
        <v>#NAME?</v>
      </c>
      <c r="F9" s="12" t="e">
        <f ca="1">_xludf.IFS(COUNTIF(보류목록!$C$3:$C$1000, B9)&gt;0, "-",COUNTIF(독서목록!$D$2:$D$1091, B9)=0, , COUNTIF(독서목록!$D$2:$D$1091, B9)&gt;0, COUNTIF(독서목록!$D$2:$D$1091, B9))</f>
        <v>#NAME?</v>
      </c>
      <c r="G9" s="13" t="s">
        <v>19</v>
      </c>
      <c r="H9" s="14"/>
      <c r="I9" s="14"/>
    </row>
    <row r="10" spans="1:17" ht="16.5" customHeight="1">
      <c r="A10" s="9"/>
      <c r="B10" s="10" t="s">
        <v>22</v>
      </c>
      <c r="C10" s="11" t="s">
        <v>23</v>
      </c>
      <c r="D10" s="11" t="s">
        <v>24</v>
      </c>
      <c r="E10" s="12" t="e">
        <f ca="1">_xludf.IFS(COUNTIF(보류목록!$B$3:$B$1000, B10)&gt;0, "-",COUNTIF(독서목록!$C$2:$C$1091, B10)=0, , COUNTIF(독서목록!$C$2:$C$1091, B10)&gt;0, COUNTIF(독서목록!$C$2:$C$1091, B10))</f>
        <v>#NAME?</v>
      </c>
      <c r="F10" s="12" t="e">
        <f ca="1">_xludf.IFS(COUNTIF(보류목록!$C$3:$C$1000, B10)&gt;0, "-",COUNTIF(독서목록!$D$2:$D$1091, B10)=0, , COUNTIF(독서목록!$D$2:$D$1091, B10)&gt;0, COUNTIF(독서목록!$D$2:$D$1091, B10))</f>
        <v>#NAME?</v>
      </c>
      <c r="G10" s="13" t="s">
        <v>19</v>
      </c>
      <c r="H10" s="14"/>
      <c r="I10" s="14"/>
    </row>
    <row r="11" spans="1:17" ht="16.5" customHeight="1">
      <c r="A11" s="9"/>
      <c r="B11" s="10" t="s">
        <v>25</v>
      </c>
      <c r="C11" s="11" t="s">
        <v>26</v>
      </c>
      <c r="D11" s="11" t="s">
        <v>27</v>
      </c>
      <c r="E11" s="12" t="e">
        <f ca="1">_xludf.IFS(COUNTIF(보류목록!$B$3:$B$1000, B11)&gt;0, "-",COUNTIF(독서목록!$C$2:$C$1091, B11)=0, , COUNTIF(독서목록!$C$2:$C$1091, B11)&gt;0, COUNTIF(독서목록!$C$2:$C$1091, B11))</f>
        <v>#NAME?</v>
      </c>
      <c r="F11" s="12" t="e">
        <f ca="1">_xludf.IFS(COUNTIF(보류목록!$C$3:$C$1000, B11)&gt;0, "-",COUNTIF(독서목록!$D$2:$D$1091, B11)=0, , COUNTIF(독서목록!$D$2:$D$1091, B11)&gt;0, COUNTIF(독서목록!$D$2:$D$1091, B11))</f>
        <v>#NAME?</v>
      </c>
      <c r="G11" s="13" t="s">
        <v>19</v>
      </c>
      <c r="H11" s="14"/>
      <c r="I11" s="14"/>
    </row>
    <row r="12" spans="1:17" ht="16.5" customHeight="1">
      <c r="A12" s="9"/>
      <c r="B12" s="10" t="s">
        <v>28</v>
      </c>
      <c r="C12" s="11" t="s">
        <v>29</v>
      </c>
      <c r="D12" s="11" t="s">
        <v>30</v>
      </c>
      <c r="E12" s="12" t="e">
        <f ca="1">_xludf.IFS(COUNTIF(보류목록!$B$3:$B$1000, B12)&gt;0, "-",COUNTIF(독서목록!$C$2:$C$1091, B12)=0, , COUNTIF(독서목록!$C$2:$C$1091, B12)&gt;0, COUNTIF(독서목록!$C$2:$C$1091, B12))</f>
        <v>#NAME?</v>
      </c>
      <c r="F12" s="12" t="e">
        <f ca="1">_xludf.IFS(COUNTIF(보류목록!$C$3:$C$1000, B12)&gt;0, "-",COUNTIF(독서목록!$D$2:$D$1091, B12)=0, , COUNTIF(독서목록!$D$2:$D$1091, B12)&gt;0, COUNTIF(독서목록!$D$2:$D$1091, B12))</f>
        <v>#NAME?</v>
      </c>
      <c r="G12" s="13" t="s">
        <v>31</v>
      </c>
      <c r="H12" s="14"/>
      <c r="I12" s="14"/>
    </row>
    <row r="13" spans="1:17" ht="16.5" customHeight="1">
      <c r="A13" s="9"/>
      <c r="B13" s="10" t="s">
        <v>32</v>
      </c>
      <c r="C13" s="11" t="s">
        <v>33</v>
      </c>
      <c r="D13" s="11" t="s">
        <v>15</v>
      </c>
      <c r="E13" s="12" t="e">
        <f ca="1">_xludf.IFS(COUNTIF(보류목록!$B$3:$B$1000, B13)&gt;0, "-",COUNTIF(독서목록!$C$2:$C$1091, B13)=0, , COUNTIF(독서목록!$C$2:$C$1091, B13)&gt;0, COUNTIF(독서목록!$C$2:$C$1091, B13))</f>
        <v>#NAME?</v>
      </c>
      <c r="F13" s="12" t="e">
        <f ca="1">_xludf.IFS(COUNTIF(보류목록!$C$3:$C$1000, B13)&gt;0, "-",COUNTIF(독서목록!$D$2:$D$1091, B13)=0, , COUNTIF(독서목록!$D$2:$D$1091, B13)&gt;0, COUNTIF(독서목록!$D$2:$D$1091, B13))</f>
        <v>#NAME?</v>
      </c>
      <c r="G13" s="13" t="s">
        <v>31</v>
      </c>
      <c r="H13" s="14"/>
      <c r="I13" s="14"/>
    </row>
    <row r="14" spans="1:17" ht="16.5" customHeight="1">
      <c r="A14" s="9"/>
      <c r="B14" s="10" t="s">
        <v>34</v>
      </c>
      <c r="C14" s="11" t="s">
        <v>35</v>
      </c>
      <c r="D14" s="11" t="s">
        <v>36</v>
      </c>
      <c r="E14" s="12" t="e">
        <f ca="1">_xludf.IFS(COUNTIF(보류목록!$B$3:$B$1000, B14)&gt;0, "-",COUNTIF(독서목록!$C$2:$C$1091, B14)=0, , COUNTIF(독서목록!$C$2:$C$1091, B14)&gt;0, COUNTIF(독서목록!$C$2:$C$1091, B14))</f>
        <v>#NAME?</v>
      </c>
      <c r="F14" s="12" t="e">
        <f ca="1">_xludf.IFS(COUNTIF(보류목록!$C$3:$C$1000, B14)&gt;0, "-",COUNTIF(독서목록!$D$2:$D$1091, B14)=0, , COUNTIF(독서목록!$D$2:$D$1091, B14)&gt;0, COUNTIF(독서목록!$D$2:$D$1091, B14))</f>
        <v>#NAME?</v>
      </c>
      <c r="G14" s="13" t="s">
        <v>31</v>
      </c>
      <c r="H14" s="14"/>
      <c r="I14" s="14"/>
    </row>
    <row r="15" spans="1:17" ht="16.5" customHeight="1">
      <c r="A15" s="9"/>
      <c r="B15" s="10" t="s">
        <v>37</v>
      </c>
      <c r="C15" s="11" t="s">
        <v>38</v>
      </c>
      <c r="D15" s="11" t="s">
        <v>39</v>
      </c>
      <c r="E15" s="12" t="e">
        <f ca="1">_xludf.IFS(COUNTIF(보류목록!$B$3:$B$1000, B15)&gt;0, "-",COUNTIF(독서목록!$C$2:$C$1091, B15)=0, , COUNTIF(독서목록!$C$2:$C$1091, B15)&gt;0, COUNTIF(독서목록!$C$2:$C$1091, B15))</f>
        <v>#NAME?</v>
      </c>
      <c r="F15" s="12" t="e">
        <f ca="1">_xludf.IFS(COUNTIF(보류목록!$C$3:$C$1000, B15)&gt;0, "-",COUNTIF(독서목록!$D$2:$D$1091, B15)=0, , COUNTIF(독서목록!$D$2:$D$1091, B15)&gt;0, COUNTIF(독서목록!$D$2:$D$1091, B15))</f>
        <v>#NAME?</v>
      </c>
      <c r="G15" s="13" t="s">
        <v>40</v>
      </c>
      <c r="H15" s="14"/>
      <c r="I15" s="14"/>
    </row>
    <row r="16" spans="1:17" ht="16.5" customHeight="1">
      <c r="A16" s="9"/>
      <c r="B16" s="10" t="s">
        <v>41</v>
      </c>
      <c r="C16" s="11" t="s">
        <v>42</v>
      </c>
      <c r="D16" s="11" t="s">
        <v>43</v>
      </c>
      <c r="E16" s="12" t="e">
        <f ca="1">_xludf.IFS(COUNTIF(보류목록!$B$3:$B$1000, B16)&gt;0, "-",COUNTIF(독서목록!$C$2:$C$1091, B16)=0, , COUNTIF(독서목록!$C$2:$C$1091, B16)&gt;0, COUNTIF(독서목록!$C$2:$C$1091, B16))</f>
        <v>#NAME?</v>
      </c>
      <c r="F16" s="12" t="e">
        <f ca="1">_xludf.IFS(COUNTIF(보류목록!$C$3:$C$1000, B16)&gt;0, "-",COUNTIF(독서목록!$D$2:$D$1091, B16)=0, , COUNTIF(독서목록!$D$2:$D$1091, B16)&gt;0, COUNTIF(독서목록!$D$2:$D$1091, B16))</f>
        <v>#NAME?</v>
      </c>
      <c r="G16" s="13" t="s">
        <v>40</v>
      </c>
      <c r="H16" s="14"/>
      <c r="I16" s="14"/>
    </row>
    <row r="17" spans="1:9" ht="16.5" customHeight="1">
      <c r="A17" s="9"/>
      <c r="B17" s="10" t="s">
        <v>44</v>
      </c>
      <c r="C17" s="11" t="s">
        <v>45</v>
      </c>
      <c r="D17" s="11" t="s">
        <v>46</v>
      </c>
      <c r="E17" s="12" t="e">
        <f ca="1">_xludf.IFS(COUNTIF(보류목록!$B$3:$B$1000, B17)&gt;0, "-",COUNTIF(독서목록!$C$2:$C$1091, B17)=0, , COUNTIF(독서목록!$C$2:$C$1091, B17)&gt;0, COUNTIF(독서목록!$C$2:$C$1091, B17))</f>
        <v>#NAME?</v>
      </c>
      <c r="F17" s="12" t="e">
        <f ca="1">_xludf.IFS(COUNTIF(보류목록!$C$3:$C$1000, B17)&gt;0, "-",COUNTIF(독서목록!$D$2:$D$1091, B17)=0, , COUNTIF(독서목록!$D$2:$D$1091, B17)&gt;0, COUNTIF(독서목록!$D$2:$D$1091, B17))</f>
        <v>#NAME?</v>
      </c>
      <c r="G17" s="13" t="s">
        <v>40</v>
      </c>
      <c r="H17" s="14"/>
      <c r="I17" s="14"/>
    </row>
    <row r="18" spans="1:9" ht="16.5" customHeight="1">
      <c r="A18" s="9"/>
      <c r="B18" s="10" t="s">
        <v>47</v>
      </c>
      <c r="C18" s="11" t="s">
        <v>48</v>
      </c>
      <c r="D18" s="11" t="s">
        <v>49</v>
      </c>
      <c r="E18" s="12" t="e">
        <f ca="1">_xludf.IFS(COUNTIF(보류목록!$B$3:$B$1000, B18)&gt;0, "-",COUNTIF(독서목록!$C$2:$C$1091, B18)=0, , COUNTIF(독서목록!$C$2:$C$1091, B18)&gt;0, COUNTIF(독서목록!$C$2:$C$1091, B18))</f>
        <v>#NAME?</v>
      </c>
      <c r="F18" s="12" t="e">
        <f ca="1">_xludf.IFS(COUNTIF(보류목록!$C$3:$C$1000, B18)&gt;0, "-",COUNTIF(독서목록!$D$2:$D$1091, B18)=0, , COUNTIF(독서목록!$D$2:$D$1091, B18)&gt;0, COUNTIF(독서목록!$D$2:$D$1091, B18))</f>
        <v>#NAME?</v>
      </c>
      <c r="G18" s="13" t="s">
        <v>50</v>
      </c>
      <c r="H18" s="14"/>
      <c r="I18" s="14"/>
    </row>
    <row r="19" spans="1:9" ht="16.5" customHeight="1">
      <c r="A19" s="9"/>
      <c r="B19" s="10" t="s">
        <v>51</v>
      </c>
      <c r="C19" s="11" t="s">
        <v>52</v>
      </c>
      <c r="D19" s="11" t="s">
        <v>15</v>
      </c>
      <c r="E19" s="12" t="e">
        <f ca="1">_xludf.IFS(COUNTIF(보류목록!$B$3:$B$1000, B19)&gt;0, "-",COUNTIF(독서목록!$C$2:$C$1091, B19)=0, , COUNTIF(독서목록!$C$2:$C$1091, B19)&gt;0, COUNTIF(독서목록!$C$2:$C$1091, B19))</f>
        <v>#NAME?</v>
      </c>
      <c r="F19" s="12" t="e">
        <f ca="1">_xludf.IFS(COUNTIF(보류목록!$C$3:$C$1000, B19)&gt;0, "-",COUNTIF(독서목록!$D$2:$D$1091, B19)=0, , COUNTIF(독서목록!$D$2:$D$1091, B19)&gt;0, COUNTIF(독서목록!$D$2:$D$1091, B19))</f>
        <v>#NAME?</v>
      </c>
      <c r="G19" s="13" t="s">
        <v>50</v>
      </c>
      <c r="H19" s="14"/>
      <c r="I19" s="14"/>
    </row>
    <row r="20" spans="1:9" ht="16.5" customHeight="1">
      <c r="A20" s="9"/>
      <c r="B20" s="10" t="s">
        <v>53</v>
      </c>
      <c r="C20" s="11" t="s">
        <v>54</v>
      </c>
      <c r="D20" s="11" t="s">
        <v>55</v>
      </c>
      <c r="E20" s="12" t="e">
        <f ca="1">_xludf.IFS(COUNTIF(보류목록!$B$3:$B$1000, B20)&gt;0, "-",COUNTIF(독서목록!$C$2:$C$1091, B20)=0, , COUNTIF(독서목록!$C$2:$C$1091, B20)&gt;0, COUNTIF(독서목록!$C$2:$C$1091, B20))</f>
        <v>#NAME?</v>
      </c>
      <c r="F20" s="12" t="e">
        <f ca="1">_xludf.IFS(COUNTIF(보류목록!$C$3:$C$1000, B20)&gt;0, "-",COUNTIF(독서목록!$D$2:$D$1091, B20)=0, , COUNTIF(독서목록!$D$2:$D$1091, B20)&gt;0, COUNTIF(독서목록!$D$2:$D$1091, B20))</f>
        <v>#NAME?</v>
      </c>
      <c r="G20" s="13" t="s">
        <v>50</v>
      </c>
      <c r="H20" s="14"/>
      <c r="I20" s="14"/>
    </row>
    <row r="21" spans="1:9" ht="16.5" customHeight="1">
      <c r="A21" s="9"/>
      <c r="B21" s="10" t="s">
        <v>56</v>
      </c>
      <c r="C21" s="11" t="s">
        <v>57</v>
      </c>
      <c r="D21" s="11" t="s">
        <v>58</v>
      </c>
      <c r="E21" s="12" t="e">
        <f ca="1">_xludf.IFS(COUNTIF(보류목록!$B$3:$B$1000, B21)&gt;0, "-",COUNTIF(독서목록!$C$2:$C$1091, B21)=0, , COUNTIF(독서목록!$C$2:$C$1091, B21)&gt;0, COUNTIF(독서목록!$C$2:$C$1091, B21))</f>
        <v>#NAME?</v>
      </c>
      <c r="F21" s="12" t="e">
        <f ca="1">_xludf.IFS(COUNTIF(보류목록!$C$3:$C$1000, B21)&gt;0, "-",COUNTIF(독서목록!$D$2:$D$1091, B21)=0, , COUNTIF(독서목록!$D$2:$D$1091, B21)&gt;0, COUNTIF(독서목록!$D$2:$D$1091, B21))</f>
        <v>#NAME?</v>
      </c>
      <c r="G21" s="13" t="s">
        <v>59</v>
      </c>
      <c r="H21" s="14"/>
      <c r="I21" s="14"/>
    </row>
    <row r="22" spans="1:9" ht="16.5" customHeight="1">
      <c r="A22" s="9"/>
      <c r="B22" s="10" t="s">
        <v>60</v>
      </c>
      <c r="C22" s="11" t="s">
        <v>61</v>
      </c>
      <c r="D22" s="11" t="s">
        <v>39</v>
      </c>
      <c r="E22" s="12" t="e">
        <f ca="1">_xludf.IFS(COUNTIF(보류목록!$B$3:$B$1000, B22)&gt;0, "-",COUNTIF(독서목록!$C$2:$C$1091, B22)=0, , COUNTIF(독서목록!$C$2:$C$1091, B22)&gt;0, COUNTIF(독서목록!$C$2:$C$1091, B22))</f>
        <v>#NAME?</v>
      </c>
      <c r="F22" s="12" t="e">
        <f ca="1">_xludf.IFS(COUNTIF(보류목록!$C$3:$C$1000, B22)&gt;0, "-",COUNTIF(독서목록!$D$2:$D$1091, B22)=0, , COUNTIF(독서목록!$D$2:$D$1091, B22)&gt;0, COUNTIF(독서목록!$D$2:$D$1091, B22))</f>
        <v>#NAME?</v>
      </c>
      <c r="G22" s="13" t="s">
        <v>59</v>
      </c>
      <c r="H22" s="14"/>
      <c r="I22" s="14"/>
    </row>
    <row r="23" spans="1:9" ht="16.5" customHeight="1">
      <c r="A23" s="9"/>
      <c r="B23" s="10" t="s">
        <v>62</v>
      </c>
      <c r="C23" s="11" t="s">
        <v>63</v>
      </c>
      <c r="D23" s="11" t="s">
        <v>64</v>
      </c>
      <c r="E23" s="12" t="e">
        <f ca="1">_xludf.IFS(COUNTIF(보류목록!$B$3:$B$1000, B23)&gt;0, "-",COUNTIF(독서목록!$C$2:$C$1091, B23)=0, , COUNTIF(독서목록!$C$2:$C$1091, B23)&gt;0, COUNTIF(독서목록!$C$2:$C$1091, B23))</f>
        <v>#NAME?</v>
      </c>
      <c r="F23" s="12" t="e">
        <f ca="1">_xludf.IFS(COUNTIF(보류목록!$C$3:$C$1000, B23)&gt;0, "-",COUNTIF(독서목록!$D$2:$D$1091, B23)=0, , COUNTIF(독서목록!$D$2:$D$1091, B23)&gt;0, COUNTIF(독서목록!$D$2:$D$1091, B23))</f>
        <v>#NAME?</v>
      </c>
      <c r="G23" s="13" t="s">
        <v>65</v>
      </c>
      <c r="H23" s="14"/>
      <c r="I23" s="14"/>
    </row>
    <row r="24" spans="1:9" ht="16.5" customHeight="1">
      <c r="A24" s="9"/>
      <c r="B24" s="10" t="s">
        <v>66</v>
      </c>
      <c r="C24" s="11" t="s">
        <v>67</v>
      </c>
      <c r="D24" s="11" t="s">
        <v>68</v>
      </c>
      <c r="E24" s="12" t="e">
        <f ca="1">_xludf.IFS(COUNTIF(보류목록!$B$3:$B$1000, B24)&gt;0, "-",COUNTIF(독서목록!$C$2:$C$1091, B24)=0, , COUNTIF(독서목록!$C$2:$C$1091, B24)&gt;0, COUNTIF(독서목록!$C$2:$C$1091, B24))</f>
        <v>#NAME?</v>
      </c>
      <c r="F24" s="12" t="e">
        <f ca="1">_xludf.IFS(COUNTIF(보류목록!$C$3:$C$1000, B24)&gt;0, "-",COUNTIF(독서목록!$D$2:$D$1091, B24)=0, , COUNTIF(독서목록!$D$2:$D$1091, B24)&gt;0, COUNTIF(독서목록!$D$2:$D$1091, B24))</f>
        <v>#NAME?</v>
      </c>
      <c r="G24" s="13" t="s">
        <v>65</v>
      </c>
      <c r="H24" s="14"/>
      <c r="I24" s="14"/>
    </row>
    <row r="25" spans="1:9" ht="16.5" customHeight="1">
      <c r="A25" s="9"/>
      <c r="B25" s="10" t="s">
        <v>69</v>
      </c>
      <c r="C25" s="11" t="s">
        <v>70</v>
      </c>
      <c r="D25" s="11" t="s">
        <v>39</v>
      </c>
      <c r="E25" s="12" t="e">
        <f ca="1">_xludf.IFS(COUNTIF(보류목록!$B$3:$B$1000, B25)&gt;0, "-",COUNTIF(독서목록!$C$2:$C$1091, B25)=0, , COUNTIF(독서목록!$C$2:$C$1091, B25)&gt;0, COUNTIF(독서목록!$C$2:$C$1091, B25))</f>
        <v>#NAME?</v>
      </c>
      <c r="F25" s="12" t="e">
        <f ca="1">_xludf.IFS(COUNTIF(보류목록!$C$3:$C$1000, B25)&gt;0, "-",COUNTIF(독서목록!$D$2:$D$1091, B25)=0, , COUNTIF(독서목록!$D$2:$D$1091, B25)&gt;0, COUNTIF(독서목록!$D$2:$D$1091, B25))</f>
        <v>#NAME?</v>
      </c>
      <c r="G25" s="13" t="s">
        <v>65</v>
      </c>
      <c r="H25" s="14"/>
      <c r="I25" s="14"/>
    </row>
    <row r="26" spans="1:9" ht="16.5" customHeight="1">
      <c r="A26" s="9"/>
      <c r="B26" s="10" t="s">
        <v>71</v>
      </c>
      <c r="C26" s="11" t="s">
        <v>72</v>
      </c>
      <c r="D26" s="11" t="s">
        <v>73</v>
      </c>
      <c r="E26" s="12" t="e">
        <f ca="1">_xludf.IFS(COUNTIF(보류목록!$B$3:$B$1000, B26)&gt;0, "-",COUNTIF(독서목록!$C$2:$C$1091, B26)=0, , COUNTIF(독서목록!$C$2:$C$1091, B26)&gt;0, COUNTIF(독서목록!$C$2:$C$1091, B26))</f>
        <v>#NAME?</v>
      </c>
      <c r="F26" s="12" t="e">
        <f ca="1">_xludf.IFS(COUNTIF(보류목록!$C$3:$C$1000, B26)&gt;0, "-",COUNTIF(독서목록!$D$2:$D$1091, B26)=0, , COUNTIF(독서목록!$D$2:$D$1091, B26)&gt;0, COUNTIF(독서목록!$D$2:$D$1091, B26))</f>
        <v>#NAME?</v>
      </c>
      <c r="G26" s="13" t="s">
        <v>74</v>
      </c>
      <c r="H26" s="14" t="s">
        <v>75</v>
      </c>
      <c r="I26" s="14">
        <v>25.12</v>
      </c>
    </row>
    <row r="27" spans="1:9" ht="16.5" customHeight="1">
      <c r="A27" s="9"/>
      <c r="B27" s="10" t="s">
        <v>76</v>
      </c>
      <c r="C27" s="11" t="s">
        <v>45</v>
      </c>
      <c r="D27" s="11" t="s">
        <v>77</v>
      </c>
      <c r="E27" s="12" t="e">
        <f ca="1">_xludf.IFS(COUNTIF(보류목록!$B$3:$B$1000, B27)&gt;0, "-",COUNTIF(독서목록!$C$2:$C$1091, B27)=0, , COUNTIF(독서목록!$C$2:$C$1091, B27)&gt;0, COUNTIF(독서목록!$C$2:$C$1091, B27))</f>
        <v>#NAME?</v>
      </c>
      <c r="F27" s="12" t="e">
        <f ca="1">_xludf.IFS(COUNTIF(보류목록!$C$3:$C$1000, B27)&gt;0, "-",COUNTIF(독서목록!$D$2:$D$1091, B27)=0, , COUNTIF(독서목록!$D$2:$D$1091, B27)&gt;0, COUNTIF(독서목록!$D$2:$D$1091, B27))</f>
        <v>#NAME?</v>
      </c>
      <c r="G27" s="13" t="s">
        <v>74</v>
      </c>
      <c r="H27" s="14" t="s">
        <v>75</v>
      </c>
      <c r="I27" s="14">
        <v>25.12</v>
      </c>
    </row>
    <row r="28" spans="1:9" ht="16.5" customHeight="1">
      <c r="A28" s="9"/>
      <c r="B28" s="10" t="s">
        <v>78</v>
      </c>
      <c r="C28" s="11" t="s">
        <v>79</v>
      </c>
      <c r="D28" s="11" t="s">
        <v>39</v>
      </c>
      <c r="E28" s="12" t="e">
        <f ca="1">_xludf.IFS(COUNTIF(보류목록!$B$3:$B$1000, B28)&gt;0, "-",COUNTIF(독서목록!$C$2:$C$1091, B28)=0, , COUNTIF(독서목록!$C$2:$C$1091, B28)&gt;0, COUNTIF(독서목록!$C$2:$C$1091, B28))</f>
        <v>#NAME?</v>
      </c>
      <c r="F28" s="12" t="e">
        <f ca="1">_xludf.IFS(COUNTIF(보류목록!$C$3:$C$1000, B28)&gt;0, "-",COUNTIF(독서목록!$D$2:$D$1091, B28)=0, , COUNTIF(독서목록!$D$2:$D$1091, B28)&gt;0, COUNTIF(독서목록!$D$2:$D$1091, B28))</f>
        <v>#NAME?</v>
      </c>
      <c r="G28" s="13" t="s">
        <v>74</v>
      </c>
      <c r="H28" s="14"/>
      <c r="I28" s="14"/>
    </row>
    <row r="29" spans="1:9" ht="16.5" customHeight="1">
      <c r="A29" s="9"/>
      <c r="B29" s="10" t="s">
        <v>80</v>
      </c>
      <c r="C29" s="11" t="s">
        <v>81</v>
      </c>
      <c r="D29" s="11" t="s">
        <v>82</v>
      </c>
      <c r="E29" s="12" t="e">
        <f ca="1">_xludf.IFS(COUNTIF(보류목록!$B$3:$B$1000, B29)&gt;0, "-",COUNTIF(독서목록!$C$2:$C$1091, B29)=0, , COUNTIF(독서목록!$C$2:$C$1091, B29)&gt;0, COUNTIF(독서목록!$C$2:$C$1091, B29))</f>
        <v>#NAME?</v>
      </c>
      <c r="F29" s="12" t="e">
        <f ca="1">_xludf.IFS(COUNTIF(보류목록!$C$3:$C$1000, B29)&gt;0, "-",COUNTIF(독서목록!$D$2:$D$1091, B29)=0, , COUNTIF(독서목록!$D$2:$D$1091, B29)&gt;0, COUNTIF(독서목록!$D$2:$D$1091, B29))</f>
        <v>#NAME?</v>
      </c>
      <c r="G29" s="13" t="s">
        <v>83</v>
      </c>
      <c r="H29" s="14"/>
      <c r="I29" s="14"/>
    </row>
    <row r="30" spans="1:9" ht="16.5" customHeight="1">
      <c r="A30" s="9"/>
      <c r="B30" s="15" t="s">
        <v>84</v>
      </c>
      <c r="C30" s="11" t="s">
        <v>85</v>
      </c>
      <c r="D30" s="11" t="s">
        <v>86</v>
      </c>
      <c r="E30" s="12" t="e">
        <f ca="1">_xludf.IFS(COUNTIF(보류목록!$B$3:$B$1000, B30)&gt;0, "-",COUNTIF(독서목록!$C$2:$C$1091, B30)=0, , COUNTIF(독서목록!$C$2:$C$1091, B30)&gt;0, COUNTIF(독서목록!$C$2:$C$1091, B30))</f>
        <v>#NAME?</v>
      </c>
      <c r="F30" s="12" t="e">
        <f ca="1">_xludf.IFS(COUNTIF(보류목록!$C$3:$C$1000, B30)&gt;0, "-",COUNTIF(독서목록!$D$2:$D$1091, B30)=0, , COUNTIF(독서목록!$D$2:$D$1091, B30)&gt;0, COUNTIF(독서목록!$D$2:$D$1091, B30))</f>
        <v>#NAME?</v>
      </c>
      <c r="G30" s="13" t="s">
        <v>83</v>
      </c>
      <c r="H30" s="14"/>
      <c r="I30" s="14"/>
    </row>
    <row r="31" spans="1:9" ht="16.5" customHeight="1">
      <c r="A31" s="9"/>
      <c r="B31" s="10" t="s">
        <v>87</v>
      </c>
      <c r="C31" s="11" t="s">
        <v>88</v>
      </c>
      <c r="D31" s="11" t="s">
        <v>89</v>
      </c>
      <c r="E31" s="12" t="e">
        <f ca="1">_xludf.IFS(COUNTIF(보류목록!$B$3:$B$1000, B31)&gt;0, "-",COUNTIF(독서목록!$C$2:$C$1091, B31)=0, , COUNTIF(독서목록!$C$2:$C$1091, B31)&gt;0, COUNTIF(독서목록!$C$2:$C$1091, B31))</f>
        <v>#NAME?</v>
      </c>
      <c r="F31" s="12" t="e">
        <f ca="1">_xludf.IFS(COUNTIF(보류목록!$C$3:$C$1000, B31)&gt;0, "-",COUNTIF(독서목록!$D$2:$D$1091, B31)=0, , COUNTIF(독서목록!$D$2:$D$1091, B31)&gt;0, COUNTIF(독서목록!$D$2:$D$1091, B31))</f>
        <v>#NAME?</v>
      </c>
      <c r="G31" s="13" t="s">
        <v>90</v>
      </c>
      <c r="H31" s="14"/>
      <c r="I31" s="14"/>
    </row>
    <row r="32" spans="1:9" ht="16.5" customHeight="1">
      <c r="A32" s="9"/>
      <c r="B32" s="10" t="s">
        <v>91</v>
      </c>
      <c r="C32" s="11" t="s">
        <v>92</v>
      </c>
      <c r="D32" s="11" t="s">
        <v>93</v>
      </c>
      <c r="E32" s="12" t="e">
        <f ca="1">_xludf.IFS(COUNTIF(보류목록!$B$3:$B$1000, B32)&gt;0, "-",COUNTIF(독서목록!$C$2:$C$1091, B32)=0, , COUNTIF(독서목록!$C$2:$C$1091, B32)&gt;0, COUNTIF(독서목록!$C$2:$C$1091, B32))</f>
        <v>#NAME?</v>
      </c>
      <c r="F32" s="12" t="e">
        <f ca="1">_xludf.IFS(COUNTIF(보류목록!$C$3:$C$1000, B32)&gt;0, "-",COUNTIF(독서목록!$D$2:$D$1091, B32)=0, , COUNTIF(독서목록!$D$2:$D$1091, B32)&gt;0, COUNTIF(독서목록!$D$2:$D$1091, B32))</f>
        <v>#NAME?</v>
      </c>
      <c r="G32" s="13" t="s">
        <v>90</v>
      </c>
      <c r="H32" s="14"/>
      <c r="I32" s="14"/>
    </row>
    <row r="33" spans="1:9" ht="16.5" customHeight="1">
      <c r="A33" s="9"/>
      <c r="B33" s="10" t="s">
        <v>94</v>
      </c>
      <c r="C33" s="11" t="s">
        <v>95</v>
      </c>
      <c r="D33" s="11" t="s">
        <v>96</v>
      </c>
      <c r="E33" s="12" t="e">
        <f ca="1">_xludf.IFS(COUNTIF(보류목록!$B$3:$B$1000, B33)&gt;0, "-",COUNTIF(독서목록!$C$2:$C$1091, B33)=0, , COUNTIF(독서목록!$C$2:$C$1091, B33)&gt;0, COUNTIF(독서목록!$C$2:$C$1091, B33))</f>
        <v>#NAME?</v>
      </c>
      <c r="F33" s="12" t="e">
        <f ca="1">_xludf.IFS(COUNTIF(보류목록!$C$3:$C$1000, B33)&gt;0, "-",COUNTIF(독서목록!$D$2:$D$1091, B33)=0, , COUNTIF(독서목록!$D$2:$D$1091, B33)&gt;0, COUNTIF(독서목록!$D$2:$D$1091, B33))</f>
        <v>#NAME?</v>
      </c>
      <c r="G33" s="13" t="s">
        <v>90</v>
      </c>
      <c r="H33" s="14"/>
      <c r="I33" s="14"/>
    </row>
    <row r="34" spans="1:9" ht="16.5" customHeight="1">
      <c r="A34" s="9"/>
      <c r="B34" s="10" t="s">
        <v>97</v>
      </c>
      <c r="C34" s="11" t="s">
        <v>98</v>
      </c>
      <c r="D34" s="11" t="s">
        <v>55</v>
      </c>
      <c r="E34" s="12" t="e">
        <f ca="1">_xludf.IFS(COUNTIF(보류목록!$B$3:$B$1000, B34)&gt;0, "-",COUNTIF(독서목록!$C$2:$C$1091, B34)=0, , COUNTIF(독서목록!$C$2:$C$1091, B34)&gt;0, COUNTIF(독서목록!$C$2:$C$1091, B34))</f>
        <v>#NAME?</v>
      </c>
      <c r="F34" s="12" t="e">
        <f ca="1">_xludf.IFS(COUNTIF(보류목록!$C$3:$C$1000, B34)&gt;0, "-",COUNTIF(독서목록!$D$2:$D$1091, B34)=0, , COUNTIF(독서목록!$D$2:$D$1091, B34)&gt;0, COUNTIF(독서목록!$D$2:$D$1091, B34))</f>
        <v>#NAME?</v>
      </c>
      <c r="G34" s="13" t="s">
        <v>99</v>
      </c>
      <c r="H34" s="14"/>
      <c r="I34" s="14"/>
    </row>
    <row r="35" spans="1:9" ht="16.5" customHeight="1">
      <c r="A35" s="9"/>
      <c r="B35" s="10" t="s">
        <v>100</v>
      </c>
      <c r="C35" s="11" t="s">
        <v>101</v>
      </c>
      <c r="D35" s="11" t="s">
        <v>102</v>
      </c>
      <c r="E35" s="12" t="e">
        <f ca="1">_xludf.IFS(COUNTIF(보류목록!$B$3:$B$1000, B35)&gt;0, "-",COUNTIF(독서목록!$C$2:$C$1091, B35)=0, , COUNTIF(독서목록!$C$2:$C$1091, B35)&gt;0, COUNTIF(독서목록!$C$2:$C$1091, B35))</f>
        <v>#NAME?</v>
      </c>
      <c r="F35" s="12" t="e">
        <f ca="1">_xludf.IFS(COUNTIF(보류목록!$C$3:$C$1000, B35)&gt;0, "-",COUNTIF(독서목록!$D$2:$D$1091, B35)=0, , COUNTIF(독서목록!$D$2:$D$1091, B35)&gt;0, COUNTIF(독서목록!$D$2:$D$1091, B35))</f>
        <v>#NAME?</v>
      </c>
      <c r="G35" s="13" t="s">
        <v>99</v>
      </c>
      <c r="H35" s="14"/>
      <c r="I35" s="14"/>
    </row>
    <row r="36" spans="1:9" ht="16.5" customHeight="1">
      <c r="A36" s="9"/>
      <c r="B36" s="10" t="s">
        <v>103</v>
      </c>
      <c r="C36" s="11" t="s">
        <v>104</v>
      </c>
      <c r="D36" s="11" t="s">
        <v>105</v>
      </c>
      <c r="E36" s="12" t="e">
        <f ca="1">_xludf.IFS(COUNTIF(보류목록!$B$3:$B$1000, B36)&gt;0, "-",COUNTIF(독서목록!$C$2:$C$1091, B36)=0, , COUNTIF(독서목록!$C$2:$C$1091, B36)&gt;0, COUNTIF(독서목록!$C$2:$C$1091, B36))</f>
        <v>#NAME?</v>
      </c>
      <c r="F36" s="12" t="e">
        <f ca="1">_xludf.IFS(COUNTIF(보류목록!$C$3:$C$1000, B36)&gt;0, "-",COUNTIF(독서목록!$D$2:$D$1091, B36)=0, , COUNTIF(독서목록!$D$2:$D$1091, B36)&gt;0, COUNTIF(독서목록!$D$2:$D$1091, B36))</f>
        <v>#NAME?</v>
      </c>
      <c r="G36" s="13" t="s">
        <v>99</v>
      </c>
      <c r="H36" s="14"/>
      <c r="I36" s="14"/>
    </row>
    <row r="37" spans="1:9" ht="16.5" customHeight="1">
      <c r="A37" s="9"/>
      <c r="B37" s="10" t="s">
        <v>106</v>
      </c>
      <c r="C37" s="11" t="s">
        <v>107</v>
      </c>
      <c r="D37" s="11" t="s">
        <v>108</v>
      </c>
      <c r="E37" s="12" t="e">
        <f ca="1">_xludf.IFS(COUNTIF(보류목록!$B$3:$B$1000, B37)&gt;0, "-",COUNTIF(독서목록!$C$2:$C$1091, B37)=0, , COUNTIF(독서목록!$C$2:$C$1091, B37)&gt;0, COUNTIF(독서목록!$C$2:$C$1091, B37))</f>
        <v>#NAME?</v>
      </c>
      <c r="F37" s="12" t="e">
        <f ca="1">_xludf.IFS(COUNTIF(보류목록!$C$3:$C$1000, B37)&gt;0, "-",COUNTIF(독서목록!$D$2:$D$1091, B37)=0, , COUNTIF(독서목록!$D$2:$D$1091, B37)&gt;0, COUNTIF(독서목록!$D$2:$D$1091, B37))</f>
        <v>#NAME?</v>
      </c>
      <c r="G37" s="13" t="s">
        <v>109</v>
      </c>
      <c r="H37" s="14" t="s">
        <v>75</v>
      </c>
      <c r="I37" s="14">
        <v>25.12</v>
      </c>
    </row>
    <row r="38" spans="1:9" ht="16.5" customHeight="1">
      <c r="A38" s="9"/>
      <c r="B38" s="16" t="s">
        <v>110</v>
      </c>
      <c r="C38" s="11" t="s">
        <v>111</v>
      </c>
      <c r="D38" s="11" t="s">
        <v>112</v>
      </c>
      <c r="E38" s="12" t="e">
        <f ca="1">_xludf.IFS(COUNTIF(보류목록!$B$3:$B$1000, B38)&gt;0, "-",COUNTIF(독서목록!$C$2:$C$1091, B38)=0, , COUNTIF(독서목록!$C$2:$C$1091, B38)&gt;0, COUNTIF(독서목록!$C$2:$C$1091, B38))</f>
        <v>#NAME?</v>
      </c>
      <c r="F38" s="12" t="e">
        <f ca="1">_xludf.IFS(COUNTIF(보류목록!$C$3:$C$1000, B38)&gt;0, "-",COUNTIF(독서목록!$D$2:$D$1091, B38)=0, , COUNTIF(독서목록!$D$2:$D$1091, B38)&gt;0, COUNTIF(독서목록!$D$2:$D$1091, B38))</f>
        <v>#NAME?</v>
      </c>
      <c r="G38" s="13" t="s">
        <v>109</v>
      </c>
      <c r="H38" s="14"/>
      <c r="I38" s="14"/>
    </row>
    <row r="39" spans="1:9" ht="16.5" customHeight="1">
      <c r="A39" s="9"/>
      <c r="B39" s="10" t="s">
        <v>113</v>
      </c>
      <c r="C39" s="11" t="s">
        <v>114</v>
      </c>
      <c r="D39" s="11" t="s">
        <v>115</v>
      </c>
      <c r="E39" s="12" t="e">
        <f ca="1">_xludf.IFS(COUNTIF(보류목록!$B$3:$B$1000, B39)&gt;0, "-",COUNTIF(독서목록!$C$2:$C$1091, B39)=0, , COUNTIF(독서목록!$C$2:$C$1091, B39)&gt;0, COUNTIF(독서목록!$C$2:$C$1091, B39))</f>
        <v>#NAME?</v>
      </c>
      <c r="F39" s="12" t="e">
        <f ca="1">_xludf.IFS(COUNTIF(보류목록!$C$3:$C$1000, B39)&gt;0, "-",COUNTIF(독서목록!$D$2:$D$1091, B39)=0, , COUNTIF(독서목록!$D$2:$D$1091, B39)&gt;0, COUNTIF(독서목록!$D$2:$D$1091, B39))</f>
        <v>#NAME?</v>
      </c>
      <c r="G39" s="13" t="s">
        <v>109</v>
      </c>
      <c r="H39" s="14"/>
      <c r="I39" s="14"/>
    </row>
    <row r="40" spans="1:9" ht="16.5" customHeight="1">
      <c r="A40" s="9"/>
      <c r="B40" s="10" t="s">
        <v>116</v>
      </c>
      <c r="C40" s="11" t="s">
        <v>117</v>
      </c>
      <c r="D40" s="11" t="s">
        <v>118</v>
      </c>
      <c r="E40" s="12" t="e">
        <f ca="1">_xludf.IFS(COUNTIF(보류목록!$B$3:$B$1000, B40)&gt;0, "-",COUNTIF(독서목록!$C$2:$C$1091, B40)=0, , COUNTIF(독서목록!$C$2:$C$1091, B40)&gt;0, COUNTIF(독서목록!$C$2:$C$1091, B40))</f>
        <v>#NAME?</v>
      </c>
      <c r="F40" s="12" t="e">
        <f ca="1">_xludf.IFS(COUNTIF(보류목록!$C$3:$C$1000, B40)&gt;0, "-",COUNTIF(독서목록!$D$2:$D$1091, B40)=0, , COUNTIF(독서목록!$D$2:$D$1091, B40)&gt;0, COUNTIF(독서목록!$D$2:$D$1091, B40))</f>
        <v>#NAME?</v>
      </c>
      <c r="G40" s="13" t="s">
        <v>109</v>
      </c>
      <c r="H40" s="14"/>
      <c r="I40" s="14"/>
    </row>
    <row r="41" spans="1:9" ht="16.5" customHeight="1">
      <c r="A41" s="9"/>
      <c r="B41" s="10" t="s">
        <v>119</v>
      </c>
      <c r="C41" s="11" t="s">
        <v>120</v>
      </c>
      <c r="D41" s="11" t="s">
        <v>121</v>
      </c>
      <c r="E41" s="12" t="e">
        <f ca="1">_xludf.IFS(COUNTIF(보류목록!$B$3:$B$1000, B41)&gt;0, "-",COUNTIF(독서목록!$C$2:$C$1091, B41)=0, , COUNTIF(독서목록!$C$2:$C$1091, B41)&gt;0, COUNTIF(독서목록!$C$2:$C$1091, B41))</f>
        <v>#NAME?</v>
      </c>
      <c r="F41" s="12" t="e">
        <f ca="1">_xludf.IFS(COUNTIF(보류목록!$C$3:$C$1000, B41)&gt;0, "-",COUNTIF(독서목록!$D$2:$D$1091, B41)=0, , COUNTIF(독서목록!$D$2:$D$1091, B41)&gt;0, COUNTIF(독서목록!$D$2:$D$1091, B41))</f>
        <v>#NAME?</v>
      </c>
      <c r="G41" s="13" t="s">
        <v>122</v>
      </c>
      <c r="H41" s="14"/>
      <c r="I41" s="14"/>
    </row>
    <row r="42" spans="1:9" ht="16.5" customHeight="1">
      <c r="A42" s="9"/>
      <c r="B42" s="10" t="s">
        <v>123</v>
      </c>
      <c r="C42" s="11" t="s">
        <v>124</v>
      </c>
      <c r="D42" s="11" t="s">
        <v>125</v>
      </c>
      <c r="E42" s="12" t="e">
        <f ca="1">_xludf.IFS(COUNTIF(보류목록!$B$3:$B$1000, B42)&gt;0, "-",COUNTIF(독서목록!$C$2:$C$1091, B42)=0, , COUNTIF(독서목록!$C$2:$C$1091, B42)&gt;0, COUNTIF(독서목록!$C$2:$C$1091, B42))</f>
        <v>#NAME?</v>
      </c>
      <c r="F42" s="12" t="e">
        <f ca="1">_xludf.IFS(COUNTIF(보류목록!$C$3:$C$1000, B42)&gt;0, "-",COUNTIF(독서목록!$D$2:$D$1091, B42)=0, , COUNTIF(독서목록!$D$2:$D$1091, B42)&gt;0, COUNTIF(독서목록!$D$2:$D$1091, B42))</f>
        <v>#NAME?</v>
      </c>
      <c r="G42" s="13" t="s">
        <v>126</v>
      </c>
      <c r="H42" s="14"/>
      <c r="I42" s="14"/>
    </row>
    <row r="43" spans="1:9" ht="16.5" customHeight="1">
      <c r="A43" s="9"/>
      <c r="B43" s="10" t="s">
        <v>127</v>
      </c>
      <c r="C43" s="11" t="s">
        <v>128</v>
      </c>
      <c r="D43" s="11" t="s">
        <v>129</v>
      </c>
      <c r="E43" s="12" t="e">
        <f ca="1">_xludf.IFS(COUNTIF(보류목록!$B$3:$B$1000, B43)&gt;0, "-",COUNTIF(독서목록!$C$2:$C$1091, B43)=0, , COUNTIF(독서목록!$C$2:$C$1091, B43)&gt;0, COUNTIF(독서목록!$C$2:$C$1091, B43))</f>
        <v>#NAME?</v>
      </c>
      <c r="F43" s="12" t="e">
        <f ca="1">_xludf.IFS(COUNTIF(보류목록!$C$3:$C$1000, B43)&gt;0, "-",COUNTIF(독서목록!$D$2:$D$1091, B43)=0, , COUNTIF(독서목록!$D$2:$D$1091, B43)&gt;0, COUNTIF(독서목록!$D$2:$D$1091, B43))</f>
        <v>#NAME?</v>
      </c>
      <c r="G43" s="13" t="s">
        <v>126</v>
      </c>
      <c r="H43" s="14"/>
      <c r="I43" s="14"/>
    </row>
    <row r="44" spans="1:9" ht="16.5" customHeight="1">
      <c r="A44" s="9"/>
      <c r="B44" s="10" t="s">
        <v>130</v>
      </c>
      <c r="C44" s="11" t="s">
        <v>131</v>
      </c>
      <c r="D44" s="11" t="s">
        <v>15</v>
      </c>
      <c r="E44" s="12" t="e">
        <f ca="1">_xludf.IFS(COUNTIF(보류목록!$B$3:$B$1000, B44)&gt;0, "-",COUNTIF(독서목록!$C$2:$C$1091, B44)=0, , COUNTIF(독서목록!$C$2:$C$1091, B44)&gt;0, COUNTIF(독서목록!$C$2:$C$1091, B44))</f>
        <v>#NAME?</v>
      </c>
      <c r="F44" s="12" t="e">
        <f ca="1">_xludf.IFS(COUNTIF(보류목록!$C$3:$C$1000, B44)&gt;0, "-",COUNTIF(독서목록!$D$2:$D$1091, B44)=0, , COUNTIF(독서목록!$D$2:$D$1091, B44)&gt;0, COUNTIF(독서목록!$D$2:$D$1091, B44))</f>
        <v>#NAME?</v>
      </c>
      <c r="G44" s="13" t="s">
        <v>132</v>
      </c>
      <c r="H44" s="14"/>
      <c r="I44" s="14"/>
    </row>
    <row r="45" spans="1:9" ht="16.5" customHeight="1">
      <c r="A45" s="9"/>
      <c r="B45" s="10" t="s">
        <v>133</v>
      </c>
      <c r="C45" s="11" t="s">
        <v>134</v>
      </c>
      <c r="D45" s="11" t="s">
        <v>135</v>
      </c>
      <c r="E45" s="12" t="e">
        <f ca="1">_xludf.IFS(COUNTIF(보류목록!$B$3:$B$1000, B45)&gt;0, "-",COUNTIF(독서목록!$C$2:$C$1091, B45)=0, , COUNTIF(독서목록!$C$2:$C$1091, B45)&gt;0, COUNTIF(독서목록!$C$2:$C$1091, B45))</f>
        <v>#NAME?</v>
      </c>
      <c r="F45" s="12" t="e">
        <f ca="1">_xludf.IFS(COUNTIF(보류목록!$C$3:$C$1000, B45)&gt;0, "-",COUNTIF(독서목록!$D$2:$D$1091, B45)=0, , COUNTIF(독서목록!$D$2:$D$1091, B45)&gt;0, COUNTIF(독서목록!$D$2:$D$1091, B45))</f>
        <v>#NAME?</v>
      </c>
      <c r="G45" s="13" t="s">
        <v>132</v>
      </c>
      <c r="H45" s="14"/>
      <c r="I45" s="14"/>
    </row>
    <row r="46" spans="1:9" ht="16.5" customHeight="1">
      <c r="A46" s="9"/>
      <c r="B46" s="10" t="s">
        <v>136</v>
      </c>
      <c r="C46" s="11" t="s">
        <v>131</v>
      </c>
      <c r="D46" s="11" t="s">
        <v>49</v>
      </c>
      <c r="E46" s="12" t="e">
        <f ca="1">_xludf.IFS(COUNTIF(보류목록!$B$3:$B$1000, B46)&gt;0, "-",COUNTIF(독서목록!$C$2:$C$1091, B46)=0, , COUNTIF(독서목록!$C$2:$C$1091, B46)&gt;0, COUNTIF(독서목록!$C$2:$C$1091, B46))</f>
        <v>#NAME?</v>
      </c>
      <c r="F46" s="12" t="e">
        <f ca="1">_xludf.IFS(COUNTIF(보류목록!$C$3:$C$1000, B46)&gt;0, "-",COUNTIF(독서목록!$D$2:$D$1091, B46)=0, , COUNTIF(독서목록!$D$2:$D$1091, B46)&gt;0, COUNTIF(독서목록!$D$2:$D$1091, B46))</f>
        <v>#NAME?</v>
      </c>
      <c r="G46" s="13" t="s">
        <v>137</v>
      </c>
      <c r="H46" s="14"/>
      <c r="I46" s="14"/>
    </row>
    <row r="47" spans="1:9" ht="16.5" customHeight="1">
      <c r="A47" s="9"/>
      <c r="B47" s="10" t="s">
        <v>138</v>
      </c>
      <c r="C47" s="11" t="s">
        <v>131</v>
      </c>
      <c r="D47" s="11" t="s">
        <v>15</v>
      </c>
      <c r="E47" s="12" t="e">
        <f ca="1">_xludf.IFS(COUNTIF(보류목록!$B$3:$B$1000, B47)&gt;0, "-",COUNTIF(독서목록!$C$2:$C$1091, B47)=0, , COUNTIF(독서목록!$C$2:$C$1091, B47)&gt;0, COUNTIF(독서목록!$C$2:$C$1091, B47))</f>
        <v>#NAME?</v>
      </c>
      <c r="F47" s="12" t="e">
        <f ca="1">_xludf.IFS(COUNTIF(보류목록!$C$3:$C$1000, B47)&gt;0, "-",COUNTIF(독서목록!$D$2:$D$1091, B47)=0, , COUNTIF(독서목록!$D$2:$D$1091, B47)&gt;0, COUNTIF(독서목록!$D$2:$D$1091, B47))</f>
        <v>#NAME?</v>
      </c>
      <c r="G47" s="17" t="s">
        <v>137</v>
      </c>
      <c r="H47" s="14"/>
      <c r="I47" s="14"/>
    </row>
    <row r="48" spans="1:9" ht="16.5" customHeight="1">
      <c r="A48" s="9"/>
      <c r="B48" s="10" t="s">
        <v>139</v>
      </c>
      <c r="C48" s="11" t="s">
        <v>131</v>
      </c>
      <c r="D48" s="11" t="s">
        <v>49</v>
      </c>
      <c r="E48" s="12" t="e">
        <f ca="1">_xludf.IFS(COUNTIF(보류목록!$B$3:$B$1000, B48)&gt;0, "-",COUNTIF(독서목록!$C$2:$C$1091, B48)=0, , COUNTIF(독서목록!$C$2:$C$1091, B48)&gt;0, COUNTIF(독서목록!$C$2:$C$1091, B48))</f>
        <v>#NAME?</v>
      </c>
      <c r="F48" s="12" t="e">
        <f ca="1">_xludf.IFS(COUNTIF(보류목록!$C$3:$C$1000, B48)&gt;0, "-",COUNTIF(독서목록!$D$2:$D$1091, B48)=0, , COUNTIF(독서목록!$D$2:$D$1091, B48)&gt;0, COUNTIF(독서목록!$D$2:$D$1091, B48))</f>
        <v>#NAME?</v>
      </c>
      <c r="G48" s="17" t="s">
        <v>137</v>
      </c>
      <c r="H48" s="14"/>
      <c r="I48" s="14"/>
    </row>
    <row r="49" spans="1:9" ht="16.5" customHeight="1">
      <c r="A49" s="9"/>
      <c r="B49" s="10" t="s">
        <v>140</v>
      </c>
      <c r="C49" s="11" t="s">
        <v>131</v>
      </c>
      <c r="D49" s="11" t="s">
        <v>15</v>
      </c>
      <c r="E49" s="12" t="e">
        <f ca="1">_xludf.IFS(COUNTIF(보류목록!$B$3:$B$1000, B49)&gt;0, "-",COUNTIF(독서목록!$C$2:$C$1091, B49)=0, , COUNTIF(독서목록!$C$2:$C$1091, B49)&gt;0, COUNTIF(독서목록!$C$2:$C$1091, B49))</f>
        <v>#NAME?</v>
      </c>
      <c r="F49" s="12" t="e">
        <f ca="1">_xludf.IFS(COUNTIF(보류목록!$C$3:$C$1000, B49)&gt;0, "-",COUNTIF(독서목록!$D$2:$D$1091, B49)=0, , COUNTIF(독서목록!$D$2:$D$1091, B49)&gt;0, COUNTIF(독서목록!$D$2:$D$1091, B49))</f>
        <v>#NAME?</v>
      </c>
      <c r="G49" s="17" t="s">
        <v>137</v>
      </c>
      <c r="H49" s="14"/>
      <c r="I49" s="14"/>
    </row>
    <row r="50" spans="1:9" ht="16.5" customHeight="1">
      <c r="A50" s="9"/>
      <c r="B50" s="10" t="s">
        <v>141</v>
      </c>
      <c r="C50" s="11" t="s">
        <v>142</v>
      </c>
      <c r="D50" s="11" t="s">
        <v>7</v>
      </c>
      <c r="E50" s="12" t="e">
        <f ca="1">_xludf.IFS(COUNTIF(보류목록!$B$3:$B$1000, B50)&gt;0, "-",COUNTIF(독서목록!$C$2:$C$1091, B50)=0, , COUNTIF(독서목록!$C$2:$C$1091, B50)&gt;0, COUNTIF(독서목록!$C$2:$C$1091, B50))</f>
        <v>#NAME?</v>
      </c>
      <c r="F50" s="12" t="e">
        <f ca="1">_xludf.IFS(COUNTIF(보류목록!$C$3:$C$1000, B50)&gt;0, "-",COUNTIF(독서목록!$D$2:$D$1091, B50)=0, , COUNTIF(독서목록!$D$2:$D$1091, B50)&gt;0, COUNTIF(독서목록!$D$2:$D$1091, B50))</f>
        <v>#NAME?</v>
      </c>
      <c r="G50" s="13" t="s">
        <v>143</v>
      </c>
      <c r="H50" s="14"/>
      <c r="I50" s="14"/>
    </row>
    <row r="51" spans="1:9" ht="16.5" customHeight="1">
      <c r="A51" s="9"/>
      <c r="B51" s="10" t="s">
        <v>144</v>
      </c>
      <c r="C51" s="11" t="s">
        <v>145</v>
      </c>
      <c r="D51" s="11" t="s">
        <v>146</v>
      </c>
      <c r="E51" s="12" t="e">
        <f ca="1">_xludf.IFS(COUNTIF(보류목록!$B$3:$B$1000, B51)&gt;0, "-",COUNTIF(독서목록!$C$2:$C$1091, B51)=0, , COUNTIF(독서목록!$C$2:$C$1091, B51)&gt;0, COUNTIF(독서목록!$C$2:$C$1091, B51))</f>
        <v>#NAME?</v>
      </c>
      <c r="F51" s="12" t="e">
        <f ca="1">_xludf.IFS(COUNTIF(보류목록!$C$3:$C$1000, B51)&gt;0, "-",COUNTIF(독서목록!$D$2:$D$1091, B51)=0, , COUNTIF(독서목록!$D$2:$D$1091, B51)&gt;0, COUNTIF(독서목록!$D$2:$D$1091, B51))</f>
        <v>#NAME?</v>
      </c>
      <c r="G51" s="13" t="s">
        <v>147</v>
      </c>
      <c r="H51" s="14" t="s">
        <v>75</v>
      </c>
      <c r="I51" s="14">
        <v>25.12</v>
      </c>
    </row>
    <row r="52" spans="1:9" ht="16.5" customHeight="1">
      <c r="A52" s="9"/>
      <c r="B52" s="10" t="s">
        <v>148</v>
      </c>
      <c r="C52" s="11" t="s">
        <v>149</v>
      </c>
      <c r="D52" s="11" t="s">
        <v>150</v>
      </c>
      <c r="E52" s="12" t="e">
        <f ca="1">_xludf.IFS(COUNTIF(보류목록!$B$3:$B$1000, B52)&gt;0, "-",COUNTIF(독서목록!$C$2:$C$1091, B52)=0, , COUNTIF(독서목록!$C$2:$C$1091, B52)&gt;0, COUNTIF(독서목록!$C$2:$C$1091, B52))</f>
        <v>#NAME?</v>
      </c>
      <c r="F52" s="12" t="e">
        <f ca="1">_xludf.IFS(COUNTIF(보류목록!$C$3:$C$1000, B52)&gt;0, "-",COUNTIF(독서목록!$D$2:$D$1091, B52)=0, , COUNTIF(독서목록!$D$2:$D$1091, B52)&gt;0, COUNTIF(독서목록!$D$2:$D$1091, B52))</f>
        <v>#NAME?</v>
      </c>
      <c r="G52" s="13" t="s">
        <v>147</v>
      </c>
      <c r="H52" s="14" t="s">
        <v>75</v>
      </c>
      <c r="I52" s="14">
        <v>25.12</v>
      </c>
    </row>
    <row r="53" spans="1:9" ht="16.5" customHeight="1">
      <c r="A53" s="9"/>
      <c r="B53" s="10" t="s">
        <v>151</v>
      </c>
      <c r="C53" s="11" t="s">
        <v>152</v>
      </c>
      <c r="D53" s="11" t="s">
        <v>55</v>
      </c>
      <c r="E53" s="12" t="e">
        <f ca="1">_xludf.IFS(COUNTIF(보류목록!$B$3:$B$1000, B53)&gt;0, "-",COUNTIF(독서목록!$C$2:$C$1091, B53)=0, , COUNTIF(독서목록!$C$2:$C$1091, B53)&gt;0, COUNTIF(독서목록!$C$2:$C$1091, B53))</f>
        <v>#NAME?</v>
      </c>
      <c r="F53" s="12" t="e">
        <f ca="1">_xludf.IFS(COUNTIF(보류목록!$C$3:$C$1000, B53)&gt;0, "-",COUNTIF(독서목록!$D$2:$D$1091, B53)=0, , COUNTIF(독서목록!$D$2:$D$1091, B53)&gt;0, COUNTIF(독서목록!$D$2:$D$1091, B53))</f>
        <v>#NAME?</v>
      </c>
      <c r="G53" s="13" t="s">
        <v>153</v>
      </c>
      <c r="H53" s="14"/>
      <c r="I53" s="14"/>
    </row>
    <row r="54" spans="1:9" ht="16.5" customHeight="1">
      <c r="A54" s="9"/>
      <c r="B54" s="10" t="s">
        <v>154</v>
      </c>
      <c r="C54" s="11" t="s">
        <v>155</v>
      </c>
      <c r="D54" s="11" t="s">
        <v>156</v>
      </c>
      <c r="E54" s="12" t="e">
        <f ca="1">_xludf.IFS(COUNTIF(보류목록!$B$3:$B$1000, B54)&gt;0, "-",COUNTIF(독서목록!$C$2:$C$1091, B54)=0, , COUNTIF(독서목록!$C$2:$C$1091, B54)&gt;0, COUNTIF(독서목록!$C$2:$C$1091, B54))</f>
        <v>#NAME?</v>
      </c>
      <c r="F54" s="12" t="e">
        <f ca="1">_xludf.IFS(COUNTIF(보류목록!$C$3:$C$1000, B54)&gt;0, "-",COUNTIF(독서목록!$D$2:$D$1091, B54)=0, , COUNTIF(독서목록!$D$2:$D$1091, B54)&gt;0, COUNTIF(독서목록!$D$2:$D$1091, B54))</f>
        <v>#NAME?</v>
      </c>
      <c r="G54" s="13" t="s">
        <v>153</v>
      </c>
      <c r="H54" s="14"/>
      <c r="I54" s="14"/>
    </row>
    <row r="55" spans="1:9" ht="16.5" customHeight="1">
      <c r="A55" s="9"/>
      <c r="B55" s="10" t="s">
        <v>157</v>
      </c>
      <c r="C55" s="11" t="s">
        <v>158</v>
      </c>
      <c r="D55" s="11" t="s">
        <v>159</v>
      </c>
      <c r="E55" s="12" t="e">
        <f ca="1">_xludf.IFS(COUNTIF(보류목록!$B$3:$B$1000, B55)&gt;0, "-",COUNTIF(독서목록!$C$2:$C$1091, B55)=0, , COUNTIF(독서목록!$C$2:$C$1091, B55)&gt;0, COUNTIF(독서목록!$C$2:$C$1091, B55))</f>
        <v>#NAME?</v>
      </c>
      <c r="F55" s="12" t="e">
        <f ca="1">_xludf.IFS(COUNTIF(보류목록!$C$3:$C$1000, B55)&gt;0, "-",COUNTIF(독서목록!$D$2:$D$1091, B55)=0, , COUNTIF(독서목록!$D$2:$D$1091, B55)&gt;0, COUNTIF(독서목록!$D$2:$D$1091, B55))</f>
        <v>#NAME?</v>
      </c>
      <c r="G55" s="13" t="s">
        <v>153</v>
      </c>
      <c r="H55" s="14"/>
      <c r="I55" s="14"/>
    </row>
    <row r="56" spans="1:9" ht="16.5" customHeight="1">
      <c r="A56" s="9"/>
      <c r="B56" s="10" t="s">
        <v>160</v>
      </c>
      <c r="C56" s="11" t="s">
        <v>161</v>
      </c>
      <c r="D56" s="11" t="s">
        <v>121</v>
      </c>
      <c r="E56" s="12" t="e">
        <f ca="1">_xludf.IFS(COUNTIF(보류목록!$B$3:$B$1000, B56)&gt;0, "-",COUNTIF(독서목록!$C$2:$C$1091, B56)=0, , COUNTIF(독서목록!$C$2:$C$1091, B56)&gt;0, COUNTIF(독서목록!$C$2:$C$1091, B56))</f>
        <v>#NAME?</v>
      </c>
      <c r="F56" s="12" t="e">
        <f ca="1">_xludf.IFS(COUNTIF(보류목록!$C$3:$C$1000, B56)&gt;0, "-",COUNTIF(독서목록!$D$2:$D$1091, B56)=0, , COUNTIF(독서목록!$D$2:$D$1091, B56)&gt;0, COUNTIF(독서목록!$D$2:$D$1091, B56))</f>
        <v>#NAME?</v>
      </c>
      <c r="G56" s="13" t="s">
        <v>162</v>
      </c>
      <c r="H56" s="14"/>
      <c r="I56" s="14"/>
    </row>
    <row r="57" spans="1:9" ht="16.5" customHeight="1">
      <c r="A57" s="9"/>
      <c r="B57" s="10" t="s">
        <v>163</v>
      </c>
      <c r="C57" s="11" t="s">
        <v>164</v>
      </c>
      <c r="D57" s="11" t="s">
        <v>55</v>
      </c>
      <c r="E57" s="12" t="e">
        <f ca="1">_xludf.IFS(COUNTIF(보류목록!$B$3:$B$1000, B57)&gt;0, "-",COUNTIF(독서목록!$C$2:$C$1091, B57)=0, , COUNTIF(독서목록!$C$2:$C$1091, B57)&gt;0, COUNTIF(독서목록!$C$2:$C$1091, B57))</f>
        <v>#NAME?</v>
      </c>
      <c r="F57" s="12" t="e">
        <f ca="1">_xludf.IFS(COUNTIF(보류목록!$C$3:$C$1000, B57)&gt;0, "-",COUNTIF(독서목록!$D$2:$D$1091, B57)=0, , COUNTIF(독서목록!$D$2:$D$1091, B57)&gt;0, COUNTIF(독서목록!$D$2:$D$1091, B57))</f>
        <v>#NAME?</v>
      </c>
      <c r="G57" s="13" t="s">
        <v>162</v>
      </c>
      <c r="H57" s="14" t="s">
        <v>75</v>
      </c>
      <c r="I57" s="14">
        <v>25.12</v>
      </c>
    </row>
    <row r="58" spans="1:9" ht="16.5" customHeight="1">
      <c r="A58" s="9"/>
      <c r="B58" s="10" t="s">
        <v>165</v>
      </c>
      <c r="C58" s="11" t="s">
        <v>166</v>
      </c>
      <c r="D58" s="11" t="s">
        <v>167</v>
      </c>
      <c r="E58" s="12" t="e">
        <f ca="1">_xludf.IFS(COUNTIF(보류목록!$B$3:$B$1000, B58)&gt;0, "-",COUNTIF(독서목록!$C$2:$C$1091, B58)=0, , COUNTIF(독서목록!$C$2:$C$1091, B58)&gt;0, COUNTIF(독서목록!$C$2:$C$1091, B58))</f>
        <v>#NAME?</v>
      </c>
      <c r="F58" s="12" t="e">
        <f ca="1">_xludf.IFS(COUNTIF(보류목록!$C$3:$C$1000, B58)&gt;0, "-",COUNTIF(독서목록!$D$2:$D$1091, B58)=0, , COUNTIF(독서목록!$D$2:$D$1091, B58)&gt;0, COUNTIF(독서목록!$D$2:$D$1091, B58))</f>
        <v>#NAME?</v>
      </c>
      <c r="G58" s="13" t="s">
        <v>162</v>
      </c>
      <c r="H58" s="14"/>
      <c r="I58" s="14"/>
    </row>
    <row r="59" spans="1:9" ht="16.5" customHeight="1">
      <c r="A59" s="9"/>
      <c r="B59" s="10" t="s">
        <v>168</v>
      </c>
      <c r="C59" s="11" t="s">
        <v>169</v>
      </c>
      <c r="D59" s="11" t="s">
        <v>170</v>
      </c>
      <c r="E59" s="12" t="e">
        <f ca="1">_xludf.IFS(COUNTIF(보류목록!$B$3:$B$1000, B59)&gt;0, "-",COUNTIF(독서목록!$C$2:$C$1091, B59)=0, , COUNTIF(독서목록!$C$2:$C$1091, B59)&gt;0, COUNTIF(독서목록!$C$2:$C$1091, B59))</f>
        <v>#NAME?</v>
      </c>
      <c r="F59" s="12" t="e">
        <f ca="1">_xludf.IFS(COUNTIF(보류목록!$C$3:$C$1000, B59)&gt;0, "-",COUNTIF(독서목록!$D$2:$D$1091, B59)=0, , COUNTIF(독서목록!$D$2:$D$1091, B59)&gt;0, COUNTIF(독서목록!$D$2:$D$1091, B59))</f>
        <v>#NAME?</v>
      </c>
      <c r="G59" s="13" t="s">
        <v>162</v>
      </c>
      <c r="H59" s="14" t="s">
        <v>75</v>
      </c>
      <c r="I59" s="14">
        <v>25.12</v>
      </c>
    </row>
    <row r="60" spans="1:9" ht="16.5" customHeight="1">
      <c r="A60" s="9"/>
      <c r="B60" s="10" t="s">
        <v>171</v>
      </c>
      <c r="C60" s="11" t="s">
        <v>172</v>
      </c>
      <c r="D60" s="11" t="s">
        <v>173</v>
      </c>
      <c r="E60" s="12" t="e">
        <f ca="1">_xludf.IFS(COUNTIF(보류목록!$B$3:$B$1000, B60)&gt;0, "-",COUNTIF(독서목록!$C$2:$C$1091, B60)=0, , COUNTIF(독서목록!$C$2:$C$1091, B60)&gt;0, COUNTIF(독서목록!$C$2:$C$1091, B60))</f>
        <v>#NAME?</v>
      </c>
      <c r="F60" s="12" t="e">
        <f ca="1">_xludf.IFS(COUNTIF(보류목록!$C$3:$C$1000, B60)&gt;0, "-",COUNTIF(독서목록!$D$2:$D$1091, B60)=0, , COUNTIF(독서목록!$D$2:$D$1091, B60)&gt;0, COUNTIF(독서목록!$D$2:$D$1091, B60))</f>
        <v>#NAME?</v>
      </c>
      <c r="G60" s="13" t="s">
        <v>174</v>
      </c>
      <c r="H60" s="14"/>
      <c r="I60" s="14"/>
    </row>
    <row r="61" spans="1:9" ht="16.5" customHeight="1">
      <c r="A61" s="9"/>
      <c r="B61" s="10" t="s">
        <v>175</v>
      </c>
      <c r="C61" s="11" t="s">
        <v>176</v>
      </c>
      <c r="D61" s="11" t="s">
        <v>177</v>
      </c>
      <c r="E61" s="12" t="e">
        <f ca="1">_xludf.IFS(COUNTIF(보류목록!$B$3:$B$1000, B61)&gt;0, "-",COUNTIF(독서목록!$C$2:$C$1091, B61)=0, , COUNTIF(독서목록!$C$2:$C$1091, B61)&gt;0, COUNTIF(독서목록!$C$2:$C$1091, B61))</f>
        <v>#NAME?</v>
      </c>
      <c r="F61" s="12" t="e">
        <f ca="1">_xludf.IFS(COUNTIF(보류목록!$C$3:$C$1000, B61)&gt;0, "-",COUNTIF(독서목록!$D$2:$D$1091, B61)=0, , COUNTIF(독서목록!$D$2:$D$1091, B61)&gt;0, COUNTIF(독서목록!$D$2:$D$1091, B61))</f>
        <v>#NAME?</v>
      </c>
      <c r="G61" s="13" t="s">
        <v>174</v>
      </c>
      <c r="H61" s="14" t="s">
        <v>75</v>
      </c>
      <c r="I61" s="14">
        <v>25.12</v>
      </c>
    </row>
    <row r="62" spans="1:9" ht="16.5" customHeight="1">
      <c r="A62" s="9"/>
      <c r="B62" s="10" t="s">
        <v>178</v>
      </c>
      <c r="C62" s="11" t="s">
        <v>179</v>
      </c>
      <c r="D62" s="11" t="s">
        <v>180</v>
      </c>
      <c r="E62" s="12" t="e">
        <f ca="1">_xludf.IFS(COUNTIF(보류목록!$B$3:$B$1000, B62)&gt;0, "-",COUNTIF(독서목록!$C$2:$C$1091, B62)=0, , COUNTIF(독서목록!$C$2:$C$1091, B62)&gt;0, COUNTIF(독서목록!$C$2:$C$1091, B62))</f>
        <v>#NAME?</v>
      </c>
      <c r="F62" s="12" t="e">
        <f ca="1">_xludf.IFS(COUNTIF(보류목록!$C$3:$C$1000, B62)&gt;0, "-",COUNTIF(독서목록!$D$2:$D$1091, B62)=0, , COUNTIF(독서목록!$D$2:$D$1091, B62)&gt;0, COUNTIF(독서목록!$D$2:$D$1091, B62))</f>
        <v>#NAME?</v>
      </c>
      <c r="G62" s="13" t="s">
        <v>181</v>
      </c>
      <c r="H62" s="14"/>
      <c r="I62" s="14"/>
    </row>
    <row r="63" spans="1:9" ht="16.5" customHeight="1">
      <c r="A63" s="9"/>
      <c r="B63" s="10" t="s">
        <v>182</v>
      </c>
      <c r="C63" s="11" t="s">
        <v>183</v>
      </c>
      <c r="D63" s="11" t="s">
        <v>184</v>
      </c>
      <c r="E63" s="12" t="e">
        <f ca="1">_xludf.IFS(COUNTIF(보류목록!$B$3:$B$1000, B63)&gt;0, "-",COUNTIF(독서목록!$C$2:$C$1091, B63)=0, , COUNTIF(독서목록!$C$2:$C$1091, B63)&gt;0, COUNTIF(독서목록!$C$2:$C$1091, B63))</f>
        <v>#NAME?</v>
      </c>
      <c r="F63" s="12" t="e">
        <f ca="1">_xludf.IFS(COUNTIF(보류목록!$C$3:$C$1000, B63)&gt;0, "-",COUNTIF(독서목록!$D$2:$D$1091, B63)=0, , COUNTIF(독서목록!$D$2:$D$1091, B63)&gt;0, COUNTIF(독서목록!$D$2:$D$1091, B63))</f>
        <v>#NAME?</v>
      </c>
      <c r="G63" s="13" t="s">
        <v>181</v>
      </c>
      <c r="H63" s="14"/>
      <c r="I63" s="14"/>
    </row>
    <row r="64" spans="1:9" ht="16.5" customHeight="1">
      <c r="A64" s="9"/>
      <c r="B64" s="10" t="s">
        <v>185</v>
      </c>
      <c r="C64" s="11" t="s">
        <v>186</v>
      </c>
      <c r="D64" s="11" t="s">
        <v>187</v>
      </c>
      <c r="E64" s="12" t="e">
        <f ca="1">_xludf.IFS(COUNTIF(보류목록!$B$3:$B$1000, B64)&gt;0, "-",COUNTIF(독서목록!$C$2:$C$1091, B64)=0, , COUNTIF(독서목록!$C$2:$C$1091, B64)&gt;0, COUNTIF(독서목록!$C$2:$C$1091, B64))</f>
        <v>#NAME?</v>
      </c>
      <c r="F64" s="12" t="e">
        <f ca="1">_xludf.IFS(COUNTIF(보류목록!$C$3:$C$1000, B64)&gt;0, "-",COUNTIF(독서목록!$D$2:$D$1091, B64)=0, , COUNTIF(독서목록!$D$2:$D$1091, B64)&gt;0, COUNTIF(독서목록!$D$2:$D$1091, B64))</f>
        <v>#NAME?</v>
      </c>
      <c r="G64" s="13" t="s">
        <v>181</v>
      </c>
      <c r="H64" s="14"/>
      <c r="I64" s="14"/>
    </row>
    <row r="65" spans="1:9" ht="16.5" customHeight="1">
      <c r="A65" s="9"/>
      <c r="B65" s="10" t="s">
        <v>188</v>
      </c>
      <c r="C65" s="11" t="s">
        <v>189</v>
      </c>
      <c r="D65" s="11" t="s">
        <v>190</v>
      </c>
      <c r="E65" s="12" t="e">
        <f ca="1">_xludf.IFS(COUNTIF(보류목록!$B$3:$B$1000, B65)&gt;0, "-",COUNTIF(독서목록!$C$2:$C$1091, B65)=0, , COUNTIF(독서목록!$C$2:$C$1091, B65)&gt;0, COUNTIF(독서목록!$C$2:$C$1091, B65))</f>
        <v>#NAME?</v>
      </c>
      <c r="F65" s="12" t="e">
        <f ca="1">_xludf.IFS(COUNTIF(보류목록!$C$3:$C$1000, B65)&gt;0, "-",COUNTIF(독서목록!$D$2:$D$1091, B65)=0, , COUNTIF(독서목록!$D$2:$D$1091, B65)&gt;0, COUNTIF(독서목록!$D$2:$D$1091, B65))</f>
        <v>#NAME?</v>
      </c>
      <c r="G65" s="13" t="s">
        <v>191</v>
      </c>
      <c r="H65" s="14"/>
      <c r="I65" s="14"/>
    </row>
    <row r="66" spans="1:9" ht="16.5" customHeight="1">
      <c r="A66" s="9"/>
      <c r="B66" s="10" t="s">
        <v>192</v>
      </c>
      <c r="C66" s="11" t="s">
        <v>193</v>
      </c>
      <c r="D66" s="11" t="s">
        <v>39</v>
      </c>
      <c r="E66" s="12" t="e">
        <f ca="1">_xludf.IFS(COUNTIF(보류목록!$B$3:$B$1000, B66)&gt;0, "-",COUNTIF(독서목록!$C$2:$C$1091, B66)=0, , COUNTIF(독서목록!$C$2:$C$1091, B66)&gt;0, COUNTIF(독서목록!$C$2:$C$1091, B66))</f>
        <v>#NAME?</v>
      </c>
      <c r="F66" s="12" t="e">
        <f ca="1">_xludf.IFS(COUNTIF(보류목록!$C$3:$C$1000, B66)&gt;0, "-",COUNTIF(독서목록!$D$2:$D$1091, B66)=0, , COUNTIF(독서목록!$D$2:$D$1091, B66)&gt;0, COUNTIF(독서목록!$D$2:$D$1091, B66))</f>
        <v>#NAME?</v>
      </c>
      <c r="G66" s="13" t="s">
        <v>191</v>
      </c>
      <c r="H66" s="14"/>
      <c r="I66" s="14"/>
    </row>
    <row r="67" spans="1:9" ht="16.5" customHeight="1">
      <c r="A67" s="9"/>
      <c r="B67" s="10" t="s">
        <v>194</v>
      </c>
      <c r="C67" s="11" t="s">
        <v>195</v>
      </c>
      <c r="D67" s="11" t="s">
        <v>196</v>
      </c>
      <c r="E67" s="12" t="e">
        <f ca="1">_xludf.IFS(COUNTIF(보류목록!$B$3:$B$1000, B67)&gt;0, "-",COUNTIF(독서목록!$C$2:$C$1091, B67)=0, , COUNTIF(독서목록!$C$2:$C$1091, B67)&gt;0, COUNTIF(독서목록!$C$2:$C$1091, B67))</f>
        <v>#NAME?</v>
      </c>
      <c r="F67" s="12" t="e">
        <f ca="1">_xludf.IFS(COUNTIF(보류목록!$C$3:$C$1000, B67)&gt;0, "-",COUNTIF(독서목록!$D$2:$D$1091, B67)=0, , COUNTIF(독서목록!$D$2:$D$1091, B67)&gt;0, COUNTIF(독서목록!$D$2:$D$1091, B67))</f>
        <v>#NAME?</v>
      </c>
      <c r="G67" s="13" t="s">
        <v>197</v>
      </c>
      <c r="H67" s="14" t="s">
        <v>75</v>
      </c>
      <c r="I67" s="14">
        <v>25.12</v>
      </c>
    </row>
    <row r="68" spans="1:9" ht="16.5" customHeight="1">
      <c r="A68" s="9"/>
      <c r="B68" s="10" t="s">
        <v>198</v>
      </c>
      <c r="C68" s="11" t="s">
        <v>199</v>
      </c>
      <c r="D68" s="11" t="s">
        <v>200</v>
      </c>
      <c r="E68" s="12" t="e">
        <f ca="1">_xludf.IFS(COUNTIF(보류목록!$B$3:$B$1000, B68)&gt;0, "-",COUNTIF(독서목록!$C$2:$C$1091, B68)=0, , COUNTIF(독서목록!$C$2:$C$1091, B68)&gt;0, COUNTIF(독서목록!$C$2:$C$1091, B68))</f>
        <v>#NAME?</v>
      </c>
      <c r="F68" s="12" t="e">
        <f ca="1">_xludf.IFS(COUNTIF(보류목록!$C$3:$C$1000, B68)&gt;0, "-",COUNTIF(독서목록!$D$2:$D$1091, B68)=0, , COUNTIF(독서목록!$D$2:$D$1091, B68)&gt;0, COUNTIF(독서목록!$D$2:$D$1091, B68))</f>
        <v>#NAME?</v>
      </c>
      <c r="G68" s="13" t="s">
        <v>197</v>
      </c>
      <c r="H68" s="14" t="s">
        <v>75</v>
      </c>
      <c r="I68" s="14">
        <v>25.12</v>
      </c>
    </row>
    <row r="69" spans="1:9" ht="16.5" customHeight="1">
      <c r="A69" s="9"/>
      <c r="B69" s="10" t="s">
        <v>201</v>
      </c>
      <c r="C69" s="11" t="s">
        <v>202</v>
      </c>
      <c r="D69" s="11" t="s">
        <v>203</v>
      </c>
      <c r="E69" s="12" t="e">
        <f ca="1">_xludf.IFS(COUNTIF(보류목록!$B$3:$B$1000, B69)&gt;0, "-",COUNTIF(독서목록!$C$2:$C$1091, B69)=0, , COUNTIF(독서목록!$C$2:$C$1091, B69)&gt;0, COUNTIF(독서목록!$C$2:$C$1091, B69))</f>
        <v>#NAME?</v>
      </c>
      <c r="F69" s="12" t="e">
        <f ca="1">_xludf.IFS(COUNTIF(보류목록!$C$3:$C$1000, B69)&gt;0, "-",COUNTIF(독서목록!$D$2:$D$1091, B69)=0, , COUNTIF(독서목록!$D$2:$D$1091, B69)&gt;0, COUNTIF(독서목록!$D$2:$D$1091, B69))</f>
        <v>#NAME?</v>
      </c>
      <c r="G69" s="13" t="s">
        <v>197</v>
      </c>
      <c r="H69" s="14"/>
      <c r="I69" s="14"/>
    </row>
    <row r="70" spans="1:9" ht="16.5" customHeight="1">
      <c r="A70" s="9"/>
      <c r="B70" s="10" t="s">
        <v>204</v>
      </c>
      <c r="C70" s="11" t="s">
        <v>205</v>
      </c>
      <c r="D70" s="11" t="s">
        <v>39</v>
      </c>
      <c r="E70" s="12" t="e">
        <f ca="1">_xludf.IFS(COUNTIF(보류목록!$B$3:$B$1000, B70)&gt;0, "-",COUNTIF(독서목록!$C$2:$C$1091, B70)=0, , COUNTIF(독서목록!$C$2:$C$1091, B70)&gt;0, COUNTIF(독서목록!$C$2:$C$1091, B70))</f>
        <v>#NAME?</v>
      </c>
      <c r="F70" s="12" t="e">
        <f ca="1">_xludf.IFS(COUNTIF(보류목록!$C$3:$C$1000, B70)&gt;0, "-",COUNTIF(독서목록!$D$2:$D$1091, B70)=0, , COUNTIF(독서목록!$D$2:$D$1091, B70)&gt;0, COUNTIF(독서목록!$D$2:$D$1091, B70))</f>
        <v>#NAME?</v>
      </c>
      <c r="G70" s="13" t="s">
        <v>197</v>
      </c>
      <c r="H70" s="14"/>
      <c r="I70" s="14"/>
    </row>
    <row r="71" spans="1:9" ht="16.5" customHeight="1">
      <c r="A71" s="9"/>
      <c r="B71" s="10" t="s">
        <v>206</v>
      </c>
      <c r="C71" s="11" t="s">
        <v>207</v>
      </c>
      <c r="D71" s="11" t="s">
        <v>7</v>
      </c>
      <c r="E71" s="12" t="e">
        <f ca="1">_xludf.IFS(COUNTIF(보류목록!$B$3:$B$1000, B71)&gt;0, "-",COUNTIF(독서목록!$C$2:$C$1091, B71)=0, , COUNTIF(독서목록!$C$2:$C$1091, B71)&gt;0, COUNTIF(독서목록!$C$2:$C$1091, B71))</f>
        <v>#NAME?</v>
      </c>
      <c r="F71" s="12" t="e">
        <f ca="1">_xludf.IFS(COUNTIF(보류목록!$C$3:$C$1000, B71)&gt;0, "-",COUNTIF(독서목록!$D$2:$D$1091, B71)=0, , COUNTIF(독서목록!$D$2:$D$1091, B71)&gt;0, COUNTIF(독서목록!$D$2:$D$1091, B71))</f>
        <v>#NAME?</v>
      </c>
      <c r="G71" s="13" t="s">
        <v>208</v>
      </c>
      <c r="H71" s="14"/>
      <c r="I71" s="14"/>
    </row>
    <row r="72" spans="1:9" ht="16.5" customHeight="1">
      <c r="A72" s="9"/>
      <c r="B72" s="10" t="s">
        <v>209</v>
      </c>
      <c r="C72" s="11" t="s">
        <v>210</v>
      </c>
      <c r="D72" s="11" t="s">
        <v>211</v>
      </c>
      <c r="E72" s="12" t="e">
        <f ca="1">_xludf.IFS(COUNTIF(보류목록!$B$3:$B$1000, B72)&gt;0, "-",COUNTIF(독서목록!$C$2:$C$1091, B72)=0, , COUNTIF(독서목록!$C$2:$C$1091, B72)&gt;0, COUNTIF(독서목록!$C$2:$C$1091, B72))</f>
        <v>#NAME?</v>
      </c>
      <c r="F72" s="12" t="e">
        <f ca="1">_xludf.IFS(COUNTIF(보류목록!$C$3:$C$1000, B72)&gt;0, "-",COUNTIF(독서목록!$D$2:$D$1091, B72)=0, , COUNTIF(독서목록!$D$2:$D$1091, B72)&gt;0, COUNTIF(독서목록!$D$2:$D$1091, B72))</f>
        <v>#NAME?</v>
      </c>
      <c r="G72" s="13" t="s">
        <v>208</v>
      </c>
      <c r="H72" s="14" t="s">
        <v>75</v>
      </c>
      <c r="I72" s="14">
        <v>25.12</v>
      </c>
    </row>
    <row r="73" spans="1:9" ht="16.5" customHeight="1">
      <c r="A73" s="9"/>
      <c r="B73" s="10" t="s">
        <v>212</v>
      </c>
      <c r="C73" s="11" t="s">
        <v>213</v>
      </c>
      <c r="D73" s="11" t="s">
        <v>214</v>
      </c>
      <c r="E73" s="12" t="e">
        <f ca="1">_xludf.IFS(COUNTIF(보류목록!$B$3:$B$1000, B73)&gt;0, "-",COUNTIF(독서목록!$C$2:$C$1091, B73)=0, , COUNTIF(독서목록!$C$2:$C$1091, B73)&gt;0, COUNTIF(독서목록!$C$2:$C$1091, B73))</f>
        <v>#NAME?</v>
      </c>
      <c r="F73" s="12" t="e">
        <f ca="1">_xludf.IFS(COUNTIF(보류목록!$C$3:$C$1000, B73)&gt;0, "-",COUNTIF(독서목록!$D$2:$D$1091, B73)=0, , COUNTIF(독서목록!$D$2:$D$1091, B73)&gt;0, COUNTIF(독서목록!$D$2:$D$1091, B73))</f>
        <v>#NAME?</v>
      </c>
      <c r="G73" s="13" t="s">
        <v>208</v>
      </c>
      <c r="H73" s="14"/>
      <c r="I73" s="14"/>
    </row>
    <row r="74" spans="1:9" ht="16.5" customHeight="1">
      <c r="A74" s="9"/>
      <c r="B74" s="10" t="s">
        <v>215</v>
      </c>
      <c r="C74" s="11" t="s">
        <v>98</v>
      </c>
      <c r="D74" s="11" t="s">
        <v>216</v>
      </c>
      <c r="E74" s="12" t="e">
        <f ca="1">_xludf.IFS(COUNTIF(보류목록!$B$3:$B$1000, B74)&gt;0, "-",COUNTIF(독서목록!$C$2:$C$1091, B74)=0, , COUNTIF(독서목록!$C$2:$C$1091, B74)&gt;0, COUNTIF(독서목록!$C$2:$C$1091, B74))</f>
        <v>#NAME?</v>
      </c>
      <c r="F74" s="12" t="e">
        <f ca="1">_xludf.IFS(COUNTIF(보류목록!$C$3:$C$1000, B74)&gt;0, "-",COUNTIF(독서목록!$D$2:$D$1091, B74)=0, , COUNTIF(독서목록!$D$2:$D$1091, B74)&gt;0, COUNTIF(독서목록!$D$2:$D$1091, B74))</f>
        <v>#NAME?</v>
      </c>
      <c r="G74" s="13" t="s">
        <v>208</v>
      </c>
      <c r="H74" s="14"/>
      <c r="I74" s="14"/>
    </row>
    <row r="75" spans="1:9" ht="16.5" customHeight="1">
      <c r="A75" s="9"/>
      <c r="B75" s="10" t="s">
        <v>217</v>
      </c>
      <c r="C75" s="11" t="s">
        <v>218</v>
      </c>
      <c r="D75" s="11" t="s">
        <v>219</v>
      </c>
      <c r="E75" s="12" t="e">
        <f ca="1">_xludf.IFS(COUNTIF(보류목록!$B$3:$B$1000, B75)&gt;0, "-",COUNTIF(독서목록!$C$2:$C$1091, B75)=0, , COUNTIF(독서목록!$C$2:$C$1091, B75)&gt;0, COUNTIF(독서목록!$C$2:$C$1091, B75))</f>
        <v>#NAME?</v>
      </c>
      <c r="F75" s="12" t="e">
        <f ca="1">_xludf.IFS(COUNTIF(보류목록!$C$3:$C$1000, B75)&gt;0, "-",COUNTIF(독서목록!$D$2:$D$1091, B75)=0, , COUNTIF(독서목록!$D$2:$D$1091, B75)&gt;0, COUNTIF(독서목록!$D$2:$D$1091, B75))</f>
        <v>#NAME?</v>
      </c>
      <c r="G75" s="13" t="s">
        <v>220</v>
      </c>
      <c r="H75" s="14"/>
      <c r="I75" s="14"/>
    </row>
    <row r="76" spans="1:9" ht="16.5" customHeight="1">
      <c r="A76" s="9"/>
      <c r="B76" s="10" t="s">
        <v>221</v>
      </c>
      <c r="C76" s="11" t="s">
        <v>222</v>
      </c>
      <c r="D76" s="11" t="s">
        <v>223</v>
      </c>
      <c r="E76" s="12" t="e">
        <f ca="1">_xludf.IFS(COUNTIF(보류목록!$B$3:$B$1000, B76)&gt;0, "-",COUNTIF(독서목록!$C$2:$C$1091, B76)=0, , COUNTIF(독서목록!$C$2:$C$1091, B76)&gt;0, COUNTIF(독서목록!$C$2:$C$1091, B76))</f>
        <v>#NAME?</v>
      </c>
      <c r="F76" s="12" t="e">
        <f ca="1">_xludf.IFS(COUNTIF(보류목록!$C$3:$C$1000, B76)&gt;0, "-",COUNTIF(독서목록!$D$2:$D$1091, B76)=0, , COUNTIF(독서목록!$D$2:$D$1091, B76)&gt;0, COUNTIF(독서목록!$D$2:$D$1091, B76))</f>
        <v>#NAME?</v>
      </c>
      <c r="G76" s="13" t="s">
        <v>220</v>
      </c>
      <c r="H76" s="14"/>
      <c r="I76" s="14"/>
    </row>
    <row r="77" spans="1:9" ht="16.5" customHeight="1">
      <c r="A77" s="9"/>
      <c r="B77" s="10" t="s">
        <v>224</v>
      </c>
      <c r="C77" s="11" t="s">
        <v>225</v>
      </c>
      <c r="D77" s="11" t="s">
        <v>226</v>
      </c>
      <c r="E77" s="12" t="e">
        <f ca="1">_xludf.IFS(COUNTIF(보류목록!$B$3:$B$1000, B77)&gt;0, "-",COUNTIF(독서목록!$C$2:$C$1091, B77)=0, , COUNTIF(독서목록!$C$2:$C$1091, B77)&gt;0, COUNTIF(독서목록!$C$2:$C$1091, B77))</f>
        <v>#NAME?</v>
      </c>
      <c r="F77" s="12" t="e">
        <f ca="1">_xludf.IFS(COUNTIF(보류목록!$C$3:$C$1000, B77)&gt;0, "-",COUNTIF(독서목록!$D$2:$D$1091, B77)=0, , COUNTIF(독서목록!$D$2:$D$1091, B77)&gt;0, COUNTIF(독서목록!$D$2:$D$1091, B77))</f>
        <v>#NAME?</v>
      </c>
      <c r="G77" s="13" t="s">
        <v>220</v>
      </c>
      <c r="H77" s="14"/>
      <c r="I77" s="14"/>
    </row>
    <row r="78" spans="1:9" ht="16.5" customHeight="1">
      <c r="A78" s="9"/>
      <c r="B78" s="10" t="s">
        <v>227</v>
      </c>
      <c r="C78" s="11" t="s">
        <v>228</v>
      </c>
      <c r="D78" s="11" t="s">
        <v>229</v>
      </c>
      <c r="E78" s="12" t="e">
        <f ca="1">_xludf.IFS(COUNTIF(보류목록!$B$3:$B$1000, B78)&gt;0, "-",COUNTIF(독서목록!$C$2:$C$1091, B78)=0, , COUNTIF(독서목록!$C$2:$C$1091, B78)&gt;0, COUNTIF(독서목록!$C$2:$C$1091, B78))</f>
        <v>#NAME?</v>
      </c>
      <c r="F78" s="12" t="e">
        <f ca="1">_xludf.IFS(COUNTIF(보류목록!$C$3:$C$1000, B78)&gt;0, "-",COUNTIF(독서목록!$D$2:$D$1091, B78)=0, , COUNTIF(독서목록!$D$2:$D$1091, B78)&gt;0, COUNTIF(독서목록!$D$2:$D$1091, B78))</f>
        <v>#NAME?</v>
      </c>
      <c r="G78" s="13" t="s">
        <v>230</v>
      </c>
      <c r="H78" s="14"/>
      <c r="I78" s="14"/>
    </row>
    <row r="79" spans="1:9" ht="16.5" customHeight="1">
      <c r="A79" s="9"/>
      <c r="B79" s="10" t="s">
        <v>231</v>
      </c>
      <c r="C79" s="11" t="s">
        <v>232</v>
      </c>
      <c r="D79" s="11" t="s">
        <v>233</v>
      </c>
      <c r="E79" s="12" t="e">
        <f ca="1">_xludf.IFS(COUNTIF(보류목록!$B$3:$B$1000, B79)&gt;0, "-",COUNTIF(독서목록!$C$2:$C$1091, B79)=0, , COUNTIF(독서목록!$C$2:$C$1091, B79)&gt;0, COUNTIF(독서목록!$C$2:$C$1091, B79))</f>
        <v>#NAME?</v>
      </c>
      <c r="F79" s="12" t="e">
        <f ca="1">_xludf.IFS(COUNTIF(보류목록!$C$3:$C$1000, B79)&gt;0, "-",COUNTIF(독서목록!$D$2:$D$1091, B79)=0, , COUNTIF(독서목록!$D$2:$D$1091, B79)&gt;0, COUNTIF(독서목록!$D$2:$D$1091, B79))</f>
        <v>#NAME?</v>
      </c>
      <c r="G79" s="13" t="s">
        <v>234</v>
      </c>
      <c r="H79" s="14" t="s">
        <v>75</v>
      </c>
      <c r="I79" s="14">
        <v>25.12</v>
      </c>
    </row>
    <row r="80" spans="1:9" ht="16.5" customHeight="1">
      <c r="A80" s="9"/>
      <c r="B80" s="10" t="s">
        <v>235</v>
      </c>
      <c r="C80" s="11" t="s">
        <v>236</v>
      </c>
      <c r="D80" s="11" t="s">
        <v>237</v>
      </c>
      <c r="E80" s="12" t="e">
        <f ca="1">_xludf.IFS(COUNTIF(보류목록!$B$3:$B$1000, B80)&gt;0, "-",COUNTIF(독서목록!$C$2:$C$1091, B80)=0, , COUNTIF(독서목록!$C$2:$C$1091, B80)&gt;0, COUNTIF(독서목록!$C$2:$C$1091, B80))</f>
        <v>#NAME?</v>
      </c>
      <c r="F80" s="12" t="e">
        <f ca="1">_xludf.IFS(COUNTIF(보류목록!$C$3:$C$1000, B80)&gt;0, "-",COUNTIF(독서목록!$D$2:$D$1091, B80)=0, , COUNTIF(독서목록!$D$2:$D$1091, B80)&gt;0, COUNTIF(독서목록!$D$2:$D$1091, B80))</f>
        <v>#NAME?</v>
      </c>
      <c r="G80" s="13" t="s">
        <v>234</v>
      </c>
      <c r="H80" s="14"/>
      <c r="I80" s="14"/>
    </row>
    <row r="81" spans="1:9" ht="16.5" customHeight="1">
      <c r="A81" s="9"/>
      <c r="B81" s="10" t="s">
        <v>238</v>
      </c>
      <c r="C81" s="11" t="s">
        <v>239</v>
      </c>
      <c r="D81" s="11" t="s">
        <v>240</v>
      </c>
      <c r="E81" s="12" t="e">
        <f ca="1">_xludf.IFS(COUNTIF(보류목록!$B$3:$B$1000, B81)&gt;0, "-",COUNTIF(독서목록!$C$2:$C$1091, B81)=0, , COUNTIF(독서목록!$C$2:$C$1091, B81)&gt;0, COUNTIF(독서목록!$C$2:$C$1091, B81))</f>
        <v>#NAME?</v>
      </c>
      <c r="F81" s="12" t="e">
        <f ca="1">_xludf.IFS(COUNTIF(보류목록!$C$3:$C$1000, B81)&gt;0, "-",COUNTIF(독서목록!$D$2:$D$1091, B81)=0, , COUNTIF(독서목록!$D$2:$D$1091, B81)&gt;0, COUNTIF(독서목록!$D$2:$D$1091, B81))</f>
        <v>#NAME?</v>
      </c>
      <c r="G81" s="13" t="s">
        <v>234</v>
      </c>
      <c r="H81" s="14"/>
      <c r="I81" s="14"/>
    </row>
    <row r="82" spans="1:9" ht="16.5" customHeight="1">
      <c r="A82" s="9"/>
      <c r="B82" s="10" t="s">
        <v>241</v>
      </c>
      <c r="C82" s="11" t="s">
        <v>242</v>
      </c>
      <c r="D82" s="11" t="s">
        <v>39</v>
      </c>
      <c r="E82" s="12" t="e">
        <f ca="1">_xludf.IFS(COUNTIF(보류목록!$B$3:$B$1000, B82)&gt;0, "-",COUNTIF(독서목록!$C$2:$C$1091, B82)=0, , COUNTIF(독서목록!$C$2:$C$1091, B82)&gt;0, COUNTIF(독서목록!$C$2:$C$1091, B82))</f>
        <v>#NAME?</v>
      </c>
      <c r="F82" s="12" t="e">
        <f ca="1">_xludf.IFS(COUNTIF(보류목록!$C$3:$C$1000, B82)&gt;0, "-",COUNTIF(독서목록!$D$2:$D$1091, B82)=0, , COUNTIF(독서목록!$D$2:$D$1091, B82)&gt;0, COUNTIF(독서목록!$D$2:$D$1091, B82))</f>
        <v>#NAME?</v>
      </c>
      <c r="G82" s="13" t="s">
        <v>234</v>
      </c>
      <c r="H82" s="14"/>
      <c r="I82" s="14"/>
    </row>
    <row r="83" spans="1:9" ht="16.5" customHeight="1">
      <c r="A83" s="9"/>
      <c r="B83" s="10" t="s">
        <v>243</v>
      </c>
      <c r="C83" s="11" t="s">
        <v>244</v>
      </c>
      <c r="D83" s="11" t="s">
        <v>115</v>
      </c>
      <c r="E83" s="12" t="e">
        <f ca="1">_xludf.IFS(COUNTIF(보류목록!$B$3:$B$1000, B83)&gt;0, "-",COUNTIF(독서목록!$C$2:$C$1091, B83)=0, , COUNTIF(독서목록!$C$2:$C$1091, B83)&gt;0, COUNTIF(독서목록!$C$2:$C$1091, B83))</f>
        <v>#NAME?</v>
      </c>
      <c r="F83" s="12" t="e">
        <f ca="1">_xludf.IFS(COUNTIF(보류목록!$C$3:$C$1000, B83)&gt;0, "-",COUNTIF(독서목록!$D$2:$D$1091, B83)=0, , COUNTIF(독서목록!$D$2:$D$1091, B83)&gt;0, COUNTIF(독서목록!$D$2:$D$1091, B83))</f>
        <v>#NAME?</v>
      </c>
      <c r="G83" s="13" t="s">
        <v>245</v>
      </c>
      <c r="H83" s="14" t="s">
        <v>75</v>
      </c>
      <c r="I83" s="14">
        <v>25.12</v>
      </c>
    </row>
    <row r="84" spans="1:9" ht="16.5" customHeight="1">
      <c r="A84" s="9"/>
      <c r="B84" s="10" t="s">
        <v>246</v>
      </c>
      <c r="C84" s="11" t="s">
        <v>247</v>
      </c>
      <c r="D84" s="11" t="s">
        <v>248</v>
      </c>
      <c r="E84" s="12" t="e">
        <f ca="1">_xludf.IFS(COUNTIF(보류목록!$B$3:$B$1000, B84)&gt;0, "-",COUNTIF(독서목록!$C$2:$C$1091, B84)=0, , COUNTIF(독서목록!$C$2:$C$1091, B84)&gt;0, COUNTIF(독서목록!$C$2:$C$1091, B84))</f>
        <v>#NAME?</v>
      </c>
      <c r="F84" s="12" t="e">
        <f ca="1">_xludf.IFS(COUNTIF(보류목록!$C$3:$C$1000, B84)&gt;0, "-",COUNTIF(독서목록!$D$2:$D$1091, B84)=0, , COUNTIF(독서목록!$D$2:$D$1091, B84)&gt;0, COUNTIF(독서목록!$D$2:$D$1091, B84))</f>
        <v>#NAME?</v>
      </c>
      <c r="G84" s="13" t="s">
        <v>245</v>
      </c>
      <c r="H84" s="14" t="s">
        <v>75</v>
      </c>
      <c r="I84" s="14">
        <v>25.12</v>
      </c>
    </row>
    <row r="85" spans="1:9" ht="16.5" customHeight="1">
      <c r="A85" s="9"/>
      <c r="B85" s="10" t="s">
        <v>249</v>
      </c>
      <c r="C85" s="11" t="s">
        <v>250</v>
      </c>
      <c r="D85" s="11" t="s">
        <v>226</v>
      </c>
      <c r="E85" s="12" t="e">
        <f ca="1">_xludf.IFS(COUNTIF(보류목록!$B$3:$B$1000, B85)&gt;0, "-",COUNTIF(독서목록!$C$2:$C$1091, B85)=0, , COUNTIF(독서목록!$C$2:$C$1091, B85)&gt;0, COUNTIF(독서목록!$C$2:$C$1091, B85))</f>
        <v>#NAME?</v>
      </c>
      <c r="F85" s="12" t="e">
        <f ca="1">_xludf.IFS(COUNTIF(보류목록!$C$3:$C$1000, B85)&gt;0, "-",COUNTIF(독서목록!$D$2:$D$1091, B85)=0, , COUNTIF(독서목록!$D$2:$D$1091, B85)&gt;0, COUNTIF(독서목록!$D$2:$D$1091, B85))</f>
        <v>#NAME?</v>
      </c>
      <c r="G85" s="13" t="s">
        <v>251</v>
      </c>
      <c r="H85" s="14"/>
      <c r="I85" s="14"/>
    </row>
    <row r="86" spans="1:9" ht="16.5" customHeight="1">
      <c r="A86" s="9"/>
      <c r="B86" s="10" t="s">
        <v>252</v>
      </c>
      <c r="C86" s="11" t="s">
        <v>52</v>
      </c>
      <c r="D86" s="11" t="s">
        <v>253</v>
      </c>
      <c r="E86" s="12" t="e">
        <f ca="1">_xludf.IFS(COUNTIF(보류목록!$B$3:$B$1000, B86)&gt;0, "-",COUNTIF(독서목록!$C$2:$C$1091, B86)=0, , COUNTIF(독서목록!$C$2:$C$1091, B86)&gt;0, COUNTIF(독서목록!$C$2:$C$1091, B86))</f>
        <v>#NAME?</v>
      </c>
      <c r="F86" s="12" t="e">
        <f ca="1">_xludf.IFS(COUNTIF(보류목록!$C$3:$C$1000, B86)&gt;0, "-",COUNTIF(독서목록!$D$2:$D$1091, B86)=0, , COUNTIF(독서목록!$D$2:$D$1091, B86)&gt;0, COUNTIF(독서목록!$D$2:$D$1091, B86))</f>
        <v>#NAME?</v>
      </c>
      <c r="G86" s="13" t="s">
        <v>251</v>
      </c>
      <c r="H86" s="14"/>
      <c r="I86" s="14"/>
    </row>
    <row r="87" spans="1:9" ht="16.5" customHeight="1">
      <c r="A87" s="9"/>
      <c r="B87" s="10" t="s">
        <v>254</v>
      </c>
      <c r="C87" s="11" t="s">
        <v>255</v>
      </c>
      <c r="D87" s="11" t="s">
        <v>256</v>
      </c>
      <c r="E87" s="12" t="e">
        <f ca="1">_xludf.IFS(COUNTIF(보류목록!$B$3:$B$1000, B87)&gt;0, "-",COUNTIF(독서목록!$C$2:$C$1091, B87)=0, , COUNTIF(독서목록!$C$2:$C$1091, B87)&gt;0, COUNTIF(독서목록!$C$2:$C$1091, B87))</f>
        <v>#NAME?</v>
      </c>
      <c r="F87" s="12" t="e">
        <f ca="1">_xludf.IFS(COUNTIF(보류목록!$C$3:$C$1000, B87)&gt;0, "-",COUNTIF(독서목록!$D$2:$D$1091, B87)=0, , COUNTIF(독서목록!$D$2:$D$1091, B87)&gt;0, COUNTIF(독서목록!$D$2:$D$1091, B87))</f>
        <v>#NAME?</v>
      </c>
      <c r="G87" s="13" t="s">
        <v>257</v>
      </c>
      <c r="H87" s="14"/>
      <c r="I87" s="14"/>
    </row>
    <row r="88" spans="1:9" ht="16.5" customHeight="1">
      <c r="A88" s="9"/>
      <c r="B88" s="10" t="s">
        <v>258</v>
      </c>
      <c r="C88" s="11" t="s">
        <v>259</v>
      </c>
      <c r="D88" s="11" t="s">
        <v>39</v>
      </c>
      <c r="E88" s="12" t="e">
        <f ca="1">_xludf.IFS(COUNTIF(보류목록!$B$3:$B$1000, B88)&gt;0, "-",COUNTIF(독서목록!$C$2:$C$1091, B88)=0, , COUNTIF(독서목록!$C$2:$C$1091, B88)&gt;0, COUNTIF(독서목록!$C$2:$C$1091, B88))</f>
        <v>#NAME?</v>
      </c>
      <c r="F88" s="12" t="e">
        <f ca="1">_xludf.IFS(COUNTIF(보류목록!$C$3:$C$1000, B88)&gt;0, "-",COUNTIF(독서목록!$D$2:$D$1091, B88)=0, , COUNTIF(독서목록!$D$2:$D$1091, B88)&gt;0, COUNTIF(독서목록!$D$2:$D$1091, B88))</f>
        <v>#NAME?</v>
      </c>
      <c r="G88" s="13" t="s">
        <v>260</v>
      </c>
      <c r="H88" s="14"/>
      <c r="I88" s="14"/>
    </row>
    <row r="89" spans="1:9" ht="16.5" customHeight="1">
      <c r="A89" s="9"/>
      <c r="B89" s="10" t="s">
        <v>261</v>
      </c>
      <c r="C89" s="11" t="s">
        <v>262</v>
      </c>
      <c r="D89" s="11" t="s">
        <v>15</v>
      </c>
      <c r="E89" s="12" t="e">
        <f ca="1">_xludf.IFS(COUNTIF(보류목록!$B$3:$B$1000, B89)&gt;0, "-",COUNTIF(독서목록!$C$2:$C$1091, B89)=0, , COUNTIF(독서목록!$C$2:$C$1091, B89)&gt;0, COUNTIF(독서목록!$C$2:$C$1091, B89))</f>
        <v>#NAME?</v>
      </c>
      <c r="F89" s="12" t="e">
        <f ca="1">_xludf.IFS(COUNTIF(보류목록!$C$3:$C$1000, B89)&gt;0, "-",COUNTIF(독서목록!$D$2:$D$1091, B89)=0, , COUNTIF(독서목록!$D$2:$D$1091, B89)&gt;0, COUNTIF(독서목록!$D$2:$D$1091, B89))</f>
        <v>#NAME?</v>
      </c>
      <c r="G89" s="13" t="s">
        <v>260</v>
      </c>
      <c r="H89" s="14" t="s">
        <v>75</v>
      </c>
      <c r="I89" s="14">
        <v>25.12</v>
      </c>
    </row>
    <row r="90" spans="1:9" ht="16.5" customHeight="1">
      <c r="A90" s="9"/>
      <c r="B90" s="10" t="s">
        <v>263</v>
      </c>
      <c r="C90" s="11" t="s">
        <v>264</v>
      </c>
      <c r="D90" s="11" t="s">
        <v>7</v>
      </c>
      <c r="E90" s="12" t="e">
        <f ca="1">_xludf.IFS(COUNTIF(보류목록!$B$3:$B$1000, B90)&gt;0, "-",COUNTIF(독서목록!$C$2:$C$1091, B90)=0, , COUNTIF(독서목록!$C$2:$C$1091, B90)&gt;0, COUNTIF(독서목록!$C$2:$C$1091, B90))</f>
        <v>#NAME?</v>
      </c>
      <c r="F90" s="12" t="e">
        <f ca="1">_xludf.IFS(COUNTIF(보류목록!$C$3:$C$1000, B90)&gt;0, "-",COUNTIF(독서목록!$D$2:$D$1091, B90)=0, , COUNTIF(독서목록!$D$2:$D$1091, B90)&gt;0, COUNTIF(독서목록!$D$2:$D$1091, B90))</f>
        <v>#NAME?</v>
      </c>
      <c r="G90" s="13" t="s">
        <v>260</v>
      </c>
      <c r="H90" s="14"/>
      <c r="I90" s="14"/>
    </row>
    <row r="91" spans="1:9" ht="16.5" customHeight="1">
      <c r="A91" s="9"/>
      <c r="B91" s="10" t="s">
        <v>265</v>
      </c>
      <c r="C91" s="11" t="s">
        <v>266</v>
      </c>
      <c r="D91" s="11" t="s">
        <v>267</v>
      </c>
      <c r="E91" s="12" t="e">
        <f ca="1">_xludf.IFS(COUNTIF(보류목록!$B$3:$B$1000, B91)&gt;0, "-",COUNTIF(독서목록!$C$2:$C$1091, B91)=0, , COUNTIF(독서목록!$C$2:$C$1091, B91)&gt;0, COUNTIF(독서목록!$C$2:$C$1091, B91))</f>
        <v>#NAME?</v>
      </c>
      <c r="F91" s="12" t="e">
        <f ca="1">_xludf.IFS(COUNTIF(보류목록!$C$3:$C$1000, B91)&gt;0, "-",COUNTIF(독서목록!$D$2:$D$1091, B91)=0, , COUNTIF(독서목록!$D$2:$D$1091, B91)&gt;0, COUNTIF(독서목록!$D$2:$D$1091, B91))</f>
        <v>#NAME?</v>
      </c>
      <c r="G91" s="13" t="s">
        <v>260</v>
      </c>
      <c r="H91" s="14"/>
      <c r="I91" s="14"/>
    </row>
    <row r="92" spans="1:9" ht="16.5" customHeight="1">
      <c r="A92" s="9"/>
      <c r="B92" s="10" t="s">
        <v>268</v>
      </c>
      <c r="C92" s="11" t="s">
        <v>269</v>
      </c>
      <c r="D92" s="11" t="s">
        <v>156</v>
      </c>
      <c r="E92" s="12" t="e">
        <f ca="1">_xludf.IFS(COUNTIF(보류목록!$B$3:$B$1000, B92)&gt;0, "-",COUNTIF(독서목록!$C$2:$C$1091, B92)=0, , COUNTIF(독서목록!$C$2:$C$1091, B92)&gt;0, COUNTIF(독서목록!$C$2:$C$1091, B92))</f>
        <v>#NAME?</v>
      </c>
      <c r="F92" s="12" t="e">
        <f ca="1">_xludf.IFS(COUNTIF(보류목록!$C$3:$C$1000, B92)&gt;0, "-",COUNTIF(독서목록!$D$2:$D$1091, B92)=0, , COUNTIF(독서목록!$D$2:$D$1091, B92)&gt;0, COUNTIF(독서목록!$D$2:$D$1091, B92))</f>
        <v>#NAME?</v>
      </c>
      <c r="G92" s="13" t="s">
        <v>270</v>
      </c>
      <c r="H92" s="14"/>
      <c r="I92" s="14"/>
    </row>
    <row r="93" spans="1:9" ht="16.5" customHeight="1">
      <c r="A93" s="9"/>
      <c r="B93" s="10" t="s">
        <v>271</v>
      </c>
      <c r="C93" s="11" t="s">
        <v>272</v>
      </c>
      <c r="D93" s="11" t="s">
        <v>156</v>
      </c>
      <c r="E93" s="12" t="e">
        <f ca="1">_xludf.IFS(COUNTIF(보류목록!$B$3:$B$1000, B93)&gt;0, "-",COUNTIF(독서목록!$C$2:$C$1091, B93)=0, , COUNTIF(독서목록!$C$2:$C$1091, B93)&gt;0, COUNTIF(독서목록!$C$2:$C$1091, B93))</f>
        <v>#NAME?</v>
      </c>
      <c r="F93" s="12" t="e">
        <f ca="1">_xludf.IFS(COUNTIF(보류목록!$C$3:$C$1000, B93)&gt;0, "-",COUNTIF(독서목록!$D$2:$D$1091, B93)=0, , COUNTIF(독서목록!$D$2:$D$1091, B93)&gt;0, COUNTIF(독서목록!$D$2:$D$1091, B93))</f>
        <v>#NAME?</v>
      </c>
      <c r="G93" s="13" t="s">
        <v>270</v>
      </c>
      <c r="H93" s="14" t="s">
        <v>75</v>
      </c>
      <c r="I93" s="14">
        <v>25.12</v>
      </c>
    </row>
    <row r="94" spans="1:9" ht="16.5" customHeight="1">
      <c r="A94" s="9"/>
      <c r="B94" s="10" t="s">
        <v>273</v>
      </c>
      <c r="C94" s="11" t="s">
        <v>274</v>
      </c>
      <c r="D94" s="11" t="s">
        <v>226</v>
      </c>
      <c r="E94" s="12" t="e">
        <f ca="1">_xludf.IFS(COUNTIF(보류목록!$B$3:$B$1000, B94)&gt;0, "-",COUNTIF(독서목록!$C$2:$C$1091, B94)=0, , COUNTIF(독서목록!$C$2:$C$1091, B94)&gt;0, COUNTIF(독서목록!$C$2:$C$1091, B94))</f>
        <v>#NAME?</v>
      </c>
      <c r="F94" s="12" t="e">
        <f ca="1">_xludf.IFS(COUNTIF(보류목록!$C$3:$C$1000, B94)&gt;0, "-",COUNTIF(독서목록!$D$2:$D$1091, B94)=0, , COUNTIF(독서목록!$D$2:$D$1091, B94)&gt;0, COUNTIF(독서목록!$D$2:$D$1091, B94))</f>
        <v>#NAME?</v>
      </c>
      <c r="G94" s="13" t="s">
        <v>270</v>
      </c>
      <c r="H94" s="14"/>
      <c r="I94" s="14"/>
    </row>
    <row r="95" spans="1:9" ht="16.5" customHeight="1">
      <c r="A95" s="9"/>
      <c r="B95" s="10" t="s">
        <v>275</v>
      </c>
      <c r="C95" s="11" t="s">
        <v>276</v>
      </c>
      <c r="D95" s="11" t="s">
        <v>277</v>
      </c>
      <c r="E95" s="12" t="e">
        <f ca="1">_xludf.IFS(COUNTIF(보류목록!$B$3:$B$1000, B95)&gt;0, "-",COUNTIF(독서목록!$C$2:$C$1091, B95)=0, , COUNTIF(독서목록!$C$2:$C$1091, B95)&gt;0, COUNTIF(독서목록!$C$2:$C$1091, B95))</f>
        <v>#NAME?</v>
      </c>
      <c r="F95" s="12" t="e">
        <f ca="1">_xludf.IFS(COUNTIF(보류목록!$C$3:$C$1000, B95)&gt;0, "-",COUNTIF(독서목록!$D$2:$D$1091, B95)=0, , COUNTIF(독서목록!$D$2:$D$1091, B95)&gt;0, COUNTIF(독서목록!$D$2:$D$1091, B95))</f>
        <v>#NAME?</v>
      </c>
      <c r="G95" s="13" t="s">
        <v>278</v>
      </c>
      <c r="H95" s="14"/>
      <c r="I95" s="14"/>
    </row>
    <row r="96" spans="1:9" ht="16.5" customHeight="1">
      <c r="A96" s="9"/>
      <c r="B96" s="10" t="s">
        <v>279</v>
      </c>
      <c r="C96" s="11" t="s">
        <v>276</v>
      </c>
      <c r="D96" s="11" t="s">
        <v>280</v>
      </c>
      <c r="E96" s="12" t="e">
        <f ca="1">_xludf.IFS(COUNTIF(보류목록!$B$3:$B$1000, B96)&gt;0, "-",COUNTIF(독서목록!$C$2:$C$1091, B96)=0, , COUNTIF(독서목록!$C$2:$C$1091, B96)&gt;0, COUNTIF(독서목록!$C$2:$C$1091, B96))</f>
        <v>#NAME?</v>
      </c>
      <c r="F96" s="12" t="e">
        <f ca="1">_xludf.IFS(COUNTIF(보류목록!$C$3:$C$1000, B96)&gt;0, "-",COUNTIF(독서목록!$D$2:$D$1091, B96)=0, , COUNTIF(독서목록!$D$2:$D$1091, B96)&gt;0, COUNTIF(독서목록!$D$2:$D$1091, B96))</f>
        <v>#NAME?</v>
      </c>
      <c r="G96" s="13" t="s">
        <v>278</v>
      </c>
      <c r="H96" s="14"/>
      <c r="I96" s="14"/>
    </row>
    <row r="97" spans="1:9" ht="16.5" customHeight="1">
      <c r="A97" s="9"/>
      <c r="B97" s="10" t="s">
        <v>281</v>
      </c>
      <c r="C97" s="11" t="s">
        <v>276</v>
      </c>
      <c r="D97" s="11" t="s">
        <v>282</v>
      </c>
      <c r="E97" s="12" t="e">
        <f ca="1">_xludf.IFS(COUNTIF(보류목록!$B$3:$B$1000, B97)&gt;0, "-",COUNTIF(독서목록!$C$2:$C$1091, B97)=0, , COUNTIF(독서목록!$C$2:$C$1091, B97)&gt;0, COUNTIF(독서목록!$C$2:$C$1091, B97))</f>
        <v>#NAME?</v>
      </c>
      <c r="F97" s="12" t="e">
        <f ca="1">_xludf.IFS(COUNTIF(보류목록!$C$3:$C$1000, B97)&gt;0, "-",COUNTIF(독서목록!$D$2:$D$1091, B97)=0, , COUNTIF(독서목록!$D$2:$D$1091, B97)&gt;0, COUNTIF(독서목록!$D$2:$D$1091, B97))</f>
        <v>#NAME?</v>
      </c>
      <c r="G97" s="13" t="s">
        <v>278</v>
      </c>
      <c r="H97" s="14"/>
      <c r="I97" s="14"/>
    </row>
    <row r="98" spans="1:9" ht="16.5" customHeight="1">
      <c r="A98" s="9"/>
      <c r="B98" s="10" t="s">
        <v>283</v>
      </c>
      <c r="C98" s="11" t="s">
        <v>284</v>
      </c>
      <c r="D98" s="11" t="s">
        <v>285</v>
      </c>
      <c r="E98" s="12" t="e">
        <f ca="1">_xludf.IFS(COUNTIF(보류목록!$B$3:$B$1000, B98)&gt;0, "-",COUNTIF(독서목록!$C$2:$C$1091, B98)=0, , COUNTIF(독서목록!$C$2:$C$1091, B98)&gt;0, COUNTIF(독서목록!$C$2:$C$1091, B98))</f>
        <v>#NAME?</v>
      </c>
      <c r="F98" s="12" t="e">
        <f ca="1">_xludf.IFS(COUNTIF(보류목록!$C$3:$C$1000, B98)&gt;0, "-",COUNTIF(독서목록!$D$2:$D$1091, B98)=0, , COUNTIF(독서목록!$D$2:$D$1091, B98)&gt;0, COUNTIF(독서목록!$D$2:$D$1091, B98))</f>
        <v>#NAME?</v>
      </c>
      <c r="G98" s="13" t="s">
        <v>286</v>
      </c>
      <c r="H98" s="14"/>
      <c r="I98" s="14"/>
    </row>
    <row r="99" spans="1:9" ht="16.5" customHeight="1">
      <c r="A99" s="9"/>
      <c r="B99" s="10" t="s">
        <v>287</v>
      </c>
      <c r="C99" s="11" t="s">
        <v>288</v>
      </c>
      <c r="D99" s="11" t="s">
        <v>89</v>
      </c>
      <c r="E99" s="12" t="e">
        <f ca="1">_xludf.IFS(COUNTIF(보류목록!$B$3:$B$1000, B99)&gt;0, "-",COUNTIF(독서목록!$C$2:$C$1091, B99)=0, , COUNTIF(독서목록!$C$2:$C$1091, B99)&gt;0, COUNTIF(독서목록!$C$2:$C$1091, B99))</f>
        <v>#NAME?</v>
      </c>
      <c r="F99" s="12" t="e">
        <f ca="1">_xludf.IFS(COUNTIF(보류목록!$C$3:$C$1000, B99)&gt;0, "-",COUNTIF(독서목록!$D$2:$D$1091, B99)=0, , COUNTIF(독서목록!$D$2:$D$1091, B99)&gt;0, COUNTIF(독서목록!$D$2:$D$1091, B99))</f>
        <v>#NAME?</v>
      </c>
      <c r="G99" s="13" t="s">
        <v>286</v>
      </c>
      <c r="H99" s="14" t="s">
        <v>75</v>
      </c>
      <c r="I99" s="14" t="s">
        <v>75</v>
      </c>
    </row>
    <row r="100" spans="1:9" ht="16.5" customHeight="1">
      <c r="A100" s="9"/>
      <c r="B100" s="10" t="s">
        <v>289</v>
      </c>
      <c r="C100" s="11" t="s">
        <v>290</v>
      </c>
      <c r="D100" s="11" t="s">
        <v>226</v>
      </c>
      <c r="E100" s="12" t="e">
        <f ca="1">_xludf.IFS(COUNTIF(보류목록!$B$3:$B$1000, B100)&gt;0, "-",COUNTIF(독서목록!$C$2:$C$1091, B100)=0, , COUNTIF(독서목록!$C$2:$C$1091, B100)&gt;0, COUNTIF(독서목록!$C$2:$C$1091, B100))</f>
        <v>#NAME?</v>
      </c>
      <c r="F100" s="12" t="e">
        <f ca="1">_xludf.IFS(COUNTIF(보류목록!$C$3:$C$1000, B100)&gt;0, "-",COUNTIF(독서목록!$D$2:$D$1091, B100)=0, , COUNTIF(독서목록!$D$2:$D$1091, B100)&gt;0, COUNTIF(독서목록!$D$2:$D$1091, B100))</f>
        <v>#NAME?</v>
      </c>
      <c r="G100" s="13" t="s">
        <v>291</v>
      </c>
      <c r="H100" s="14"/>
      <c r="I100" s="14"/>
    </row>
    <row r="101" spans="1:9" ht="16.5" customHeight="1">
      <c r="A101" s="9"/>
      <c r="B101" s="10" t="s">
        <v>292</v>
      </c>
      <c r="C101" s="11" t="s">
        <v>293</v>
      </c>
      <c r="D101" s="11" t="s">
        <v>93</v>
      </c>
      <c r="E101" s="12" t="e">
        <f ca="1">_xludf.IFS(COUNTIF(보류목록!$B$3:$B$1000, B101)&gt;0, "-",COUNTIF(독서목록!$C$2:$C$1091, B101)=0, , COUNTIF(독서목록!$C$2:$C$1091, B101)&gt;0, COUNTIF(독서목록!$C$2:$C$1091, B101))</f>
        <v>#NAME?</v>
      </c>
      <c r="F101" s="12" t="e">
        <f ca="1">_xludf.IFS(COUNTIF(보류목록!$C$3:$C$1000, B101)&gt;0, "-",COUNTIF(독서목록!$D$2:$D$1091, B101)=0, , COUNTIF(독서목록!$D$2:$D$1091, B101)&gt;0, COUNTIF(독서목록!$D$2:$D$1091, B101))</f>
        <v>#NAME?</v>
      </c>
      <c r="G101" s="13" t="s">
        <v>291</v>
      </c>
      <c r="H101" s="14"/>
      <c r="I101" s="14"/>
    </row>
    <row r="102" spans="1:9" ht="16.5" customHeight="1">
      <c r="A102" s="9"/>
      <c r="B102" s="10" t="s">
        <v>294</v>
      </c>
      <c r="C102" s="11" t="s">
        <v>295</v>
      </c>
      <c r="D102" s="11" t="s">
        <v>7</v>
      </c>
      <c r="E102" s="12" t="e">
        <f ca="1">_xludf.IFS(COUNTIF(보류목록!$B$3:$B$1000, B102)&gt;0, "-",COUNTIF(독서목록!$C$2:$C$1091, B102)=0, , COUNTIF(독서목록!$C$2:$C$1091, B102)&gt;0, COUNTIF(독서목록!$C$2:$C$1091, B102))</f>
        <v>#NAME?</v>
      </c>
      <c r="F102" s="12" t="e">
        <f ca="1">_xludf.IFS(COUNTIF(보류목록!$C$3:$C$1000, B102)&gt;0, "-",COUNTIF(독서목록!$D$2:$D$1091, B102)=0, , COUNTIF(독서목록!$D$2:$D$1091, B102)&gt;0, COUNTIF(독서목록!$D$2:$D$1091, B102))</f>
        <v>#NAME?</v>
      </c>
      <c r="G102" s="13" t="s">
        <v>296</v>
      </c>
      <c r="H102" s="14" t="s">
        <v>75</v>
      </c>
      <c r="I102" s="14" t="s">
        <v>75</v>
      </c>
    </row>
    <row r="103" spans="1:9" ht="16.5" customHeight="1">
      <c r="A103" s="9"/>
      <c r="B103" s="10" t="s">
        <v>297</v>
      </c>
      <c r="C103" s="11" t="s">
        <v>293</v>
      </c>
      <c r="D103" s="11" t="s">
        <v>93</v>
      </c>
      <c r="E103" s="12" t="e">
        <f ca="1">_xludf.IFS(COUNTIF(보류목록!$B$3:$B$1000, B103)&gt;0, "-",COUNTIF(독서목록!$C$2:$C$1091, B103)=0, , COUNTIF(독서목록!$C$2:$C$1091, B103)&gt;0, COUNTIF(독서목록!$C$2:$C$1091, B103))</f>
        <v>#NAME?</v>
      </c>
      <c r="F103" s="12" t="e">
        <f ca="1">_xludf.IFS(COUNTIF(보류목록!$C$3:$C$1000, B103)&gt;0, "-",COUNTIF(독서목록!$D$2:$D$1091, B103)=0, , COUNTIF(독서목록!$D$2:$D$1091, B103)&gt;0, COUNTIF(독서목록!$D$2:$D$1091, B103))</f>
        <v>#NAME?</v>
      </c>
      <c r="G103" s="13" t="s">
        <v>296</v>
      </c>
      <c r="H103" s="14"/>
      <c r="I103" s="14"/>
    </row>
    <row r="104" spans="1:9" ht="16.5" customHeight="1">
      <c r="A104" s="9"/>
      <c r="B104" s="10" t="s">
        <v>298</v>
      </c>
      <c r="C104" s="11" t="s">
        <v>299</v>
      </c>
      <c r="D104" s="11" t="s">
        <v>300</v>
      </c>
      <c r="E104" s="12" t="e">
        <f ca="1">_xludf.IFS(COUNTIF(보류목록!$B$3:$B$1000, B104)&gt;0, "-",COUNTIF(독서목록!$C$2:$C$1091, B104)=0, , COUNTIF(독서목록!$C$2:$C$1091, B104)&gt;0, COUNTIF(독서목록!$C$2:$C$1091, B104))</f>
        <v>#NAME?</v>
      </c>
      <c r="F104" s="12" t="e">
        <f ca="1">_xludf.IFS(COUNTIF(보류목록!$C$3:$C$1000, B104)&gt;0, "-",COUNTIF(독서목록!$D$2:$D$1091, B104)=0, , COUNTIF(독서목록!$D$2:$D$1091, B104)&gt;0, COUNTIF(독서목록!$D$2:$D$1091, B104))</f>
        <v>#NAME?</v>
      </c>
      <c r="G104" s="13" t="s">
        <v>296</v>
      </c>
      <c r="H104" s="14"/>
      <c r="I104" s="14"/>
    </row>
    <row r="105" spans="1:9" ht="16.5" customHeight="1">
      <c r="A105" s="9"/>
      <c r="B105" s="10" t="s">
        <v>301</v>
      </c>
      <c r="C105" s="11" t="s">
        <v>302</v>
      </c>
      <c r="D105" s="11" t="s">
        <v>15</v>
      </c>
      <c r="E105" s="12" t="e">
        <f ca="1">_xludf.IFS(COUNTIF(보류목록!$B$3:$B$1000, B105)&gt;0, "-",COUNTIF(독서목록!$C$2:$C$1091, B105)=0, , COUNTIF(독서목록!$C$2:$C$1091, B105)&gt;0, COUNTIF(독서목록!$C$2:$C$1091, B105))</f>
        <v>#NAME?</v>
      </c>
      <c r="F105" s="12" t="e">
        <f ca="1">_xludf.IFS(COUNTIF(보류목록!$C$3:$C$1000, B105)&gt;0, "-",COUNTIF(독서목록!$D$2:$D$1091, B105)=0, , COUNTIF(독서목록!$D$2:$D$1091, B105)&gt;0, COUNTIF(독서목록!$D$2:$D$1091, B105))</f>
        <v>#NAME?</v>
      </c>
      <c r="G105" s="13" t="s">
        <v>303</v>
      </c>
      <c r="H105" s="14"/>
      <c r="I105" s="14"/>
    </row>
    <row r="106" spans="1:9" ht="16.5" customHeight="1">
      <c r="A106" s="9"/>
      <c r="B106" s="10" t="s">
        <v>304</v>
      </c>
      <c r="C106" s="11" t="s">
        <v>305</v>
      </c>
      <c r="D106" s="11" t="s">
        <v>306</v>
      </c>
      <c r="E106" s="12" t="e">
        <f ca="1">_xludf.IFS(COUNTIF(보류목록!$B$3:$B$1000, B106)&gt;0, "-",COUNTIF(독서목록!$C$2:$C$1091, B106)=0, , COUNTIF(독서목록!$C$2:$C$1091, B106)&gt;0, COUNTIF(독서목록!$C$2:$C$1091, B106))</f>
        <v>#NAME?</v>
      </c>
      <c r="F106" s="12" t="e">
        <f ca="1">_xludf.IFS(COUNTIF(보류목록!$C$3:$C$1000, B106)&gt;0, "-",COUNTIF(독서목록!$D$2:$D$1091, B106)=0, , COUNTIF(독서목록!$D$2:$D$1091, B106)&gt;0, COUNTIF(독서목록!$D$2:$D$1091, B106))</f>
        <v>#NAME?</v>
      </c>
      <c r="G106" s="13" t="s">
        <v>303</v>
      </c>
      <c r="H106" s="14" t="s">
        <v>75</v>
      </c>
      <c r="I106" s="14">
        <v>25.12</v>
      </c>
    </row>
    <row r="107" spans="1:9" ht="16.5" customHeight="1">
      <c r="A107" s="9"/>
      <c r="B107" s="10" t="s">
        <v>307</v>
      </c>
      <c r="C107" s="11" t="s">
        <v>308</v>
      </c>
      <c r="D107" s="11" t="s">
        <v>309</v>
      </c>
      <c r="E107" s="12" t="e">
        <f ca="1">_xludf.IFS(COUNTIF(보류목록!$B$3:$B$1000, B107)&gt;0, "-",COUNTIF(독서목록!$C$2:$C$1091, B107)=0, , COUNTIF(독서목록!$C$2:$C$1091, B107)&gt;0, COUNTIF(독서목록!$C$2:$C$1091, B107))</f>
        <v>#NAME?</v>
      </c>
      <c r="F107" s="12" t="e">
        <f ca="1">_xludf.IFS(COUNTIF(보류목록!$C$3:$C$1000, B107)&gt;0, "-",COUNTIF(독서목록!$D$2:$D$1091, B107)=0, , COUNTIF(독서목록!$D$2:$D$1091, B107)&gt;0, COUNTIF(독서목록!$D$2:$D$1091, B107))</f>
        <v>#NAME?</v>
      </c>
      <c r="G107" s="13" t="s">
        <v>310</v>
      </c>
      <c r="H107" s="14" t="s">
        <v>75</v>
      </c>
      <c r="I107" s="14" t="s">
        <v>75</v>
      </c>
    </row>
    <row r="108" spans="1:9" ht="16.5" customHeight="1">
      <c r="A108" s="9"/>
      <c r="B108" s="10" t="s">
        <v>311</v>
      </c>
      <c r="C108" s="11" t="s">
        <v>312</v>
      </c>
      <c r="D108" s="11" t="s">
        <v>7</v>
      </c>
      <c r="E108" s="12" t="e">
        <f ca="1">_xludf.IFS(COUNTIF(보류목록!$B$3:$B$1000, B108)&gt;0, "-",COUNTIF(독서목록!$C$2:$C$1091, B108)=0, , COUNTIF(독서목록!$C$2:$C$1091, B108)&gt;0, COUNTIF(독서목록!$C$2:$C$1091, B108))</f>
        <v>#NAME?</v>
      </c>
      <c r="F108" s="12" t="e">
        <f ca="1">_xludf.IFS(COUNTIF(보류목록!$C$3:$C$1000, B108)&gt;0, "-",COUNTIF(독서목록!$D$2:$D$1091, B108)=0, , COUNTIF(독서목록!$D$2:$D$1091, B108)&gt;0, COUNTIF(독서목록!$D$2:$D$1091, B108))</f>
        <v>#NAME?</v>
      </c>
      <c r="G108" s="13" t="s">
        <v>310</v>
      </c>
      <c r="H108" s="14"/>
      <c r="I108" s="14"/>
    </row>
    <row r="109" spans="1:9" ht="16.5" customHeight="1">
      <c r="A109" s="9"/>
      <c r="B109" s="10" t="s">
        <v>313</v>
      </c>
      <c r="C109" s="11" t="s">
        <v>314</v>
      </c>
      <c r="D109" s="11" t="s">
        <v>7</v>
      </c>
      <c r="E109" s="12" t="e">
        <f ca="1">_xludf.IFS(COUNTIF(보류목록!$B$3:$B$1000, B109)&gt;0, "-",COUNTIF(독서목록!$C$2:$C$1091, B109)=0, , COUNTIF(독서목록!$C$2:$C$1091, B109)&gt;0, COUNTIF(독서목록!$C$2:$C$1091, B109))</f>
        <v>#NAME?</v>
      </c>
      <c r="F109" s="12" t="e">
        <f ca="1">_xludf.IFS(COUNTIF(보류목록!$C$3:$C$1000, B109)&gt;0, "-",COUNTIF(독서목록!$D$2:$D$1091, B109)=0, , COUNTIF(독서목록!$D$2:$D$1091, B109)&gt;0, COUNTIF(독서목록!$D$2:$D$1091, B109))</f>
        <v>#NAME?</v>
      </c>
      <c r="G109" s="13" t="s">
        <v>310</v>
      </c>
      <c r="H109" s="14"/>
      <c r="I109" s="14"/>
    </row>
    <row r="110" spans="1:9" ht="16.5" customHeight="1">
      <c r="A110" s="9"/>
      <c r="B110" s="10" t="s">
        <v>315</v>
      </c>
      <c r="C110" s="11" t="s">
        <v>316</v>
      </c>
      <c r="D110" s="11" t="s">
        <v>317</v>
      </c>
      <c r="E110" s="12" t="e">
        <f ca="1">_xludf.IFS(COUNTIF(보류목록!$B$3:$B$1000, B110)&gt;0, "-",COUNTIF(독서목록!$C$2:$C$1091, B110)=0, , COUNTIF(독서목록!$C$2:$C$1091, B110)&gt;0, COUNTIF(독서목록!$C$2:$C$1091, B110))</f>
        <v>#NAME?</v>
      </c>
      <c r="F110" s="12" t="e">
        <f ca="1">_xludf.IFS(COUNTIF(보류목록!$C$3:$C$1000, B110)&gt;0, "-",COUNTIF(독서목록!$D$2:$D$1091, B110)=0, , COUNTIF(독서목록!$D$2:$D$1091, B110)&gt;0, COUNTIF(독서목록!$D$2:$D$1091, B110))</f>
        <v>#NAME?</v>
      </c>
      <c r="G110" s="13" t="s">
        <v>318</v>
      </c>
      <c r="H110" s="14"/>
      <c r="I110" s="14"/>
    </row>
    <row r="111" spans="1:9" ht="16.5" customHeight="1">
      <c r="A111" s="9"/>
      <c r="B111" s="10" t="s">
        <v>319</v>
      </c>
      <c r="C111" s="11" t="s">
        <v>320</v>
      </c>
      <c r="D111" s="11" t="s">
        <v>321</v>
      </c>
      <c r="E111" s="12" t="e">
        <f ca="1">_xludf.IFS(COUNTIF(보류목록!$B$3:$B$1000, B111)&gt;0, "-",COUNTIF(독서목록!$C$2:$C$1091, B111)=0, , COUNTIF(독서목록!$C$2:$C$1091, B111)&gt;0, COUNTIF(독서목록!$C$2:$C$1091, B111))</f>
        <v>#NAME?</v>
      </c>
      <c r="F111" s="12" t="e">
        <f ca="1">_xludf.IFS(COUNTIF(보류목록!$C$3:$C$1000, B111)&gt;0, "-",COUNTIF(독서목록!$D$2:$D$1091, B111)=0, , COUNTIF(독서목록!$D$2:$D$1091, B111)&gt;0, COUNTIF(독서목록!$D$2:$D$1091, B111))</f>
        <v>#NAME?</v>
      </c>
      <c r="G111" s="13" t="s">
        <v>322</v>
      </c>
      <c r="H111" s="14"/>
      <c r="I111" s="14"/>
    </row>
    <row r="112" spans="1:9" ht="16.5" customHeight="1">
      <c r="A112" s="9"/>
      <c r="B112" s="10" t="s">
        <v>323</v>
      </c>
      <c r="C112" s="11" t="s">
        <v>324</v>
      </c>
      <c r="D112" s="11" t="s">
        <v>321</v>
      </c>
      <c r="E112" s="12" t="e">
        <f ca="1">_xludf.IFS(COUNTIF(보류목록!$B$3:$B$1000, B112)&gt;0, "-",COUNTIF(독서목록!$C$2:$C$1091, B112)=0, , COUNTIF(독서목록!$C$2:$C$1091, B112)&gt;0, COUNTIF(독서목록!$C$2:$C$1091, B112))</f>
        <v>#NAME?</v>
      </c>
      <c r="F112" s="12" t="e">
        <f ca="1">_xludf.IFS(COUNTIF(보류목록!$C$3:$C$1000, B112)&gt;0, "-",COUNTIF(독서목록!$D$2:$D$1091, B112)=0, , COUNTIF(독서목록!$D$2:$D$1091, B112)&gt;0, COUNTIF(독서목록!$D$2:$D$1091, B112))</f>
        <v>#NAME?</v>
      </c>
      <c r="G112" s="13" t="s">
        <v>322</v>
      </c>
      <c r="H112" s="14"/>
      <c r="I112" s="14"/>
    </row>
    <row r="113" spans="1:9" ht="16.5" customHeight="1">
      <c r="A113" s="9"/>
      <c r="B113" s="10" t="s">
        <v>325</v>
      </c>
      <c r="C113" s="11" t="s">
        <v>326</v>
      </c>
      <c r="D113" s="11" t="s">
        <v>327</v>
      </c>
      <c r="E113" s="12" t="e">
        <f ca="1">_xludf.IFS(COUNTIF(보류목록!$B$3:$B$1000, B113)&gt;0, "-",COUNTIF(독서목록!$C$2:$C$1091, B113)=0, , COUNTIF(독서목록!$C$2:$C$1091, B113)&gt;0, COUNTIF(독서목록!$C$2:$C$1091, B113))</f>
        <v>#NAME?</v>
      </c>
      <c r="F113" s="12" t="e">
        <f ca="1">_xludf.IFS(COUNTIF(보류목록!$C$3:$C$1000, B113)&gt;0, "-",COUNTIF(독서목록!$D$2:$D$1091, B113)=0, , COUNTIF(독서목록!$D$2:$D$1091, B113)&gt;0, COUNTIF(독서목록!$D$2:$D$1091, B113))</f>
        <v>#NAME?</v>
      </c>
      <c r="G113" s="13" t="s">
        <v>322</v>
      </c>
      <c r="H113" s="14"/>
      <c r="I113" s="14"/>
    </row>
    <row r="114" spans="1:9" ht="16.5" customHeight="1">
      <c r="A114" s="9"/>
      <c r="B114" s="10" t="s">
        <v>328</v>
      </c>
      <c r="C114" s="11" t="s">
        <v>329</v>
      </c>
      <c r="D114" s="11" t="s">
        <v>330</v>
      </c>
      <c r="E114" s="12" t="e">
        <f ca="1">_xludf.IFS(COUNTIF(보류목록!$B$3:$B$1000, B114)&gt;0, "-",COUNTIF(독서목록!$C$2:$C$1091, B114)=0, , COUNTIF(독서목록!$C$2:$C$1091, B114)&gt;0, COUNTIF(독서목록!$C$2:$C$1091, B114))</f>
        <v>#NAME?</v>
      </c>
      <c r="F114" s="12" t="e">
        <f ca="1">_xludf.IFS(COUNTIF(보류목록!$C$3:$C$1000, B114)&gt;0, "-",COUNTIF(독서목록!$D$2:$D$1091, B114)=0, , COUNTIF(독서목록!$D$2:$D$1091, B114)&gt;0, COUNTIF(독서목록!$D$2:$D$1091, B114))</f>
        <v>#NAME?</v>
      </c>
      <c r="G114" s="13" t="s">
        <v>331</v>
      </c>
      <c r="H114" s="14"/>
      <c r="I114" s="14"/>
    </row>
    <row r="115" spans="1:9" ht="16.5" customHeight="1">
      <c r="A115" s="9"/>
      <c r="B115" s="10" t="s">
        <v>332</v>
      </c>
      <c r="C115" s="11" t="s">
        <v>63</v>
      </c>
      <c r="D115" s="11" t="s">
        <v>64</v>
      </c>
      <c r="E115" s="12" t="e">
        <f ca="1">_xludf.IFS(COUNTIF(보류목록!$B$3:$B$1000, B115)&gt;0, "-",COUNTIF(독서목록!$C$2:$C$1091, B115)=0, , COUNTIF(독서목록!$C$2:$C$1091, B115)&gt;0, COUNTIF(독서목록!$C$2:$C$1091, B115))</f>
        <v>#NAME?</v>
      </c>
      <c r="F115" s="12" t="e">
        <f ca="1">_xludf.IFS(COUNTIF(보류목록!$C$3:$C$1000, B115)&gt;0, "-",COUNTIF(독서목록!$D$2:$D$1091, B115)=0, , COUNTIF(독서목록!$D$2:$D$1091, B115)&gt;0, COUNTIF(독서목록!$D$2:$D$1091, B115))</f>
        <v>#NAME?</v>
      </c>
      <c r="G115" s="13" t="s">
        <v>331</v>
      </c>
      <c r="H115" s="14" t="s">
        <v>75</v>
      </c>
      <c r="I115" s="14" t="s">
        <v>75</v>
      </c>
    </row>
    <row r="116" spans="1:9" ht="16.5" customHeight="1">
      <c r="A116" s="9"/>
      <c r="B116" s="10" t="s">
        <v>333</v>
      </c>
      <c r="C116" s="11" t="s">
        <v>334</v>
      </c>
      <c r="D116" s="11" t="s">
        <v>335</v>
      </c>
      <c r="E116" s="12" t="e">
        <f ca="1">_xludf.IFS(COUNTIF(보류목록!$B$3:$B$1000, B116)&gt;0, "-",COUNTIF(독서목록!$C$2:$C$1091, B116)=0, , COUNTIF(독서목록!$C$2:$C$1091, B116)&gt;0, COUNTIF(독서목록!$C$2:$C$1091, B116))</f>
        <v>#NAME?</v>
      </c>
      <c r="F116" s="12" t="e">
        <f ca="1">_xludf.IFS(COUNTIF(보류목록!$C$3:$C$1000, B116)&gt;0, "-",COUNTIF(독서목록!$D$2:$D$1091, B116)=0, , COUNTIF(독서목록!$D$2:$D$1091, B116)&gt;0, COUNTIF(독서목록!$D$2:$D$1091, B116))</f>
        <v>#NAME?</v>
      </c>
      <c r="G116" s="13" t="s">
        <v>331</v>
      </c>
      <c r="H116" s="14" t="s">
        <v>75</v>
      </c>
      <c r="I116" s="14" t="s">
        <v>75</v>
      </c>
    </row>
    <row r="117" spans="1:9" ht="16.5" customHeight="1">
      <c r="A117" s="9"/>
      <c r="B117" s="10" t="s">
        <v>336</v>
      </c>
      <c r="C117" s="11" t="s">
        <v>337</v>
      </c>
      <c r="D117" s="11" t="s">
        <v>338</v>
      </c>
      <c r="E117" s="12" t="e">
        <f ca="1">_xludf.IFS(COUNTIF(보류목록!$B$3:$B$1000, B117)&gt;0, "-",COUNTIF(독서목록!$C$2:$C$1091, B117)=0, , COUNTIF(독서목록!$C$2:$C$1091, B117)&gt;0, COUNTIF(독서목록!$C$2:$C$1091, B117))</f>
        <v>#NAME?</v>
      </c>
      <c r="F117" s="12" t="e">
        <f ca="1">_xludf.IFS(COUNTIF(보류목록!$C$3:$C$1000, B117)&gt;0, "-",COUNTIF(독서목록!$D$2:$D$1091, B117)=0, , COUNTIF(독서목록!$D$2:$D$1091, B117)&gt;0, COUNTIF(독서목록!$D$2:$D$1091, B117))</f>
        <v>#NAME?</v>
      </c>
      <c r="G117" s="13" t="s">
        <v>339</v>
      </c>
      <c r="H117" s="14" t="s">
        <v>75</v>
      </c>
      <c r="I117" s="14" t="s">
        <v>75</v>
      </c>
    </row>
    <row r="118" spans="1:9" ht="16.5" customHeight="1">
      <c r="A118" s="9"/>
      <c r="B118" s="10" t="s">
        <v>340</v>
      </c>
      <c r="C118" s="11" t="s">
        <v>111</v>
      </c>
      <c r="D118" s="11" t="s">
        <v>7</v>
      </c>
      <c r="E118" s="12" t="e">
        <f ca="1">_xludf.IFS(COUNTIF(보류목록!$B$3:$B$1000, B118)&gt;0, "-",COUNTIF(독서목록!$C$2:$C$1091, B118)=0, , COUNTIF(독서목록!$C$2:$C$1091, B118)&gt;0, COUNTIF(독서목록!$C$2:$C$1091, B118))</f>
        <v>#NAME?</v>
      </c>
      <c r="F118" s="12" t="e">
        <f ca="1">_xludf.IFS(COUNTIF(보류목록!$C$3:$C$1000, B118)&gt;0, "-",COUNTIF(독서목록!$D$2:$D$1091, B118)=0, , COUNTIF(독서목록!$D$2:$D$1091, B118)&gt;0, COUNTIF(독서목록!$D$2:$D$1091, B118))</f>
        <v>#NAME?</v>
      </c>
      <c r="G118" s="13" t="s">
        <v>339</v>
      </c>
      <c r="H118" s="14"/>
      <c r="I118" s="14"/>
    </row>
    <row r="119" spans="1:9" ht="16.5" customHeight="1">
      <c r="A119" s="9"/>
      <c r="B119" s="10" t="s">
        <v>341</v>
      </c>
      <c r="C119" s="11" t="s">
        <v>342</v>
      </c>
      <c r="D119" s="11" t="s">
        <v>343</v>
      </c>
      <c r="E119" s="12" t="e">
        <f ca="1">_xludf.IFS(COUNTIF(보류목록!$B$3:$B$1000, B119)&gt;0, "-",COUNTIF(독서목록!$C$2:$C$1091, B119)=0, , COUNTIF(독서목록!$C$2:$C$1091, B119)&gt;0, COUNTIF(독서목록!$C$2:$C$1091, B119))</f>
        <v>#NAME?</v>
      </c>
      <c r="F119" s="12" t="e">
        <f ca="1">_xludf.IFS(COUNTIF(보류목록!$C$3:$C$1000, B119)&gt;0, "-",COUNTIF(독서목록!$D$2:$D$1091, B119)=0, , COUNTIF(독서목록!$D$2:$D$1091, B119)&gt;0, COUNTIF(독서목록!$D$2:$D$1091, B119))</f>
        <v>#NAME?</v>
      </c>
      <c r="G119" s="13" t="s">
        <v>339</v>
      </c>
      <c r="H119" s="14"/>
      <c r="I119" s="14"/>
    </row>
    <row r="120" spans="1:9" ht="16.5" customHeight="1">
      <c r="A120" s="9"/>
      <c r="B120" s="10" t="s">
        <v>344</v>
      </c>
      <c r="C120" s="11" t="s">
        <v>345</v>
      </c>
      <c r="D120" s="11" t="s">
        <v>346</v>
      </c>
      <c r="E120" s="12" t="e">
        <f ca="1">_xludf.IFS(COUNTIF(보류목록!$B$3:$B$1000, B120)&gt;0, "-",COUNTIF(독서목록!$C$2:$C$1091, B120)=0, , COUNTIF(독서목록!$C$2:$C$1091, B120)&gt;0, COUNTIF(독서목록!$C$2:$C$1091, B120))</f>
        <v>#NAME?</v>
      </c>
      <c r="F120" s="12" t="e">
        <f ca="1">_xludf.IFS(COUNTIF(보류목록!$C$3:$C$1000, B120)&gt;0, "-",COUNTIF(독서목록!$D$2:$D$1091, B120)=0, , COUNTIF(독서목록!$D$2:$D$1091, B120)&gt;0, COUNTIF(독서목록!$D$2:$D$1091, B120))</f>
        <v>#NAME?</v>
      </c>
      <c r="G120" s="13" t="s">
        <v>347</v>
      </c>
      <c r="H120" s="14"/>
      <c r="I120" s="14"/>
    </row>
    <row r="121" spans="1:9" ht="16.5" customHeight="1">
      <c r="A121" s="9"/>
      <c r="B121" s="10" t="s">
        <v>348</v>
      </c>
      <c r="C121" s="11" t="s">
        <v>349</v>
      </c>
      <c r="D121" s="11" t="s">
        <v>327</v>
      </c>
      <c r="E121" s="12" t="e">
        <f ca="1">_xludf.IFS(COUNTIF(보류목록!$B$3:$B$1000, B121)&gt;0, "-",COUNTIF(독서목록!$C$2:$C$1091, B121)=0, , COUNTIF(독서목록!$C$2:$C$1091, B121)&gt;0, COUNTIF(독서목록!$C$2:$C$1091, B121))</f>
        <v>#NAME?</v>
      </c>
      <c r="F121" s="12" t="e">
        <f ca="1">_xludf.IFS(COUNTIF(보류목록!$C$3:$C$1000, B121)&gt;0, "-",COUNTIF(독서목록!$D$2:$D$1091, B121)=0, , COUNTIF(독서목록!$D$2:$D$1091, B121)&gt;0, COUNTIF(독서목록!$D$2:$D$1091, B121))</f>
        <v>#NAME?</v>
      </c>
      <c r="G121" s="13" t="s">
        <v>347</v>
      </c>
      <c r="H121" s="14"/>
      <c r="I121" s="14"/>
    </row>
    <row r="122" spans="1:9" ht="16.5" customHeight="1">
      <c r="A122" s="9"/>
      <c r="B122" s="10" t="s">
        <v>350</v>
      </c>
      <c r="C122" s="11" t="s">
        <v>351</v>
      </c>
      <c r="D122" s="11" t="s">
        <v>352</v>
      </c>
      <c r="E122" s="12" t="e">
        <f ca="1">_xludf.IFS(COUNTIF(보류목록!$B$3:$B$1000, B122)&gt;0, "-",COUNTIF(독서목록!$C$2:$C$1091, B122)=0, , COUNTIF(독서목록!$C$2:$C$1091, B122)&gt;0, COUNTIF(독서목록!$C$2:$C$1091, B122))</f>
        <v>#NAME?</v>
      </c>
      <c r="F122" s="12" t="e">
        <f ca="1">_xludf.IFS(COUNTIF(보류목록!$C$3:$C$1000, B122)&gt;0, "-",COUNTIF(독서목록!$D$2:$D$1091, B122)=0, , COUNTIF(독서목록!$D$2:$D$1091, B122)&gt;0, COUNTIF(독서목록!$D$2:$D$1091, B122))</f>
        <v>#NAME?</v>
      </c>
      <c r="G122" s="13" t="s">
        <v>347</v>
      </c>
      <c r="H122" s="14"/>
      <c r="I122" s="14"/>
    </row>
    <row r="123" spans="1:9" ht="16.5" customHeight="1">
      <c r="A123" s="9"/>
      <c r="B123" s="10" t="s">
        <v>353</v>
      </c>
      <c r="C123" s="11" t="s">
        <v>354</v>
      </c>
      <c r="D123" s="11" t="s">
        <v>226</v>
      </c>
      <c r="E123" s="12" t="e">
        <f ca="1">_xludf.IFS(COUNTIF(보류목록!$B$3:$B$1000, B123)&gt;0, "-",COUNTIF(독서목록!$C$2:$C$1091, B123)=0, , COUNTIF(독서목록!$C$2:$C$1091, B123)&gt;0, COUNTIF(독서목록!$C$2:$C$1091, B123))</f>
        <v>#NAME?</v>
      </c>
      <c r="F123" s="12" t="e">
        <f ca="1">_xludf.IFS(COUNTIF(보류목록!$C$3:$C$1000, B123)&gt;0, "-",COUNTIF(독서목록!$D$2:$D$1091, B123)=0, , COUNTIF(독서목록!$D$2:$D$1091, B123)&gt;0, COUNTIF(독서목록!$D$2:$D$1091, B123))</f>
        <v>#NAME?</v>
      </c>
      <c r="G123" s="13" t="s">
        <v>355</v>
      </c>
      <c r="H123" s="14"/>
      <c r="I123" s="14"/>
    </row>
    <row r="124" spans="1:9" ht="16.5" customHeight="1">
      <c r="A124" s="9"/>
      <c r="B124" s="10" t="s">
        <v>356</v>
      </c>
      <c r="C124" s="11" t="s">
        <v>357</v>
      </c>
      <c r="D124" s="11" t="s">
        <v>15</v>
      </c>
      <c r="E124" s="12" t="e">
        <f ca="1">_xludf.IFS(COUNTIF(보류목록!$B$3:$B$1000, B124)&gt;0, "-",COUNTIF(독서목록!$C$2:$C$1091, B124)=0, , COUNTIF(독서목록!$C$2:$C$1091, B124)&gt;0, COUNTIF(독서목록!$C$2:$C$1091, B124))</f>
        <v>#NAME?</v>
      </c>
      <c r="F124" s="12" t="e">
        <f ca="1">_xludf.IFS(COUNTIF(보류목록!$C$3:$C$1000, B124)&gt;0, "-",COUNTIF(독서목록!$D$2:$D$1091, B124)=0, , COUNTIF(독서목록!$D$2:$D$1091, B124)&gt;0, COUNTIF(독서목록!$D$2:$D$1091, B124))</f>
        <v>#NAME?</v>
      </c>
      <c r="G124" s="13" t="s">
        <v>358</v>
      </c>
      <c r="H124" s="14" t="s">
        <v>75</v>
      </c>
      <c r="I124" s="14" t="s">
        <v>75</v>
      </c>
    </row>
    <row r="125" spans="1:9" ht="16.5" customHeight="1">
      <c r="A125" s="9"/>
      <c r="B125" s="10" t="s">
        <v>359</v>
      </c>
      <c r="C125" s="11" t="s">
        <v>360</v>
      </c>
      <c r="D125" s="11" t="s">
        <v>361</v>
      </c>
      <c r="E125" s="12" t="e">
        <f ca="1">_xludf.IFS(COUNTIF(보류목록!$B$3:$B$1000, B125)&gt;0, "-",COUNTIF(독서목록!$C$2:$C$1091, B125)=0, , COUNTIF(독서목록!$C$2:$C$1091, B125)&gt;0, COUNTIF(독서목록!$C$2:$C$1091, B125))</f>
        <v>#NAME?</v>
      </c>
      <c r="F125" s="12" t="e">
        <f ca="1">_xludf.IFS(COUNTIF(보류목록!$C$3:$C$1000, B125)&gt;0, "-",COUNTIF(독서목록!$D$2:$D$1091, B125)=0, , COUNTIF(독서목록!$D$2:$D$1091, B125)&gt;0, COUNTIF(독서목록!$D$2:$D$1091, B125))</f>
        <v>#NAME?</v>
      </c>
      <c r="G125" s="13" t="s">
        <v>358</v>
      </c>
      <c r="H125" s="14" t="s">
        <v>75</v>
      </c>
      <c r="I125" s="14" t="s">
        <v>75</v>
      </c>
    </row>
    <row r="126" spans="1:9" ht="16.5" customHeight="1">
      <c r="A126" s="9"/>
      <c r="B126" s="10" t="s">
        <v>362</v>
      </c>
      <c r="C126" s="11" t="s">
        <v>363</v>
      </c>
      <c r="D126" s="11" t="s">
        <v>364</v>
      </c>
      <c r="E126" s="12" t="e">
        <f ca="1">_xludf.IFS(COUNTIF(보류목록!$B$3:$B$1000, B126)&gt;0, "-",COUNTIF(독서목록!$C$2:$C$1091, B126)=0, , COUNTIF(독서목록!$C$2:$C$1091, B126)&gt;0, COUNTIF(독서목록!$C$2:$C$1091, B126))</f>
        <v>#NAME?</v>
      </c>
      <c r="F126" s="12" t="e">
        <f ca="1">_xludf.IFS(COUNTIF(보류목록!$C$3:$C$1000, B126)&gt;0, "-",COUNTIF(독서목록!$D$2:$D$1091, B126)=0, , COUNTIF(독서목록!$D$2:$D$1091, B126)&gt;0, COUNTIF(독서목록!$D$2:$D$1091, B126))</f>
        <v>#NAME?</v>
      </c>
      <c r="G126" s="13" t="s">
        <v>358</v>
      </c>
      <c r="H126" s="14"/>
      <c r="I126" s="14"/>
    </row>
    <row r="127" spans="1:9" ht="16.5" customHeight="1">
      <c r="A127" s="9"/>
      <c r="B127" s="10" t="s">
        <v>365</v>
      </c>
      <c r="C127" s="11" t="s">
        <v>366</v>
      </c>
      <c r="D127" s="11" t="s">
        <v>367</v>
      </c>
      <c r="E127" s="12" t="e">
        <f ca="1">_xludf.IFS(COUNTIF(보류목록!$B$3:$B$1000, B127)&gt;0, "-",COUNTIF(독서목록!$C$2:$C$1091, B127)=0, , COUNTIF(독서목록!$C$2:$C$1091, B127)&gt;0, COUNTIF(독서목록!$C$2:$C$1091, B127))</f>
        <v>#NAME?</v>
      </c>
      <c r="F127" s="12" t="e">
        <f ca="1">_xludf.IFS(COUNTIF(보류목록!$C$3:$C$1000, B127)&gt;0, "-",COUNTIF(독서목록!$D$2:$D$1091, B127)=0, , COUNTIF(독서목록!$D$2:$D$1091, B127)&gt;0, COUNTIF(독서목록!$D$2:$D$1091, B127))</f>
        <v>#NAME?</v>
      </c>
      <c r="G127" s="13" t="s">
        <v>368</v>
      </c>
      <c r="H127" s="14"/>
      <c r="I127" s="14"/>
    </row>
    <row r="128" spans="1:9" ht="16.5" customHeight="1">
      <c r="A128" s="9"/>
      <c r="B128" s="10" t="s">
        <v>369</v>
      </c>
      <c r="C128" s="11" t="s">
        <v>370</v>
      </c>
      <c r="D128" s="11" t="s">
        <v>39</v>
      </c>
      <c r="E128" s="12" t="e">
        <f ca="1">_xludf.IFS(COUNTIF(보류목록!$B$3:$B$1000, B128)&gt;0, "-",COUNTIF(독서목록!$C$2:$C$1091, B128)=0, , COUNTIF(독서목록!$C$2:$C$1091, B128)&gt;0, COUNTIF(독서목록!$C$2:$C$1091, B128))</f>
        <v>#NAME?</v>
      </c>
      <c r="F128" s="12" t="e">
        <f ca="1">_xludf.IFS(COUNTIF(보류목록!$C$3:$C$1000, B128)&gt;0, "-",COUNTIF(독서목록!$D$2:$D$1091, B128)=0, , COUNTIF(독서목록!$D$2:$D$1091, B128)&gt;0, COUNTIF(독서목록!$D$2:$D$1091, B128))</f>
        <v>#NAME?</v>
      </c>
      <c r="G128" s="13" t="s">
        <v>371</v>
      </c>
      <c r="H128" s="14"/>
      <c r="I128" s="14"/>
    </row>
    <row r="129" spans="1:9" ht="16.5" customHeight="1">
      <c r="A129" s="9"/>
      <c r="B129" s="10" t="s">
        <v>372</v>
      </c>
      <c r="C129" s="11" t="s">
        <v>373</v>
      </c>
      <c r="D129" s="11" t="s">
        <v>7</v>
      </c>
      <c r="E129" s="12" t="e">
        <f ca="1">_xludf.IFS(COUNTIF(보류목록!$B$3:$B$1000, B129)&gt;0, "-",COUNTIF(독서목록!$C$2:$C$1091, B129)=0, , COUNTIF(독서목록!$C$2:$C$1091, B129)&gt;0, COUNTIF(독서목록!$C$2:$C$1091, B129))</f>
        <v>#NAME?</v>
      </c>
      <c r="F129" s="12" t="e">
        <f ca="1">_xludf.IFS(COUNTIF(보류목록!$C$3:$C$1000, B129)&gt;0, "-",COUNTIF(독서목록!$D$2:$D$1091, B129)=0, , COUNTIF(독서목록!$D$2:$D$1091, B129)&gt;0, COUNTIF(독서목록!$D$2:$D$1091, B129))</f>
        <v>#NAME?</v>
      </c>
      <c r="G129" s="13" t="s">
        <v>371</v>
      </c>
      <c r="H129" s="14" t="s">
        <v>75</v>
      </c>
      <c r="I129" s="14" t="s">
        <v>75</v>
      </c>
    </row>
    <row r="130" spans="1:9" ht="16.5" customHeight="1">
      <c r="A130" s="9"/>
      <c r="B130" s="10" t="s">
        <v>374</v>
      </c>
      <c r="C130" s="11" t="s">
        <v>375</v>
      </c>
      <c r="D130" s="11" t="s">
        <v>7</v>
      </c>
      <c r="E130" s="12" t="e">
        <f ca="1">_xludf.IFS(COUNTIF(보류목록!$B$3:$B$1000, B130)&gt;0, "-",COUNTIF(독서목록!$C$2:$C$1091, B130)=0, , COUNTIF(독서목록!$C$2:$C$1091, B130)&gt;0, COUNTIF(독서목록!$C$2:$C$1091, B130))</f>
        <v>#NAME?</v>
      </c>
      <c r="F130" s="12" t="e">
        <f ca="1">_xludf.IFS(COUNTIF(보류목록!$C$3:$C$1000, B130)&gt;0, "-",COUNTIF(독서목록!$D$2:$D$1091, B130)=0, , COUNTIF(독서목록!$D$2:$D$1091, B130)&gt;0, COUNTIF(독서목록!$D$2:$D$1091, B130))</f>
        <v>#NAME?</v>
      </c>
      <c r="G130" s="13" t="s">
        <v>371</v>
      </c>
      <c r="H130" s="14"/>
      <c r="I130" s="14"/>
    </row>
    <row r="131" spans="1:9" ht="16.5" customHeight="1">
      <c r="A131" s="9"/>
      <c r="B131" s="10" t="s">
        <v>376</v>
      </c>
      <c r="C131" s="11" t="s">
        <v>111</v>
      </c>
      <c r="D131" s="11" t="s">
        <v>7</v>
      </c>
      <c r="E131" s="12" t="e">
        <f ca="1">_xludf.IFS(COUNTIF(보류목록!$B$3:$B$1000, B131)&gt;0, "-",COUNTIF(독서목록!$C$2:$C$1091, B131)=0, , COUNTIF(독서목록!$C$2:$C$1091, B131)&gt;0, COUNTIF(독서목록!$C$2:$C$1091, B131))</f>
        <v>#NAME?</v>
      </c>
      <c r="F131" s="12" t="e">
        <f ca="1">_xludf.IFS(COUNTIF(보류목록!$C$3:$C$1000, B131)&gt;0, "-",COUNTIF(독서목록!$D$2:$D$1091, B131)=0, , COUNTIF(독서목록!$D$2:$D$1091, B131)&gt;0, COUNTIF(독서목록!$D$2:$D$1091, B131))</f>
        <v>#NAME?</v>
      </c>
      <c r="G131" s="13" t="s">
        <v>371</v>
      </c>
      <c r="H131" s="14"/>
      <c r="I131" s="14"/>
    </row>
    <row r="132" spans="1:9" ht="16.5" customHeight="1">
      <c r="A132" s="9"/>
      <c r="B132" s="10" t="s">
        <v>377</v>
      </c>
      <c r="C132" s="11" t="s">
        <v>378</v>
      </c>
      <c r="D132" s="11" t="s">
        <v>15</v>
      </c>
      <c r="E132" s="12" t="e">
        <f ca="1">_xludf.IFS(COUNTIF(보류목록!$B$3:$B$1000, B132)&gt;0, "-",COUNTIF(독서목록!$C$2:$C$1091, B132)=0, , COUNTIF(독서목록!$C$2:$C$1091, B132)&gt;0, COUNTIF(독서목록!$C$2:$C$1091, B132))</f>
        <v>#NAME?</v>
      </c>
      <c r="F132" s="12" t="e">
        <f ca="1">_xludf.IFS(COUNTIF(보류목록!$C$3:$C$1000, B132)&gt;0, "-",COUNTIF(독서목록!$D$2:$D$1091, B132)=0, , COUNTIF(독서목록!$D$2:$D$1091, B132)&gt;0, COUNTIF(독서목록!$D$2:$D$1091, B132))</f>
        <v>#NAME?</v>
      </c>
      <c r="G132" s="13" t="s">
        <v>371</v>
      </c>
      <c r="H132" s="14" t="s">
        <v>75</v>
      </c>
      <c r="I132" s="14" t="s">
        <v>75</v>
      </c>
    </row>
    <row r="133" spans="1:9" ht="16.5" customHeight="1">
      <c r="A133" s="9"/>
      <c r="B133" s="10" t="s">
        <v>379</v>
      </c>
      <c r="C133" s="11" t="s">
        <v>380</v>
      </c>
      <c r="D133" s="11" t="s">
        <v>381</v>
      </c>
      <c r="E133" s="12" t="e">
        <f ca="1">_xludf.IFS(COUNTIF(보류목록!$B$3:$B$1000, B133)&gt;0, "-",COUNTIF(독서목록!$C$2:$C$1091, B133)=0, , COUNTIF(독서목록!$C$2:$C$1091, B133)&gt;0, COUNTIF(독서목록!$C$2:$C$1091, B133))</f>
        <v>#NAME?</v>
      </c>
      <c r="F133" s="12" t="e">
        <f ca="1">_xludf.IFS(COUNTIF(보류목록!$C$3:$C$1000, B133)&gt;0, "-",COUNTIF(독서목록!$D$2:$D$1091, B133)=0, , COUNTIF(독서목록!$D$2:$D$1091, B133)&gt;0, COUNTIF(독서목록!$D$2:$D$1091, B133))</f>
        <v>#NAME?</v>
      </c>
      <c r="G133" s="13" t="s">
        <v>382</v>
      </c>
      <c r="H133" s="14"/>
      <c r="I133" s="14"/>
    </row>
    <row r="134" spans="1:9" ht="16.5" customHeight="1">
      <c r="A134" s="9"/>
      <c r="B134" s="10" t="s">
        <v>383</v>
      </c>
      <c r="C134" s="11" t="s">
        <v>225</v>
      </c>
      <c r="D134" s="11" t="s">
        <v>226</v>
      </c>
      <c r="E134" s="12" t="e">
        <f ca="1">_xludf.IFS(COUNTIF(보류목록!$B$3:$B$1000, B134)&gt;0, "-",COUNTIF(독서목록!$C$2:$C$1091, B134)=0, , COUNTIF(독서목록!$C$2:$C$1091, B134)&gt;0, COUNTIF(독서목록!$C$2:$C$1091, B134))</f>
        <v>#NAME?</v>
      </c>
      <c r="F134" s="12" t="e">
        <f ca="1">_xludf.IFS(COUNTIF(보류목록!$C$3:$C$1000, B134)&gt;0, "-",COUNTIF(독서목록!$D$2:$D$1091, B134)=0, , COUNTIF(독서목록!$D$2:$D$1091, B134)&gt;0, COUNTIF(독서목록!$D$2:$D$1091, B134))</f>
        <v>#NAME?</v>
      </c>
      <c r="G134" s="13" t="s">
        <v>384</v>
      </c>
      <c r="H134" s="14"/>
      <c r="I134" s="14"/>
    </row>
    <row r="135" spans="1:9" ht="16.5" customHeight="1">
      <c r="A135" s="9"/>
      <c r="B135" s="10" t="s">
        <v>385</v>
      </c>
      <c r="C135" s="11" t="s">
        <v>386</v>
      </c>
      <c r="D135" s="11" t="s">
        <v>387</v>
      </c>
      <c r="E135" s="12" t="e">
        <f ca="1">_xludf.IFS(COUNTIF(보류목록!$B$3:$B$1000, B135)&gt;0, "-",COUNTIF(독서목록!$C$2:$C$1091, B135)=0, , COUNTIF(독서목록!$C$2:$C$1091, B135)&gt;0, COUNTIF(독서목록!$C$2:$C$1091, B135))</f>
        <v>#NAME?</v>
      </c>
      <c r="F135" s="12" t="e">
        <f ca="1">_xludf.IFS(COUNTIF(보류목록!$C$3:$C$1000, B135)&gt;0, "-",COUNTIF(독서목록!$D$2:$D$1091, B135)=0, , COUNTIF(독서목록!$D$2:$D$1091, B135)&gt;0, COUNTIF(독서목록!$D$2:$D$1091, B135))</f>
        <v>#NAME?</v>
      </c>
      <c r="G135" s="13" t="s">
        <v>384</v>
      </c>
      <c r="H135" s="14" t="s">
        <v>75</v>
      </c>
      <c r="I135" s="14" t="s">
        <v>75</v>
      </c>
    </row>
    <row r="136" spans="1:9" ht="16.5" customHeight="1">
      <c r="A136" s="9"/>
      <c r="B136" s="10" t="s">
        <v>388</v>
      </c>
      <c r="C136" s="11" t="s">
        <v>389</v>
      </c>
      <c r="D136" s="11" t="s">
        <v>390</v>
      </c>
      <c r="E136" s="12" t="e">
        <f ca="1">_xludf.IFS(COUNTIF(보류목록!$B$3:$B$1000, B136)&gt;0, "-",COUNTIF(독서목록!$C$2:$C$1091, B136)=0, , COUNTIF(독서목록!$C$2:$C$1091, B136)&gt;0, COUNTIF(독서목록!$C$2:$C$1091, B136))</f>
        <v>#NAME?</v>
      </c>
      <c r="F136" s="12" t="e">
        <f ca="1">_xludf.IFS(COUNTIF(보류목록!$C$3:$C$1000, B136)&gt;0, "-",COUNTIF(독서목록!$D$2:$D$1091, B136)=0, , COUNTIF(독서목록!$D$2:$D$1091, B136)&gt;0, COUNTIF(독서목록!$D$2:$D$1091, B136))</f>
        <v>#NAME?</v>
      </c>
      <c r="G136" s="13" t="s">
        <v>384</v>
      </c>
      <c r="H136" s="14"/>
      <c r="I136" s="14"/>
    </row>
    <row r="137" spans="1:9" ht="16.5" customHeight="1">
      <c r="A137" s="9"/>
      <c r="B137" s="10" t="s">
        <v>391</v>
      </c>
      <c r="C137" s="11" t="s">
        <v>392</v>
      </c>
      <c r="D137" s="11" t="s">
        <v>277</v>
      </c>
      <c r="E137" s="12" t="e">
        <f ca="1">_xludf.IFS(COUNTIF(보류목록!$B$3:$B$1000, B137)&gt;0, "-",COUNTIF(독서목록!$C$2:$C$1091, B137)=0, , COUNTIF(독서목록!$C$2:$C$1091, B137)&gt;0, COUNTIF(독서목록!$C$2:$C$1091, B137))</f>
        <v>#NAME?</v>
      </c>
      <c r="F137" s="12" t="e">
        <f ca="1">_xludf.IFS(COUNTIF(보류목록!$C$3:$C$1000, B137)&gt;0, "-",COUNTIF(독서목록!$D$2:$D$1091, B137)=0, , COUNTIF(독서목록!$D$2:$D$1091, B137)&gt;0, COUNTIF(독서목록!$D$2:$D$1091, B137))</f>
        <v>#NAME?</v>
      </c>
      <c r="G137" s="13" t="s">
        <v>384</v>
      </c>
      <c r="H137" s="14" t="s">
        <v>75</v>
      </c>
      <c r="I137" s="14" t="s">
        <v>75</v>
      </c>
    </row>
    <row r="138" spans="1:9" ht="16.5" customHeight="1">
      <c r="A138" s="9"/>
      <c r="B138" s="10" t="s">
        <v>393</v>
      </c>
      <c r="C138" s="11" t="s">
        <v>394</v>
      </c>
      <c r="D138" s="11" t="s">
        <v>395</v>
      </c>
      <c r="E138" s="12" t="e">
        <f ca="1">_xludf.IFS(COUNTIF(보류목록!$B$3:$B$1000, B138)&gt;0, "-",COUNTIF(독서목록!$C$2:$C$1091, B138)=0, , COUNTIF(독서목록!$C$2:$C$1091, B138)&gt;0, COUNTIF(독서목록!$C$2:$C$1091, B138))</f>
        <v>#NAME?</v>
      </c>
      <c r="F138" s="12" t="e">
        <f ca="1">_xludf.IFS(COUNTIF(보류목록!$C$3:$C$1000, B138)&gt;0, "-",COUNTIF(독서목록!$D$2:$D$1091, B138)=0, , COUNTIF(독서목록!$D$2:$D$1091, B138)&gt;0, COUNTIF(독서목록!$D$2:$D$1091, B138))</f>
        <v>#NAME?</v>
      </c>
      <c r="G138" s="13" t="s">
        <v>396</v>
      </c>
      <c r="H138" s="14"/>
      <c r="I138" s="14"/>
    </row>
    <row r="139" spans="1:9" ht="16.5" customHeight="1">
      <c r="A139" s="9"/>
      <c r="B139" s="10" t="s">
        <v>397</v>
      </c>
      <c r="C139" s="11" t="s">
        <v>38</v>
      </c>
      <c r="D139" s="11" t="s">
        <v>398</v>
      </c>
      <c r="E139" s="12" t="e">
        <f ca="1">_xludf.IFS(COUNTIF(보류목록!$B$3:$B$1000, B139)&gt;0, "-",COUNTIF(독서목록!$C$2:$C$1091, B139)=0, , COUNTIF(독서목록!$C$2:$C$1091, B139)&gt;0, COUNTIF(독서목록!$C$2:$C$1091, B139))</f>
        <v>#NAME?</v>
      </c>
      <c r="F139" s="12" t="e">
        <f ca="1">_xludf.IFS(COUNTIF(보류목록!$C$3:$C$1000, B139)&gt;0, "-",COUNTIF(독서목록!$D$2:$D$1091, B139)=0, , COUNTIF(독서목록!$D$2:$D$1091, B139)&gt;0, COUNTIF(독서목록!$D$2:$D$1091, B139))</f>
        <v>#NAME?</v>
      </c>
      <c r="G139" s="13" t="s">
        <v>399</v>
      </c>
      <c r="H139" s="14"/>
      <c r="I139" s="14"/>
    </row>
    <row r="140" spans="1:9" ht="16.5" customHeight="1">
      <c r="A140" s="9"/>
      <c r="B140" s="10" t="s">
        <v>400</v>
      </c>
      <c r="C140" s="11" t="s">
        <v>401</v>
      </c>
      <c r="D140" s="11" t="s">
        <v>402</v>
      </c>
      <c r="E140" s="12" t="e">
        <f ca="1">_xludf.IFS(COUNTIF(보류목록!$B$3:$B$1000, B140)&gt;0, "-",COUNTIF(독서목록!$C$2:$C$1091, B140)=0, , COUNTIF(독서목록!$C$2:$C$1091, B140)&gt;0, COUNTIF(독서목록!$C$2:$C$1091, B140))</f>
        <v>#NAME?</v>
      </c>
      <c r="F140" s="12" t="e">
        <f ca="1">_xludf.IFS(COUNTIF(보류목록!$C$3:$C$1000, B140)&gt;0, "-",COUNTIF(독서목록!$D$2:$D$1091, B140)=0, , COUNTIF(독서목록!$D$2:$D$1091, B140)&gt;0, COUNTIF(독서목록!$D$2:$D$1091, B140))</f>
        <v>#NAME?</v>
      </c>
      <c r="G140" s="17" t="s">
        <v>403</v>
      </c>
      <c r="H140" s="14"/>
      <c r="I140" s="14"/>
    </row>
    <row r="141" spans="1:9" ht="16.5" customHeight="1">
      <c r="A141" s="9"/>
      <c r="B141" s="10" t="s">
        <v>404</v>
      </c>
      <c r="C141" s="11" t="s">
        <v>405</v>
      </c>
      <c r="D141" s="11" t="s">
        <v>406</v>
      </c>
      <c r="E141" s="12" t="e">
        <f ca="1">_xludf.IFS(COUNTIF(보류목록!$B$3:$B$1000, B141)&gt;0, "-",COUNTIF(독서목록!$C$2:$C$1091, B141)=0, , COUNTIF(독서목록!$C$2:$C$1091, B141)&gt;0, COUNTIF(독서목록!$C$2:$C$1091, B141))</f>
        <v>#NAME?</v>
      </c>
      <c r="F141" s="12" t="e">
        <f ca="1">_xludf.IFS(COUNTIF(보류목록!$C$3:$C$1000, B141)&gt;0, "-",COUNTIF(독서목록!$D$2:$D$1091, B141)=0, , COUNTIF(독서목록!$D$2:$D$1091, B141)&gt;0, COUNTIF(독서목록!$D$2:$D$1091, B141))</f>
        <v>#NAME?</v>
      </c>
      <c r="G141" s="17" t="s">
        <v>403</v>
      </c>
      <c r="H141" s="14"/>
      <c r="I141" s="14"/>
    </row>
    <row r="142" spans="1:9" ht="16.5" customHeight="1">
      <c r="A142" s="9"/>
      <c r="B142" s="10" t="s">
        <v>407</v>
      </c>
      <c r="C142" s="11" t="s">
        <v>408</v>
      </c>
      <c r="D142" s="11" t="s">
        <v>406</v>
      </c>
      <c r="E142" s="12" t="e">
        <f ca="1">_xludf.IFS(COUNTIF(보류목록!$B$3:$B$1000, B142)&gt;0, "-",COUNTIF(독서목록!$C$2:$C$1091, B142)=0, , COUNTIF(독서목록!$C$2:$C$1091, B142)&gt;0, COUNTIF(독서목록!$C$2:$C$1091, B142))</f>
        <v>#NAME?</v>
      </c>
      <c r="F142" s="12" t="e">
        <f ca="1">_xludf.IFS(COUNTIF(보류목록!$C$3:$C$1000, B142)&gt;0, "-",COUNTIF(독서목록!$D$2:$D$1091, B142)=0, , COUNTIF(독서목록!$D$2:$D$1091, B142)&gt;0, COUNTIF(독서목록!$D$2:$D$1091, B142))</f>
        <v>#NAME?</v>
      </c>
      <c r="G142" s="17" t="s">
        <v>403</v>
      </c>
      <c r="H142" s="14"/>
      <c r="I142" s="14"/>
    </row>
    <row r="143" spans="1:9" ht="16.5" customHeight="1">
      <c r="A143" s="9"/>
      <c r="B143" s="10" t="s">
        <v>409</v>
      </c>
      <c r="C143" s="11" t="s">
        <v>410</v>
      </c>
      <c r="D143" s="11" t="s">
        <v>229</v>
      </c>
      <c r="E143" s="12" t="e">
        <f ca="1">_xludf.IFS(COUNTIF(보류목록!$B$3:$B$1000, B143)&gt;0, "-",COUNTIF(독서목록!$C$2:$C$1091, B143)=0, , COUNTIF(독서목록!$C$2:$C$1091, B143)&gt;0, COUNTIF(독서목록!$C$2:$C$1091, B143))</f>
        <v>#NAME?</v>
      </c>
      <c r="F143" s="12" t="e">
        <f ca="1">_xludf.IFS(COUNTIF(보류목록!$C$3:$C$1000, B143)&gt;0, "-",COUNTIF(독서목록!$D$2:$D$1091, B143)=0, , COUNTIF(독서목록!$D$2:$D$1091, B143)&gt;0, COUNTIF(독서목록!$D$2:$D$1091, B143))</f>
        <v>#NAME?</v>
      </c>
      <c r="G143" s="17" t="s">
        <v>403</v>
      </c>
      <c r="H143" s="14"/>
      <c r="I143" s="14"/>
    </row>
    <row r="144" spans="1:9" ht="16.5" customHeight="1">
      <c r="A144" s="9"/>
      <c r="B144" s="10" t="s">
        <v>411</v>
      </c>
      <c r="C144" s="11" t="s">
        <v>412</v>
      </c>
      <c r="D144" s="11" t="s">
        <v>413</v>
      </c>
      <c r="E144" s="12" t="e">
        <f ca="1">_xludf.IFS(COUNTIF(보류목록!$B$3:$B$1000, B144)&gt;0, "-",COUNTIF(독서목록!$C$2:$C$1091, B144)=0, , COUNTIF(독서목록!$C$2:$C$1091, B144)&gt;0, COUNTIF(독서목록!$C$2:$C$1091, B144))</f>
        <v>#NAME?</v>
      </c>
      <c r="F144" s="12" t="e">
        <f ca="1">_xludf.IFS(COUNTIF(보류목록!$C$3:$C$1000, B144)&gt;0, "-",COUNTIF(독서목록!$D$2:$D$1091, B144)=0, , COUNTIF(독서목록!$D$2:$D$1091, B144)&gt;0, COUNTIF(독서목록!$D$2:$D$1091, B144))</f>
        <v>#NAME?</v>
      </c>
      <c r="G144" s="17" t="s">
        <v>403</v>
      </c>
      <c r="H144" s="14" t="s">
        <v>75</v>
      </c>
      <c r="I144" s="14" t="s">
        <v>75</v>
      </c>
    </row>
    <row r="145" spans="1:9" ht="16.5" customHeight="1">
      <c r="A145" s="9"/>
      <c r="B145" s="10" t="s">
        <v>414</v>
      </c>
      <c r="C145" s="11" t="s">
        <v>415</v>
      </c>
      <c r="D145" s="11" t="s">
        <v>306</v>
      </c>
      <c r="E145" s="12" t="e">
        <f ca="1">_xludf.IFS(COUNTIF(보류목록!$B$3:$B$1000, B145)&gt;0, "-",COUNTIF(독서목록!$C$2:$C$1091, B145)=0, , COUNTIF(독서목록!$C$2:$C$1091, B145)&gt;0, COUNTIF(독서목록!$C$2:$C$1091, B145))</f>
        <v>#NAME?</v>
      </c>
      <c r="F145" s="12" t="e">
        <f ca="1">_xludf.IFS(COUNTIF(보류목록!$C$3:$C$1000, B145)&gt;0, "-",COUNTIF(독서목록!$D$2:$D$1091, B145)=0, , COUNTIF(독서목록!$D$2:$D$1091, B145)&gt;0, COUNTIF(독서목록!$D$2:$D$1091, B145))</f>
        <v>#NAME?</v>
      </c>
      <c r="G145" s="13" t="s">
        <v>416</v>
      </c>
      <c r="H145" s="14" t="s">
        <v>75</v>
      </c>
      <c r="I145" s="14" t="s">
        <v>75</v>
      </c>
    </row>
    <row r="146" spans="1:9" ht="16.5" customHeight="1">
      <c r="A146" s="9"/>
      <c r="B146" s="10" t="s">
        <v>417</v>
      </c>
      <c r="C146" s="11" t="s">
        <v>418</v>
      </c>
      <c r="D146" s="11" t="s">
        <v>229</v>
      </c>
      <c r="E146" s="12" t="e">
        <f ca="1">_xludf.IFS(COUNTIF(보류목록!$B$3:$B$1000, B146)&gt;0, "-",COUNTIF(독서목록!$C$2:$C$1091, B146)=0, , COUNTIF(독서목록!$C$2:$C$1091, B146)&gt;0, COUNTIF(독서목록!$C$2:$C$1091, B146))</f>
        <v>#NAME?</v>
      </c>
      <c r="F146" s="12" t="e">
        <f ca="1">_xludf.IFS(COUNTIF(보류목록!$C$3:$C$1000, B146)&gt;0, "-",COUNTIF(독서목록!$D$2:$D$1091, B146)=0, , COUNTIF(독서목록!$D$2:$D$1091, B146)&gt;0, COUNTIF(독서목록!$D$2:$D$1091, B146))</f>
        <v>#NAME?</v>
      </c>
      <c r="G146" s="13" t="s">
        <v>419</v>
      </c>
      <c r="H146" s="14"/>
      <c r="I146" s="14"/>
    </row>
    <row r="147" spans="1:9" ht="16.5" customHeight="1">
      <c r="A147" s="9"/>
      <c r="B147" s="10" t="s">
        <v>420</v>
      </c>
      <c r="C147" s="11" t="s">
        <v>421</v>
      </c>
      <c r="D147" s="11" t="s">
        <v>422</v>
      </c>
      <c r="E147" s="12" t="e">
        <f ca="1">_xludf.IFS(COUNTIF(보류목록!$B$3:$B$1000, B147)&gt;0, "-",COUNTIF(독서목록!$C$2:$C$1091, B147)=0, , COUNTIF(독서목록!$C$2:$C$1091, B147)&gt;0, COUNTIF(독서목록!$C$2:$C$1091, B147))</f>
        <v>#NAME?</v>
      </c>
      <c r="F147" s="12" t="e">
        <f ca="1">_xludf.IFS(COUNTIF(보류목록!$C$3:$C$1000, B147)&gt;0, "-",COUNTIF(독서목록!$D$2:$D$1091, B147)=0, , COUNTIF(독서목록!$D$2:$D$1091, B147)&gt;0, COUNTIF(독서목록!$D$2:$D$1091, B147))</f>
        <v>#NAME?</v>
      </c>
      <c r="G147" s="13" t="s">
        <v>419</v>
      </c>
      <c r="H147" s="14"/>
      <c r="I147" s="14"/>
    </row>
    <row r="148" spans="1:9" ht="16.5" customHeight="1">
      <c r="A148" s="9"/>
      <c r="B148" s="10" t="s">
        <v>423</v>
      </c>
      <c r="C148" s="11" t="s">
        <v>424</v>
      </c>
      <c r="D148" s="11" t="s">
        <v>196</v>
      </c>
      <c r="E148" s="12" t="e">
        <f ca="1">_xludf.IFS(COUNTIF(보류목록!$B$3:$B$1000, B148)&gt;0, "-",COUNTIF(독서목록!$C$2:$C$1091, B148)=0, , COUNTIF(독서목록!$C$2:$C$1091, B148)&gt;0, COUNTIF(독서목록!$C$2:$C$1091, B148))</f>
        <v>#NAME?</v>
      </c>
      <c r="F148" s="12" t="e">
        <f ca="1">_xludf.IFS(COUNTIF(보류목록!$C$3:$C$1000, B148)&gt;0, "-",COUNTIF(독서목록!$D$2:$D$1091, B148)=0, , COUNTIF(독서목록!$D$2:$D$1091, B148)&gt;0, COUNTIF(독서목록!$D$2:$D$1091, B148))</f>
        <v>#NAME?</v>
      </c>
      <c r="G148" s="13" t="s">
        <v>425</v>
      </c>
      <c r="H148" s="14"/>
      <c r="I148" s="14"/>
    </row>
    <row r="149" spans="1:9" ht="16.5" customHeight="1">
      <c r="A149" s="9"/>
      <c r="B149" s="10" t="s">
        <v>426</v>
      </c>
      <c r="C149" s="11" t="s">
        <v>427</v>
      </c>
      <c r="D149" s="11" t="s">
        <v>226</v>
      </c>
      <c r="E149" s="12" t="e">
        <f ca="1">_xludf.IFS(COUNTIF(보류목록!$B$3:$B$1000, B149)&gt;0, "-",COUNTIF(독서목록!$C$2:$C$1091, B149)=0, , COUNTIF(독서목록!$C$2:$C$1091, B149)&gt;0, COUNTIF(독서목록!$C$2:$C$1091, B149))</f>
        <v>#NAME?</v>
      </c>
      <c r="F149" s="12" t="e">
        <f ca="1">_xludf.IFS(COUNTIF(보류목록!$C$3:$C$1000, B149)&gt;0, "-",COUNTIF(독서목록!$D$2:$D$1091, B149)=0, , COUNTIF(독서목록!$D$2:$D$1091, B149)&gt;0, COUNTIF(독서목록!$D$2:$D$1091, B149))</f>
        <v>#NAME?</v>
      </c>
      <c r="G149" s="13" t="s">
        <v>425</v>
      </c>
      <c r="H149" s="14" t="s">
        <v>75</v>
      </c>
      <c r="I149" s="14" t="s">
        <v>75</v>
      </c>
    </row>
    <row r="150" spans="1:9" ht="16.5" customHeight="1">
      <c r="A150" s="9"/>
      <c r="B150" s="10" t="s">
        <v>428</v>
      </c>
      <c r="C150" s="11" t="s">
        <v>429</v>
      </c>
      <c r="D150" s="11" t="s">
        <v>430</v>
      </c>
      <c r="E150" s="12" t="e">
        <f ca="1">_xludf.IFS(COUNTIF(보류목록!$B$3:$B$1000, B150)&gt;0, "-",COUNTIF(독서목록!$C$2:$C$1091, B150)=0, , COUNTIF(독서목록!$C$2:$C$1091, B150)&gt;0, COUNTIF(독서목록!$C$2:$C$1091, B150))</f>
        <v>#NAME?</v>
      </c>
      <c r="F150" s="12" t="e">
        <f ca="1">_xludf.IFS(COUNTIF(보류목록!$C$3:$C$1000, B150)&gt;0, "-",COUNTIF(독서목록!$D$2:$D$1091, B150)=0, , COUNTIF(독서목록!$D$2:$D$1091, B150)&gt;0, COUNTIF(독서목록!$D$2:$D$1091, B150))</f>
        <v>#NAME?</v>
      </c>
      <c r="G150" s="13" t="s">
        <v>425</v>
      </c>
      <c r="H150" s="14"/>
      <c r="I150" s="14"/>
    </row>
    <row r="151" spans="1:9" ht="16.5" customHeight="1">
      <c r="A151" s="9"/>
      <c r="B151" s="10" t="s">
        <v>431</v>
      </c>
      <c r="C151" s="11" t="s">
        <v>432</v>
      </c>
      <c r="D151" s="11" t="s">
        <v>433</v>
      </c>
      <c r="E151" s="12" t="e">
        <f ca="1">_xludf.IFS(COUNTIF(보류목록!$B$3:$B$1000, B151)&gt;0, "-",COUNTIF(독서목록!$C$2:$C$1091, B151)=0, , COUNTIF(독서목록!$C$2:$C$1091, B151)&gt;0, COUNTIF(독서목록!$C$2:$C$1091, B151))</f>
        <v>#NAME?</v>
      </c>
      <c r="F151" s="12" t="e">
        <f ca="1">_xludf.IFS(COUNTIF(보류목록!$C$3:$C$1000, B151)&gt;0, "-",COUNTIF(독서목록!$D$2:$D$1091, B151)=0, , COUNTIF(독서목록!$D$2:$D$1091, B151)&gt;0, COUNTIF(독서목록!$D$2:$D$1091, B151))</f>
        <v>#NAME?</v>
      </c>
      <c r="G151" s="13" t="s">
        <v>425</v>
      </c>
      <c r="H151" s="14"/>
      <c r="I151" s="14"/>
    </row>
    <row r="152" spans="1:9" ht="16.5" customHeight="1">
      <c r="A152" s="9"/>
      <c r="B152" s="10" t="s">
        <v>434</v>
      </c>
      <c r="C152" s="11" t="s">
        <v>117</v>
      </c>
      <c r="D152" s="11" t="s">
        <v>435</v>
      </c>
      <c r="E152" s="12" t="e">
        <f ca="1">_xludf.IFS(COUNTIF(보류목록!$B$3:$B$1000, B152)&gt;0, "-",COUNTIF(독서목록!$C$2:$C$1091, B152)=0, , COUNTIF(독서목록!$C$2:$C$1091, B152)&gt;0, COUNTIF(독서목록!$C$2:$C$1091, B152))</f>
        <v>#NAME?</v>
      </c>
      <c r="F152" s="12" t="e">
        <f ca="1">_xludf.IFS(COUNTIF(보류목록!$C$3:$C$1000, B152)&gt;0, "-",COUNTIF(독서목록!$D$2:$D$1091, B152)=0, , COUNTIF(독서목록!$D$2:$D$1091, B152)&gt;0, COUNTIF(독서목록!$D$2:$D$1091, B152))</f>
        <v>#NAME?</v>
      </c>
      <c r="G152" s="13" t="s">
        <v>436</v>
      </c>
      <c r="H152" s="14"/>
      <c r="I152" s="14"/>
    </row>
    <row r="153" spans="1:9" ht="16.5" customHeight="1">
      <c r="A153" s="9"/>
      <c r="B153" s="10" t="s">
        <v>437</v>
      </c>
      <c r="C153" s="11" t="s">
        <v>276</v>
      </c>
      <c r="D153" s="11" t="s">
        <v>438</v>
      </c>
      <c r="E153" s="12" t="e">
        <f ca="1">_xludf.IFS(COUNTIF(보류목록!$B$3:$B$1000, B153)&gt;0, "-",COUNTIF(독서목록!$C$2:$C$1091, B153)=0, , COUNTIF(독서목록!$C$2:$C$1091, B153)&gt;0, COUNTIF(독서목록!$C$2:$C$1091, B153))</f>
        <v>#NAME?</v>
      </c>
      <c r="F153" s="12" t="e">
        <f ca="1">_xludf.IFS(COUNTIF(보류목록!$C$3:$C$1000, B153)&gt;0, "-",COUNTIF(독서목록!$D$2:$D$1091, B153)=0, , COUNTIF(독서목록!$D$2:$D$1091, B153)&gt;0, COUNTIF(독서목록!$D$2:$D$1091, B153))</f>
        <v>#NAME?</v>
      </c>
      <c r="G153" s="13" t="s">
        <v>436</v>
      </c>
      <c r="H153" s="14"/>
      <c r="I153" s="14"/>
    </row>
    <row r="154" spans="1:9" ht="16.5" customHeight="1">
      <c r="A154" s="9"/>
      <c r="B154" s="10" t="s">
        <v>439</v>
      </c>
      <c r="C154" s="11" t="s">
        <v>378</v>
      </c>
      <c r="D154" s="11" t="s">
        <v>15</v>
      </c>
      <c r="E154" s="12" t="e">
        <f ca="1">_xludf.IFS(COUNTIF(보류목록!$B$3:$B$1000, B154)&gt;0, "-",COUNTIF(독서목록!$C$2:$C$1091, B154)=0, , COUNTIF(독서목록!$C$2:$C$1091, B154)&gt;0, COUNTIF(독서목록!$C$2:$C$1091, B154))</f>
        <v>#NAME?</v>
      </c>
      <c r="F154" s="12" t="e">
        <f ca="1">_xludf.IFS(COUNTIF(보류목록!$C$3:$C$1000, B154)&gt;0, "-",COUNTIF(독서목록!$D$2:$D$1091, B154)=0, , COUNTIF(독서목록!$D$2:$D$1091, B154)&gt;0, COUNTIF(독서목록!$D$2:$D$1091, B154))</f>
        <v>#NAME?</v>
      </c>
      <c r="G154" s="13" t="s">
        <v>436</v>
      </c>
      <c r="H154" s="14" t="s">
        <v>75</v>
      </c>
      <c r="I154" s="14" t="s">
        <v>75</v>
      </c>
    </row>
    <row r="155" spans="1:9" ht="16.5" customHeight="1">
      <c r="A155" s="9"/>
      <c r="B155" s="10" t="s">
        <v>440</v>
      </c>
      <c r="C155" s="11" t="s">
        <v>441</v>
      </c>
      <c r="D155" s="11" t="s">
        <v>442</v>
      </c>
      <c r="E155" s="12" t="e">
        <f ca="1">_xludf.IFS(COUNTIF(보류목록!$B$3:$B$1000, B155)&gt;0, "-",COUNTIF(독서목록!$C$2:$C$1091, B155)=0, , COUNTIF(독서목록!$C$2:$C$1091, B155)&gt;0, COUNTIF(독서목록!$C$2:$C$1091, B155))</f>
        <v>#NAME?</v>
      </c>
      <c r="F155" s="12" t="e">
        <f ca="1">_xludf.IFS(COUNTIF(보류목록!$C$3:$C$1000, B155)&gt;0, "-",COUNTIF(독서목록!$D$2:$D$1091, B155)=0, , COUNTIF(독서목록!$D$2:$D$1091, B155)&gt;0, COUNTIF(독서목록!$D$2:$D$1091, B155))</f>
        <v>#NAME?</v>
      </c>
      <c r="G155" s="13" t="s">
        <v>443</v>
      </c>
      <c r="H155" s="14" t="s">
        <v>75</v>
      </c>
      <c r="I155" s="14" t="s">
        <v>75</v>
      </c>
    </row>
    <row r="156" spans="1:9" ht="16.5" customHeight="1">
      <c r="A156" s="9"/>
      <c r="B156" s="10" t="s">
        <v>444</v>
      </c>
      <c r="C156" s="11" t="s">
        <v>445</v>
      </c>
      <c r="D156" s="11" t="s">
        <v>446</v>
      </c>
      <c r="E156" s="12" t="e">
        <f ca="1">_xludf.IFS(COUNTIF(보류목록!$B$3:$B$1000, B156)&gt;0, "-",COUNTIF(독서목록!$C$2:$C$1091, B156)=0, , COUNTIF(독서목록!$C$2:$C$1091, B156)&gt;0, COUNTIF(독서목록!$C$2:$C$1091, B156))</f>
        <v>#NAME?</v>
      </c>
      <c r="F156" s="12" t="e">
        <f ca="1">_xludf.IFS(COUNTIF(보류목록!$C$3:$C$1000, B156)&gt;0, "-",COUNTIF(독서목록!$D$2:$D$1091, B156)=0, , COUNTIF(독서목록!$D$2:$D$1091, B156)&gt;0, COUNTIF(독서목록!$D$2:$D$1091, B156))</f>
        <v>#NAME?</v>
      </c>
      <c r="G156" s="13" t="s">
        <v>447</v>
      </c>
      <c r="H156" s="14" t="s">
        <v>75</v>
      </c>
      <c r="I156" s="14" t="s">
        <v>75</v>
      </c>
    </row>
    <row r="157" spans="1:9" ht="16.5" customHeight="1">
      <c r="A157" s="9"/>
      <c r="B157" s="10" t="s">
        <v>448</v>
      </c>
      <c r="C157" s="11" t="s">
        <v>445</v>
      </c>
      <c r="D157" s="11" t="s">
        <v>449</v>
      </c>
      <c r="E157" s="12" t="e">
        <f ca="1">_xludf.IFS(COUNTIF(보류목록!$B$3:$B$1000, B157)&gt;0, "-",COUNTIF(독서목록!$C$2:$C$1091, B157)=0, , COUNTIF(독서목록!$C$2:$C$1091, B157)&gt;0, COUNTIF(독서목록!$C$2:$C$1091, B157))</f>
        <v>#NAME?</v>
      </c>
      <c r="F157" s="12" t="e">
        <f ca="1">_xludf.IFS(COUNTIF(보류목록!$C$3:$C$1000, B157)&gt;0, "-",COUNTIF(독서목록!$D$2:$D$1091, B157)=0, , COUNTIF(독서목록!$D$2:$D$1091, B157)&gt;0, COUNTIF(독서목록!$D$2:$D$1091, B157))</f>
        <v>#NAME?</v>
      </c>
      <c r="G157" s="13" t="s">
        <v>447</v>
      </c>
      <c r="H157" s="14"/>
      <c r="I157" s="14"/>
    </row>
    <row r="158" spans="1:9" ht="16.5" customHeight="1">
      <c r="A158" s="9"/>
      <c r="B158" s="10" t="s">
        <v>450</v>
      </c>
      <c r="C158" s="11" t="s">
        <v>451</v>
      </c>
      <c r="D158" s="11" t="s">
        <v>452</v>
      </c>
      <c r="E158" s="12" t="e">
        <f ca="1">_xludf.IFS(COUNTIF(보류목록!$B$3:$B$1000, B158)&gt;0, "-",COUNTIF(독서목록!$C$2:$C$1091, B158)=0, , COUNTIF(독서목록!$C$2:$C$1091, B158)&gt;0, COUNTIF(독서목록!$C$2:$C$1091, B158))</f>
        <v>#NAME?</v>
      </c>
      <c r="F158" s="12" t="e">
        <f ca="1">_xludf.IFS(COUNTIF(보류목록!$C$3:$C$1000, B158)&gt;0, "-",COUNTIF(독서목록!$D$2:$D$1091, B158)=0, , COUNTIF(독서목록!$D$2:$D$1091, B158)&gt;0, COUNTIF(독서목록!$D$2:$D$1091, B158))</f>
        <v>#NAME?</v>
      </c>
      <c r="G158" s="13" t="s">
        <v>447</v>
      </c>
      <c r="H158" s="14"/>
      <c r="I158" s="14"/>
    </row>
    <row r="159" spans="1:9" ht="16.5" customHeight="1">
      <c r="A159" s="9"/>
      <c r="B159" s="10" t="s">
        <v>453</v>
      </c>
      <c r="C159" s="11" t="s">
        <v>454</v>
      </c>
      <c r="D159" s="11" t="s">
        <v>455</v>
      </c>
      <c r="E159" s="12" t="e">
        <f ca="1">_xludf.IFS(COUNTIF(보류목록!$B$3:$B$1000, B159)&gt;0, "-",COUNTIF(독서목록!$C$2:$C$1091, B159)=0, , COUNTIF(독서목록!$C$2:$C$1091, B159)&gt;0, COUNTIF(독서목록!$C$2:$C$1091, B159))</f>
        <v>#NAME?</v>
      </c>
      <c r="F159" s="12" t="e">
        <f ca="1">_xludf.IFS(COUNTIF(보류목록!$C$3:$C$1000, B159)&gt;0, "-",COUNTIF(독서목록!$D$2:$D$1091, B159)=0, , COUNTIF(독서목록!$D$2:$D$1091, B159)&gt;0, COUNTIF(독서목록!$D$2:$D$1091, B159))</f>
        <v>#NAME?</v>
      </c>
      <c r="G159" s="13" t="s">
        <v>456</v>
      </c>
      <c r="H159" s="14"/>
      <c r="I159" s="14"/>
    </row>
    <row r="160" spans="1:9" ht="16.5" customHeight="1">
      <c r="A160" s="9"/>
      <c r="B160" s="10" t="s">
        <v>457</v>
      </c>
      <c r="C160" s="11" t="s">
        <v>458</v>
      </c>
      <c r="D160" s="11" t="s">
        <v>459</v>
      </c>
      <c r="E160" s="12" t="e">
        <f ca="1">_xludf.IFS(COUNTIF(보류목록!$B$3:$B$1000, B160)&gt;0, "-",COUNTIF(독서목록!$C$2:$C$1091, B160)=0, , COUNTIF(독서목록!$C$2:$C$1091, B160)&gt;0, COUNTIF(독서목록!$C$2:$C$1091, B160))</f>
        <v>#NAME?</v>
      </c>
      <c r="F160" s="12" t="e">
        <f ca="1">_xludf.IFS(COUNTIF(보류목록!$C$3:$C$1000, B160)&gt;0, "-",COUNTIF(독서목록!$D$2:$D$1091, B160)=0, , COUNTIF(독서목록!$D$2:$D$1091, B160)&gt;0, COUNTIF(독서목록!$D$2:$D$1091, B160))</f>
        <v>#NAME?</v>
      </c>
      <c r="G160" s="13" t="s">
        <v>456</v>
      </c>
      <c r="H160" s="14"/>
      <c r="I160" s="14"/>
    </row>
    <row r="161" spans="1:9" ht="16.5" customHeight="1">
      <c r="A161" s="9"/>
      <c r="B161" s="10" t="s">
        <v>460</v>
      </c>
      <c r="C161" s="11" t="s">
        <v>461</v>
      </c>
      <c r="D161" s="11" t="s">
        <v>462</v>
      </c>
      <c r="E161" s="12" t="e">
        <f ca="1">_xludf.IFS(COUNTIF(보류목록!$B$3:$B$1000, B161)&gt;0, "-",COUNTIF(독서목록!$C$2:$C$1091, B161)=0, , COUNTIF(독서목록!$C$2:$C$1091, B161)&gt;0, COUNTIF(독서목록!$C$2:$C$1091, B161))</f>
        <v>#NAME?</v>
      </c>
      <c r="F161" s="12" t="e">
        <f ca="1">_xludf.IFS(COUNTIF(보류목록!$C$3:$C$1000, B161)&gt;0, "-",COUNTIF(독서목록!$D$2:$D$1091, B161)=0, , COUNTIF(독서목록!$D$2:$D$1091, B161)&gt;0, COUNTIF(독서목록!$D$2:$D$1091, B161))</f>
        <v>#NAME?</v>
      </c>
      <c r="G161" s="13" t="s">
        <v>456</v>
      </c>
      <c r="H161" s="14"/>
      <c r="I161" s="14"/>
    </row>
    <row r="162" spans="1:9" ht="16.5" customHeight="1">
      <c r="A162" s="9"/>
      <c r="B162" s="10" t="s">
        <v>463</v>
      </c>
      <c r="C162" s="11" t="s">
        <v>461</v>
      </c>
      <c r="D162" s="11" t="s">
        <v>462</v>
      </c>
      <c r="E162" s="12" t="e">
        <f ca="1">_xludf.IFS(COUNTIF(보류목록!$B$3:$B$1000, B162)&gt;0, "-",COUNTIF(독서목록!$C$2:$C$1091, B162)=0, , COUNTIF(독서목록!$C$2:$C$1091, B162)&gt;0, COUNTIF(독서목록!$C$2:$C$1091, B162))</f>
        <v>#NAME?</v>
      </c>
      <c r="F162" s="12" t="e">
        <f ca="1">_xludf.IFS(COUNTIF(보류목록!$C$3:$C$1000, B162)&gt;0, "-",COUNTIF(독서목록!$D$2:$D$1091, B162)=0, , COUNTIF(독서목록!$D$2:$D$1091, B162)&gt;0, COUNTIF(독서목록!$D$2:$D$1091, B162))</f>
        <v>#NAME?</v>
      </c>
      <c r="G162" s="13" t="s">
        <v>456</v>
      </c>
      <c r="H162" s="14"/>
      <c r="I162" s="14"/>
    </row>
    <row r="163" spans="1:9" ht="16.5" customHeight="1">
      <c r="A163" s="9"/>
      <c r="B163" s="10" t="s">
        <v>464</v>
      </c>
      <c r="C163" s="11" t="s">
        <v>465</v>
      </c>
      <c r="D163" s="11" t="s">
        <v>306</v>
      </c>
      <c r="E163" s="12" t="e">
        <f ca="1">_xludf.IFS(COUNTIF(보류목록!$B$3:$B$1000, B163)&gt;0, "-",COUNTIF(독서목록!$C$2:$C$1091, B163)=0, , COUNTIF(독서목록!$C$2:$C$1091, B163)&gt;0, COUNTIF(독서목록!$C$2:$C$1091, B163))</f>
        <v>#NAME?</v>
      </c>
      <c r="F163" s="12" t="e">
        <f ca="1">_xludf.IFS(COUNTIF(보류목록!$C$3:$C$1000, B163)&gt;0, "-",COUNTIF(독서목록!$D$2:$D$1091, B163)=0, , COUNTIF(독서목록!$D$2:$D$1091, B163)&gt;0, COUNTIF(독서목록!$D$2:$D$1091, B163))</f>
        <v>#NAME?</v>
      </c>
      <c r="G163" s="13" t="s">
        <v>456</v>
      </c>
      <c r="H163" s="14" t="s">
        <v>75</v>
      </c>
      <c r="I163" s="14" t="s">
        <v>75</v>
      </c>
    </row>
    <row r="164" spans="1:9" ht="16.5" customHeight="1">
      <c r="A164" s="9"/>
      <c r="B164" s="10" t="s">
        <v>466</v>
      </c>
      <c r="C164" s="11" t="s">
        <v>467</v>
      </c>
      <c r="D164" s="11" t="s">
        <v>118</v>
      </c>
      <c r="E164" s="12" t="e">
        <f ca="1">_xludf.IFS(COUNTIF(보류목록!$B$3:$B$1000, B164)&gt;0, "-",COUNTIF(독서목록!$C$2:$C$1091, B164)=0, , COUNTIF(독서목록!$C$2:$C$1091, B164)&gt;0, COUNTIF(독서목록!$C$2:$C$1091, B164))</f>
        <v>#NAME?</v>
      </c>
      <c r="F164" s="12" t="e">
        <f ca="1">_xludf.IFS(COUNTIF(보류목록!$C$3:$C$1000, B164)&gt;0, "-",COUNTIF(독서목록!$D$2:$D$1091, B164)=0, , COUNTIF(독서목록!$D$2:$D$1091, B164)&gt;0, COUNTIF(독서목록!$D$2:$D$1091, B164))</f>
        <v>#NAME?</v>
      </c>
      <c r="G164" s="13" t="s">
        <v>468</v>
      </c>
      <c r="H164" s="14"/>
      <c r="I164" s="14"/>
    </row>
    <row r="165" spans="1:9" ht="16.5" customHeight="1">
      <c r="A165" s="9"/>
      <c r="B165" s="10" t="s">
        <v>469</v>
      </c>
      <c r="C165" s="11" t="s">
        <v>470</v>
      </c>
      <c r="D165" s="11" t="s">
        <v>471</v>
      </c>
      <c r="E165" s="12" t="e">
        <f ca="1">_xludf.IFS(COUNTIF(보류목록!$B$3:$B$1000, B165)&gt;0, "-",COUNTIF(독서목록!$C$2:$C$1091, B165)=0, , COUNTIF(독서목록!$C$2:$C$1091, B165)&gt;0, COUNTIF(독서목록!$C$2:$C$1091, B165))</f>
        <v>#NAME?</v>
      </c>
      <c r="F165" s="12" t="e">
        <f ca="1">_xludf.IFS(COUNTIF(보류목록!$C$3:$C$1000, B165)&gt;0, "-",COUNTIF(독서목록!$D$2:$D$1091, B165)=0, , COUNTIF(독서목록!$D$2:$D$1091, B165)&gt;0, COUNTIF(독서목록!$D$2:$D$1091, B165))</f>
        <v>#NAME?</v>
      </c>
      <c r="G165" s="13" t="s">
        <v>468</v>
      </c>
      <c r="H165" s="14"/>
      <c r="I165" s="14"/>
    </row>
    <row r="166" spans="1:9" ht="16.5" customHeight="1">
      <c r="A166" s="9"/>
      <c r="B166" s="10" t="s">
        <v>472</v>
      </c>
      <c r="C166" s="11" t="s">
        <v>473</v>
      </c>
      <c r="D166" s="11" t="s">
        <v>15</v>
      </c>
      <c r="E166" s="12" t="e">
        <f ca="1">_xludf.IFS(COUNTIF(보류목록!$B$3:$B$1000, B166)&gt;0, "-",COUNTIF(독서목록!$C$2:$C$1091, B166)=0, , COUNTIF(독서목록!$C$2:$C$1091, B166)&gt;0, COUNTIF(독서목록!$C$2:$C$1091, B166))</f>
        <v>#NAME?</v>
      </c>
      <c r="F166" s="12" t="e">
        <f ca="1">_xludf.IFS(COUNTIF(보류목록!$C$3:$C$1000, B166)&gt;0, "-",COUNTIF(독서목록!$D$2:$D$1091, B166)=0, , COUNTIF(독서목록!$D$2:$D$1091, B166)&gt;0, COUNTIF(독서목록!$D$2:$D$1091, B166))</f>
        <v>#NAME?</v>
      </c>
      <c r="G166" s="13" t="s">
        <v>468</v>
      </c>
      <c r="H166" s="14"/>
      <c r="I166" s="14"/>
    </row>
    <row r="167" spans="1:9" ht="16.5" customHeight="1">
      <c r="A167" s="9"/>
      <c r="B167" s="10" t="s">
        <v>474</v>
      </c>
      <c r="C167" s="11" t="s">
        <v>475</v>
      </c>
      <c r="D167" s="11" t="s">
        <v>476</v>
      </c>
      <c r="E167" s="12" t="e">
        <f ca="1">_xludf.IFS(COUNTIF(보류목록!$B$3:$B$1000, B167)&gt;0, "-",COUNTIF(독서목록!$C$2:$C$1091, B167)=0, , COUNTIF(독서목록!$C$2:$C$1091, B167)&gt;0, COUNTIF(독서목록!$C$2:$C$1091, B167))</f>
        <v>#NAME?</v>
      </c>
      <c r="F167" s="12" t="e">
        <f ca="1">_xludf.IFS(COUNTIF(보류목록!$C$3:$C$1000, B167)&gt;0, "-",COUNTIF(독서목록!$D$2:$D$1091, B167)=0, , COUNTIF(독서목록!$D$2:$D$1091, B167)&gt;0, COUNTIF(독서목록!$D$2:$D$1091, B167))</f>
        <v>#NAME?</v>
      </c>
      <c r="G167" s="13" t="s">
        <v>468</v>
      </c>
      <c r="H167" s="14"/>
      <c r="I167" s="14"/>
    </row>
    <row r="168" spans="1:9" ht="16.5" customHeight="1">
      <c r="A168" s="9"/>
      <c r="B168" s="10" t="s">
        <v>477</v>
      </c>
      <c r="C168" s="11" t="s">
        <v>276</v>
      </c>
      <c r="D168" s="11" t="s">
        <v>282</v>
      </c>
      <c r="E168" s="12" t="e">
        <f ca="1">_xludf.IFS(COUNTIF(보류목록!$B$3:$B$1000, B168)&gt;0, "-",COUNTIF(독서목록!$C$2:$C$1091, B168)=0, , COUNTIF(독서목록!$C$2:$C$1091, B168)&gt;0, COUNTIF(독서목록!$C$2:$C$1091, B168))</f>
        <v>#NAME?</v>
      </c>
      <c r="F168" s="12" t="e">
        <f ca="1">_xludf.IFS(COUNTIF(보류목록!$C$3:$C$1000, B168)&gt;0, "-",COUNTIF(독서목록!$D$2:$D$1091, B168)=0, , COUNTIF(독서목록!$D$2:$D$1091, B168)&gt;0, COUNTIF(독서목록!$D$2:$D$1091, B168))</f>
        <v>#NAME?</v>
      </c>
      <c r="G168" s="13" t="s">
        <v>478</v>
      </c>
      <c r="H168" s="14"/>
      <c r="I168" s="14"/>
    </row>
    <row r="169" spans="1:9" ht="16.5" customHeight="1">
      <c r="A169" s="9"/>
      <c r="B169" s="10" t="s">
        <v>479</v>
      </c>
      <c r="C169" s="11" t="s">
        <v>480</v>
      </c>
      <c r="D169" s="11" t="s">
        <v>480</v>
      </c>
      <c r="E169" s="12" t="e">
        <f ca="1">_xludf.IFS(COUNTIF(보류목록!$B$3:$B$1000, B169)&gt;0, "-",COUNTIF(독서목록!$C$2:$C$1091, B169)=0, , COUNTIF(독서목록!$C$2:$C$1091, B169)&gt;0, COUNTIF(독서목록!$C$2:$C$1091, B169))</f>
        <v>#NAME?</v>
      </c>
      <c r="F169" s="12" t="e">
        <f ca="1">_xludf.IFS(COUNTIF(보류목록!$C$3:$C$1000, B169)&gt;0, "-",COUNTIF(독서목록!$D$2:$D$1091, B169)=0, , COUNTIF(독서목록!$D$2:$D$1091, B169)&gt;0, COUNTIF(독서목록!$D$2:$D$1091, B169))</f>
        <v>#NAME?</v>
      </c>
      <c r="G169" s="13" t="s">
        <v>478</v>
      </c>
      <c r="H169" s="14"/>
      <c r="I169" s="14"/>
    </row>
    <row r="170" spans="1:9" ht="16.5" customHeight="1">
      <c r="A170" s="9"/>
      <c r="B170" s="10" t="s">
        <v>481</v>
      </c>
      <c r="C170" s="11" t="s">
        <v>482</v>
      </c>
      <c r="D170" s="11" t="s">
        <v>471</v>
      </c>
      <c r="E170" s="12" t="e">
        <f ca="1">_xludf.IFS(COUNTIF(보류목록!$B$3:$B$1000, B170)&gt;0, "-",COUNTIF(독서목록!$C$2:$C$1091, B170)=0, , COUNTIF(독서목록!$C$2:$C$1091, B170)&gt;0, COUNTIF(독서목록!$C$2:$C$1091, B170))</f>
        <v>#NAME?</v>
      </c>
      <c r="F170" s="12" t="e">
        <f ca="1">_xludf.IFS(COUNTIF(보류목록!$C$3:$C$1000, B170)&gt;0, "-",COUNTIF(독서목록!$D$2:$D$1091, B170)=0, , COUNTIF(독서목록!$D$2:$D$1091, B170)&gt;0, COUNTIF(독서목록!$D$2:$D$1091, B170))</f>
        <v>#NAME?</v>
      </c>
      <c r="G170" s="13" t="s">
        <v>478</v>
      </c>
      <c r="H170" s="14" t="s">
        <v>75</v>
      </c>
      <c r="I170" s="14" t="s">
        <v>75</v>
      </c>
    </row>
    <row r="171" spans="1:9" ht="16.5" customHeight="1">
      <c r="A171" s="9"/>
      <c r="B171" s="10" t="s">
        <v>483</v>
      </c>
      <c r="C171" s="11" t="s">
        <v>484</v>
      </c>
      <c r="D171" s="11" t="s">
        <v>471</v>
      </c>
      <c r="E171" s="12" t="e">
        <f ca="1">_xludf.IFS(COUNTIF(보류목록!$B$3:$B$1000, B171)&gt;0, "-",COUNTIF(독서목록!$C$2:$C$1091, B171)=0, , COUNTIF(독서목록!$C$2:$C$1091, B171)&gt;0, COUNTIF(독서목록!$C$2:$C$1091, B171))</f>
        <v>#NAME?</v>
      </c>
      <c r="F171" s="12" t="e">
        <f ca="1">_xludf.IFS(COUNTIF(보류목록!$C$3:$C$1000, B171)&gt;0, "-",COUNTIF(독서목록!$D$2:$D$1091, B171)=0, , COUNTIF(독서목록!$D$2:$D$1091, B171)&gt;0, COUNTIF(독서목록!$D$2:$D$1091, B171))</f>
        <v>#NAME?</v>
      </c>
      <c r="G171" s="13" t="s">
        <v>485</v>
      </c>
      <c r="H171" s="14"/>
      <c r="I171" s="14"/>
    </row>
    <row r="172" spans="1:9" ht="16.5" customHeight="1">
      <c r="A172" s="9"/>
      <c r="B172" s="10" t="s">
        <v>486</v>
      </c>
      <c r="C172" s="11" t="s">
        <v>484</v>
      </c>
      <c r="D172" s="11" t="s">
        <v>471</v>
      </c>
      <c r="E172" s="12" t="e">
        <f ca="1">_xludf.IFS(COUNTIF(보류목록!$B$3:$B$1000, B172)&gt;0, "-",COUNTIF(독서목록!$C$2:$C$1091, B172)=0, , COUNTIF(독서목록!$C$2:$C$1091, B172)&gt;0, COUNTIF(독서목록!$C$2:$C$1091, B172))</f>
        <v>#NAME?</v>
      </c>
      <c r="F172" s="12" t="e">
        <f ca="1">_xludf.IFS(COUNTIF(보류목록!$C$3:$C$1000, B172)&gt;0, "-",COUNTIF(독서목록!$D$2:$D$1091, B172)=0, , COUNTIF(독서목록!$D$2:$D$1091, B172)&gt;0, COUNTIF(독서목록!$D$2:$D$1091, B172))</f>
        <v>#NAME?</v>
      </c>
      <c r="G172" s="13" t="s">
        <v>485</v>
      </c>
      <c r="H172" s="14"/>
      <c r="I172" s="14"/>
    </row>
    <row r="173" spans="1:9" ht="16.5" customHeight="1">
      <c r="A173" s="9"/>
      <c r="B173" s="10" t="s">
        <v>487</v>
      </c>
      <c r="C173" s="11" t="s">
        <v>488</v>
      </c>
      <c r="D173" s="11" t="s">
        <v>471</v>
      </c>
      <c r="E173" s="12" t="e">
        <f ca="1">_xludf.IFS(COUNTIF(보류목록!$B$3:$B$1000, B173)&gt;0, "-",COUNTIF(독서목록!$C$2:$C$1091, B173)=0, , COUNTIF(독서목록!$C$2:$C$1091, B173)&gt;0, COUNTIF(독서목록!$C$2:$C$1091, B173))</f>
        <v>#NAME?</v>
      </c>
      <c r="F173" s="12" t="e">
        <f ca="1">_xludf.IFS(COUNTIF(보류목록!$C$3:$C$1000, B173)&gt;0, "-",COUNTIF(독서목록!$D$2:$D$1091, B173)=0, , COUNTIF(독서목록!$D$2:$D$1091, B173)&gt;0, COUNTIF(독서목록!$D$2:$D$1091, B173))</f>
        <v>#NAME?</v>
      </c>
      <c r="G173" s="13" t="s">
        <v>485</v>
      </c>
      <c r="H173" s="14" t="s">
        <v>75</v>
      </c>
      <c r="I173" s="14" t="s">
        <v>75</v>
      </c>
    </row>
    <row r="174" spans="1:9" ht="16.5" customHeight="1">
      <c r="A174" s="9"/>
      <c r="B174" s="10" t="s">
        <v>489</v>
      </c>
      <c r="C174" s="11" t="s">
        <v>490</v>
      </c>
      <c r="D174" s="11" t="s">
        <v>471</v>
      </c>
      <c r="E174" s="12" t="e">
        <f ca="1">_xludf.IFS(COUNTIF(보류목록!$B$3:$B$1000, B174)&gt;0, "-",COUNTIF(독서목록!$C$2:$C$1091, B174)=0, , COUNTIF(독서목록!$C$2:$C$1091, B174)&gt;0, COUNTIF(독서목록!$C$2:$C$1091, B174))</f>
        <v>#NAME?</v>
      </c>
      <c r="F174" s="12" t="e">
        <f ca="1">_xludf.IFS(COUNTIF(보류목록!$C$3:$C$1000, B174)&gt;0, "-",COUNTIF(독서목록!$D$2:$D$1091, B174)=0, , COUNTIF(독서목록!$D$2:$D$1091, B174)&gt;0, COUNTIF(독서목록!$D$2:$D$1091, B174))</f>
        <v>#NAME?</v>
      </c>
      <c r="G174" s="13" t="s">
        <v>485</v>
      </c>
      <c r="H174" s="14" t="s">
        <v>75</v>
      </c>
      <c r="I174" s="14" t="s">
        <v>75</v>
      </c>
    </row>
    <row r="175" spans="1:9" ht="16.5" customHeight="1">
      <c r="A175" s="9"/>
      <c r="B175" s="10" t="s">
        <v>491</v>
      </c>
      <c r="C175" s="11" t="s">
        <v>492</v>
      </c>
      <c r="D175" s="11" t="s">
        <v>118</v>
      </c>
      <c r="E175" s="12" t="e">
        <f ca="1">_xludf.IFS(COUNTIF(보류목록!$B$3:$B$1000, B175)&gt;0, "-",COUNTIF(독서목록!$C$2:$C$1091, B175)=0, , COUNTIF(독서목록!$C$2:$C$1091, B175)&gt;0, COUNTIF(독서목록!$C$2:$C$1091, B175))</f>
        <v>#NAME?</v>
      </c>
      <c r="F175" s="12" t="e">
        <f ca="1">_xludf.IFS(COUNTIF(보류목록!$C$3:$C$1000, B175)&gt;0, "-",COUNTIF(독서목록!$D$2:$D$1091, B175)=0, , COUNTIF(독서목록!$D$2:$D$1091, B175)&gt;0, COUNTIF(독서목록!$D$2:$D$1091, B175))</f>
        <v>#NAME?</v>
      </c>
      <c r="G175" s="13" t="s">
        <v>493</v>
      </c>
      <c r="H175" s="14"/>
      <c r="I175" s="14"/>
    </row>
    <row r="176" spans="1:9" ht="16.5" customHeight="1">
      <c r="A176" s="9"/>
      <c r="B176" s="10" t="s">
        <v>494</v>
      </c>
      <c r="C176" s="11" t="s">
        <v>117</v>
      </c>
      <c r="D176" s="11" t="s">
        <v>15</v>
      </c>
      <c r="E176" s="12" t="e">
        <f ca="1">_xludf.IFS(COUNTIF(보류목록!$B$3:$B$1000, B176)&gt;0, "-",COUNTIF(독서목록!$C$2:$C$1091, B176)=0, , COUNTIF(독서목록!$C$2:$C$1091, B176)&gt;0, COUNTIF(독서목록!$C$2:$C$1091, B176))</f>
        <v>#NAME?</v>
      </c>
      <c r="F176" s="12" t="e">
        <f ca="1">_xludf.IFS(COUNTIF(보류목록!$C$3:$C$1000, B176)&gt;0, "-",COUNTIF(독서목록!$D$2:$D$1091, B176)=0, , COUNTIF(독서목록!$D$2:$D$1091, B176)&gt;0, COUNTIF(독서목록!$D$2:$D$1091, B176))</f>
        <v>#NAME?</v>
      </c>
      <c r="G176" s="13" t="s">
        <v>495</v>
      </c>
      <c r="H176" s="14"/>
      <c r="I176" s="14"/>
    </row>
    <row r="177" spans="1:9" ht="16.5" customHeight="1">
      <c r="A177" s="9"/>
      <c r="B177" s="10" t="s">
        <v>496</v>
      </c>
      <c r="C177" s="11" t="s">
        <v>497</v>
      </c>
      <c r="D177" s="11" t="s">
        <v>498</v>
      </c>
      <c r="E177" s="12" t="e">
        <f ca="1">_xludf.IFS(COUNTIF(보류목록!$B$3:$B$1000, B177)&gt;0, "-",COUNTIF(독서목록!$C$2:$C$1091, B177)=0, , COUNTIF(독서목록!$C$2:$C$1091, B177)&gt;0, COUNTIF(독서목록!$C$2:$C$1091, B177))</f>
        <v>#NAME?</v>
      </c>
      <c r="F177" s="12" t="e">
        <f ca="1">_xludf.IFS(COUNTIF(보류목록!$C$3:$C$1000, B177)&gt;0, "-",COUNTIF(독서목록!$D$2:$D$1091, B177)=0, , COUNTIF(독서목록!$D$2:$D$1091, B177)&gt;0, COUNTIF(독서목록!$D$2:$D$1091, B177))</f>
        <v>#NAME?</v>
      </c>
      <c r="G177" s="13" t="s">
        <v>499</v>
      </c>
      <c r="H177" s="14" t="s">
        <v>75</v>
      </c>
      <c r="I177" s="14" t="s">
        <v>75</v>
      </c>
    </row>
    <row r="178" spans="1:9" ht="16.5" customHeight="1">
      <c r="A178" s="9"/>
      <c r="B178" s="10" t="s">
        <v>500</v>
      </c>
      <c r="C178" s="11" t="s">
        <v>501</v>
      </c>
      <c r="D178" s="11" t="s">
        <v>226</v>
      </c>
      <c r="E178" s="12" t="e">
        <f ca="1">_xludf.IFS(COUNTIF(보류목록!$B$3:$B$1000, B178)&gt;0, "-",COUNTIF(독서목록!$C$2:$C$1091, B178)=0, , COUNTIF(독서목록!$C$2:$C$1091, B178)&gt;0, COUNTIF(독서목록!$C$2:$C$1091, B178))</f>
        <v>#NAME?</v>
      </c>
      <c r="F178" s="12" t="e">
        <f ca="1">_xludf.IFS(COUNTIF(보류목록!$C$3:$C$1000, B178)&gt;0, "-",COUNTIF(독서목록!$D$2:$D$1091, B178)=0, , COUNTIF(독서목록!$D$2:$D$1091, B178)&gt;0, COUNTIF(독서목록!$D$2:$D$1091, B178))</f>
        <v>#NAME?</v>
      </c>
      <c r="G178" s="13" t="s">
        <v>499</v>
      </c>
      <c r="H178" s="14" t="s">
        <v>75</v>
      </c>
      <c r="I178" s="14" t="s">
        <v>75</v>
      </c>
    </row>
    <row r="179" spans="1:9" ht="16.5" customHeight="1">
      <c r="A179" s="9"/>
      <c r="B179" s="10" t="s">
        <v>502</v>
      </c>
      <c r="C179" s="11" t="s">
        <v>52</v>
      </c>
      <c r="D179" s="11" t="s">
        <v>503</v>
      </c>
      <c r="E179" s="12" t="e">
        <f ca="1">_xludf.IFS(COUNTIF(보류목록!$B$3:$B$1000, B179)&gt;0, "-",COUNTIF(독서목록!$C$2:$C$1091, B179)=0, , COUNTIF(독서목록!$C$2:$C$1091, B179)&gt;0, COUNTIF(독서목록!$C$2:$C$1091, B179))</f>
        <v>#NAME?</v>
      </c>
      <c r="F179" s="12" t="e">
        <f ca="1">_xludf.IFS(COUNTIF(보류목록!$C$3:$C$1000, B179)&gt;0, "-",COUNTIF(독서목록!$D$2:$D$1091, B179)=0, , COUNTIF(독서목록!$D$2:$D$1091, B179)&gt;0, COUNTIF(독서목록!$D$2:$D$1091, B179))</f>
        <v>#NAME?</v>
      </c>
      <c r="G179" s="13" t="s">
        <v>499</v>
      </c>
      <c r="H179" s="14"/>
      <c r="I179" s="14"/>
    </row>
    <row r="180" spans="1:9" ht="16.5" customHeight="1">
      <c r="A180" s="9"/>
      <c r="B180" s="10" t="s">
        <v>504</v>
      </c>
      <c r="C180" s="11" t="s">
        <v>505</v>
      </c>
      <c r="D180" s="11" t="s">
        <v>506</v>
      </c>
      <c r="E180" s="12" t="e">
        <f ca="1">_xludf.IFS(COUNTIF(보류목록!$B$3:$B$1000, B180)&gt;0, "-",COUNTIF(독서목록!$C$2:$C$1091, B180)=0, , COUNTIF(독서목록!$C$2:$C$1091, B180)&gt;0, COUNTIF(독서목록!$C$2:$C$1091, B180))</f>
        <v>#NAME?</v>
      </c>
      <c r="F180" s="12" t="e">
        <f ca="1">_xludf.IFS(COUNTIF(보류목록!$C$3:$C$1000, B180)&gt;0, "-",COUNTIF(독서목록!$D$2:$D$1091, B180)=0, , COUNTIF(독서목록!$D$2:$D$1091, B180)&gt;0, COUNTIF(독서목록!$D$2:$D$1091, B180))</f>
        <v>#NAME?</v>
      </c>
      <c r="G180" s="13" t="s">
        <v>499</v>
      </c>
      <c r="H180" s="14" t="s">
        <v>75</v>
      </c>
      <c r="I180" s="14" t="s">
        <v>75</v>
      </c>
    </row>
    <row r="181" spans="1:9" ht="16.5" customHeight="1">
      <c r="A181" s="9"/>
      <c r="B181" s="10" t="s">
        <v>507</v>
      </c>
      <c r="C181" s="11" t="s">
        <v>508</v>
      </c>
      <c r="D181" s="11" t="s">
        <v>509</v>
      </c>
      <c r="E181" s="12" t="e">
        <f ca="1">_xludf.IFS(COUNTIF(보류목록!$B$3:$B$1000, B181)&gt;0, "-",COUNTIF(독서목록!$C$2:$C$1091, B181)=0, , COUNTIF(독서목록!$C$2:$C$1091, B181)&gt;0, COUNTIF(독서목록!$C$2:$C$1091, B181))</f>
        <v>#NAME?</v>
      </c>
      <c r="F181" s="12" t="e">
        <f ca="1">_xludf.IFS(COUNTIF(보류목록!$C$3:$C$1000, B181)&gt;0, "-",COUNTIF(독서목록!$D$2:$D$1091, B181)=0, , COUNTIF(독서목록!$D$2:$D$1091, B181)&gt;0, COUNTIF(독서목록!$D$2:$D$1091, B181))</f>
        <v>#NAME?</v>
      </c>
      <c r="G181" s="13" t="s">
        <v>510</v>
      </c>
      <c r="H181" s="14"/>
      <c r="I181" s="14"/>
    </row>
    <row r="182" spans="1:9" ht="16.5" customHeight="1">
      <c r="A182" s="9"/>
      <c r="B182" s="10" t="s">
        <v>511</v>
      </c>
      <c r="C182" s="11" t="s">
        <v>512</v>
      </c>
      <c r="D182" s="11" t="s">
        <v>513</v>
      </c>
      <c r="E182" s="12" t="e">
        <f ca="1">_xludf.IFS(COUNTIF(보류목록!$B$3:$B$1000, B182)&gt;0, "-",COUNTIF(독서목록!$C$2:$C$1091, B182)=0, , COUNTIF(독서목록!$C$2:$C$1091, B182)&gt;0, COUNTIF(독서목록!$C$2:$C$1091, B182))</f>
        <v>#NAME?</v>
      </c>
      <c r="F182" s="12" t="e">
        <f ca="1">_xludf.IFS(COUNTIF(보류목록!$C$3:$C$1000, B182)&gt;0, "-",COUNTIF(독서목록!$D$2:$D$1091, B182)=0, , COUNTIF(독서목록!$D$2:$D$1091, B182)&gt;0, COUNTIF(독서목록!$D$2:$D$1091, B182))</f>
        <v>#NAME?</v>
      </c>
      <c r="G182" s="13" t="s">
        <v>514</v>
      </c>
      <c r="H182" s="14"/>
      <c r="I182" s="14"/>
    </row>
    <row r="183" spans="1:9" ht="16.5" customHeight="1">
      <c r="A183" s="9"/>
      <c r="B183" s="10" t="s">
        <v>515</v>
      </c>
      <c r="C183" s="11" t="s">
        <v>516</v>
      </c>
      <c r="D183" s="11" t="s">
        <v>517</v>
      </c>
      <c r="E183" s="12" t="e">
        <f ca="1">_xludf.IFS(COUNTIF(보류목록!$B$3:$B$1000, B183)&gt;0, "-",COUNTIF(독서목록!$C$2:$C$1091, B183)=0, , COUNTIF(독서목록!$C$2:$C$1091, B183)&gt;0, COUNTIF(독서목록!$C$2:$C$1091, B183))</f>
        <v>#NAME?</v>
      </c>
      <c r="F183" s="12" t="e">
        <f ca="1">_xludf.IFS(COUNTIF(보류목록!$C$3:$C$1000, B183)&gt;0, "-",COUNTIF(독서목록!$D$2:$D$1091, B183)=0, , COUNTIF(독서목록!$D$2:$D$1091, B183)&gt;0, COUNTIF(독서목록!$D$2:$D$1091, B183))</f>
        <v>#NAME?</v>
      </c>
      <c r="G183" s="13" t="s">
        <v>514</v>
      </c>
      <c r="H183" s="14"/>
      <c r="I183" s="14"/>
    </row>
    <row r="184" spans="1:9" ht="16.5" customHeight="1">
      <c r="A184" s="9"/>
      <c r="B184" s="10" t="s">
        <v>518</v>
      </c>
      <c r="C184" s="11" t="s">
        <v>519</v>
      </c>
      <c r="D184" s="11" t="s">
        <v>93</v>
      </c>
      <c r="E184" s="12" t="e">
        <f ca="1">_xludf.IFS(COUNTIF(보류목록!$B$3:$B$1000, B184)&gt;0, "-",COUNTIF(독서목록!$C$2:$C$1091, B184)=0, , COUNTIF(독서목록!$C$2:$C$1091, B184)&gt;0, COUNTIF(독서목록!$C$2:$C$1091, B184))</f>
        <v>#NAME?</v>
      </c>
      <c r="F184" s="12" t="e">
        <f ca="1">_xludf.IFS(COUNTIF(보류목록!$C$3:$C$1000, B184)&gt;0, "-",COUNTIF(독서목록!$D$2:$D$1091, B184)=0, , COUNTIF(독서목록!$D$2:$D$1091, B184)&gt;0, COUNTIF(독서목록!$D$2:$D$1091, B184))</f>
        <v>#NAME?</v>
      </c>
      <c r="G184" s="13" t="s">
        <v>514</v>
      </c>
      <c r="H184" s="14"/>
      <c r="I184" s="14"/>
    </row>
    <row r="185" spans="1:9" ht="16.5" customHeight="1">
      <c r="A185" s="9"/>
      <c r="B185" s="10" t="s">
        <v>520</v>
      </c>
      <c r="C185" s="11" t="s">
        <v>521</v>
      </c>
      <c r="D185" s="11" t="s">
        <v>522</v>
      </c>
      <c r="E185" s="12" t="e">
        <f ca="1">_xludf.IFS(COUNTIF(보류목록!$B$3:$B$1000, B185)&gt;0, "-",COUNTIF(독서목록!$C$2:$C$1091, B185)=0, , COUNTIF(독서목록!$C$2:$C$1091, B185)&gt;0, COUNTIF(독서목록!$C$2:$C$1091, B185))</f>
        <v>#NAME?</v>
      </c>
      <c r="F185" s="12" t="e">
        <f ca="1">_xludf.IFS(COUNTIF(보류목록!$C$3:$C$1000, B185)&gt;0, "-",COUNTIF(독서목록!$D$2:$D$1091, B185)=0, , COUNTIF(독서목록!$D$2:$D$1091, B185)&gt;0, COUNTIF(독서목록!$D$2:$D$1091, B185))</f>
        <v>#NAME?</v>
      </c>
      <c r="G185" s="13" t="s">
        <v>514</v>
      </c>
      <c r="H185" s="14" t="s">
        <v>75</v>
      </c>
      <c r="I185" s="14">
        <v>25.12</v>
      </c>
    </row>
    <row r="186" spans="1:9" ht="16.5" customHeight="1">
      <c r="A186" s="9"/>
      <c r="B186" s="10" t="s">
        <v>523</v>
      </c>
      <c r="C186" s="11" t="s">
        <v>524</v>
      </c>
      <c r="D186" s="11" t="s">
        <v>306</v>
      </c>
      <c r="E186" s="12" t="e">
        <f ca="1">_xludf.IFS(COUNTIF(보류목록!$B$3:$B$1000, B186)&gt;0, "-",COUNTIF(독서목록!$C$2:$C$1091, B186)=0, , COUNTIF(독서목록!$C$2:$C$1091, B186)&gt;0, COUNTIF(독서목록!$C$2:$C$1091, B186))</f>
        <v>#NAME?</v>
      </c>
      <c r="F186" s="12" t="e">
        <f ca="1">_xludf.IFS(COUNTIF(보류목록!$C$3:$C$1000, B186)&gt;0, "-",COUNTIF(독서목록!$D$2:$D$1091, B186)=0, , COUNTIF(독서목록!$D$2:$D$1091, B186)&gt;0, COUNTIF(독서목록!$D$2:$D$1091, B186))</f>
        <v>#NAME?</v>
      </c>
      <c r="G186" s="13" t="s">
        <v>514</v>
      </c>
      <c r="H186" s="14"/>
      <c r="I186" s="14"/>
    </row>
    <row r="187" spans="1:9" ht="16.5" customHeight="1">
      <c r="A187" s="18"/>
      <c r="B187" s="19" t="s">
        <v>525</v>
      </c>
      <c r="C187" s="11" t="s">
        <v>526</v>
      </c>
      <c r="D187" s="11" t="s">
        <v>527</v>
      </c>
      <c r="E187" s="12" t="e">
        <f ca="1">_xludf.IFS(COUNTIF(보류목록!$B$3:$B$1000, B187)&gt;0, "-",COUNTIF(독서목록!$C$2:$C$1091, B187)=0, , COUNTIF(독서목록!$C$2:$C$1091, B187)&gt;0, COUNTIF(독서목록!$C$2:$C$1091, B187))</f>
        <v>#NAME?</v>
      </c>
      <c r="F187" s="12" t="e">
        <f ca="1">_xludf.IFS(COUNTIF(보류목록!$C$3:$C$1000, B187)&gt;0, "-",COUNTIF(독서목록!$D$2:$D$1091, B187)=0, , COUNTIF(독서목록!$D$2:$D$1091, B187)&gt;0, COUNTIF(독서목록!$D$2:$D$1091, B187))</f>
        <v>#NAME?</v>
      </c>
      <c r="G187" s="13" t="s">
        <v>528</v>
      </c>
      <c r="H187" s="14" t="s">
        <v>75</v>
      </c>
      <c r="I187" s="14" t="s">
        <v>75</v>
      </c>
    </row>
    <row r="188" spans="1:9" ht="16.5" customHeight="1">
      <c r="A188" s="9"/>
      <c r="B188" s="10" t="s">
        <v>529</v>
      </c>
      <c r="C188" s="11" t="s">
        <v>530</v>
      </c>
      <c r="D188" s="11" t="s">
        <v>15</v>
      </c>
      <c r="E188" s="12" t="e">
        <f ca="1">_xludf.IFS(COUNTIF(보류목록!$B$3:$B$1000, B188)&gt;0, "-",COUNTIF(독서목록!$C$2:$C$1091, B188)=0, , COUNTIF(독서목록!$C$2:$C$1091, B188)&gt;0, COUNTIF(독서목록!$C$2:$C$1091, B188))</f>
        <v>#NAME?</v>
      </c>
      <c r="F188" s="12" t="e">
        <f ca="1">_xludf.IFS(COUNTIF(보류목록!$C$3:$C$1000, B188)&gt;0, "-",COUNTIF(독서목록!$D$2:$D$1091, B188)=0, , COUNTIF(독서목록!$D$2:$D$1091, B188)&gt;0, COUNTIF(독서목록!$D$2:$D$1091, B188))</f>
        <v>#NAME?</v>
      </c>
      <c r="G188" s="13" t="s">
        <v>528</v>
      </c>
      <c r="H188" s="14"/>
      <c r="I188" s="14"/>
    </row>
    <row r="189" spans="1:9" ht="16.5" customHeight="1">
      <c r="A189" s="9"/>
      <c r="B189" s="10" t="s">
        <v>531</v>
      </c>
      <c r="C189" s="11" t="s">
        <v>378</v>
      </c>
      <c r="D189" s="11" t="s">
        <v>15</v>
      </c>
      <c r="E189" s="12" t="e">
        <f ca="1">_xludf.IFS(COUNTIF(보류목록!$B$3:$B$1000, B189)&gt;0, "-",COUNTIF(독서목록!$C$2:$C$1091, B189)=0, , COUNTIF(독서목록!$C$2:$C$1091, B189)&gt;0, COUNTIF(독서목록!$C$2:$C$1091, B189))</f>
        <v>#NAME?</v>
      </c>
      <c r="F189" s="12" t="e">
        <f ca="1">_xludf.IFS(COUNTIF(보류목록!$C$3:$C$1000, B189)&gt;0, "-",COUNTIF(독서목록!$D$2:$D$1091, B189)=0, , COUNTIF(독서목록!$D$2:$D$1091, B189)&gt;0, COUNTIF(독서목록!$D$2:$D$1091, B189))</f>
        <v>#NAME?</v>
      </c>
      <c r="G189" s="13" t="s">
        <v>528</v>
      </c>
      <c r="H189" s="14" t="s">
        <v>75</v>
      </c>
      <c r="I189" s="14" t="s">
        <v>75</v>
      </c>
    </row>
    <row r="190" spans="1:9" ht="16.5" customHeight="1">
      <c r="A190" s="9"/>
      <c r="B190" s="10" t="s">
        <v>532</v>
      </c>
      <c r="C190" s="11" t="s">
        <v>533</v>
      </c>
      <c r="D190" s="11" t="s">
        <v>534</v>
      </c>
      <c r="E190" s="12" t="e">
        <f ca="1">_xludf.IFS(COUNTIF(보류목록!$B$3:$B$1000, B190)&gt;0, "-",COUNTIF(독서목록!$C$2:$C$1091, B190)=0, , COUNTIF(독서목록!$C$2:$C$1091, B190)&gt;0, COUNTIF(독서목록!$C$2:$C$1091, B190))</f>
        <v>#NAME?</v>
      </c>
      <c r="F190" s="12" t="e">
        <f ca="1">_xludf.IFS(COUNTIF(보류목록!$C$3:$C$1000, B190)&gt;0, "-",COUNTIF(독서목록!$D$2:$D$1091, B190)=0, , COUNTIF(독서목록!$D$2:$D$1091, B190)&gt;0, COUNTIF(독서목록!$D$2:$D$1091, B190))</f>
        <v>#NAME?</v>
      </c>
      <c r="G190" s="13" t="s">
        <v>528</v>
      </c>
      <c r="H190" s="14"/>
      <c r="I190" s="14"/>
    </row>
    <row r="191" spans="1:9" ht="16.5" customHeight="1">
      <c r="A191" s="9"/>
      <c r="B191" s="10" t="s">
        <v>535</v>
      </c>
      <c r="C191" s="11" t="s">
        <v>536</v>
      </c>
      <c r="D191" s="11" t="s">
        <v>537</v>
      </c>
      <c r="E191" s="12" t="e">
        <f ca="1">_xludf.IFS(COUNTIF(보류목록!$B$3:$B$1000, B191)&gt;0, "-",COUNTIF(독서목록!$C$2:$C$1091, B191)=0, , COUNTIF(독서목록!$C$2:$C$1091, B191)&gt;0, COUNTIF(독서목록!$C$2:$C$1091, B191))</f>
        <v>#NAME?</v>
      </c>
      <c r="F191" s="12" t="e">
        <f ca="1">_xludf.IFS(COUNTIF(보류목록!$C$3:$C$1000, B191)&gt;0, "-",COUNTIF(독서목록!$D$2:$D$1091, B191)=0, , COUNTIF(독서목록!$D$2:$D$1091, B191)&gt;0, COUNTIF(독서목록!$D$2:$D$1091, B191))</f>
        <v>#NAME?</v>
      </c>
      <c r="G191" s="13" t="s">
        <v>528</v>
      </c>
      <c r="H191" s="14"/>
      <c r="I191" s="14"/>
    </row>
    <row r="192" spans="1:9" ht="16.5" customHeight="1">
      <c r="A192" s="9"/>
      <c r="B192" s="10" t="s">
        <v>538</v>
      </c>
      <c r="C192" s="11" t="s">
        <v>539</v>
      </c>
      <c r="D192" s="11" t="s">
        <v>15</v>
      </c>
      <c r="E192" s="12" t="e">
        <f ca="1">_xludf.IFS(COUNTIF(보류목록!$B$3:$B$1000, B192)&gt;0, "-",COUNTIF(독서목록!$C$2:$C$1091, B192)=0, , COUNTIF(독서목록!$C$2:$C$1091, B192)&gt;0, COUNTIF(독서목록!$C$2:$C$1091, B192))</f>
        <v>#NAME?</v>
      </c>
      <c r="F192" s="12" t="e">
        <f ca="1">_xludf.IFS(COUNTIF(보류목록!$C$3:$C$1000, B192)&gt;0, "-",COUNTIF(독서목록!$D$2:$D$1091, B192)=0, , COUNTIF(독서목록!$D$2:$D$1091, B192)&gt;0, COUNTIF(독서목록!$D$2:$D$1091, B192))</f>
        <v>#NAME?</v>
      </c>
      <c r="G192" s="13" t="s">
        <v>540</v>
      </c>
      <c r="H192" s="14" t="s">
        <v>75</v>
      </c>
      <c r="I192" s="14" t="s">
        <v>75</v>
      </c>
    </row>
    <row r="193" spans="1:9" ht="16.5" customHeight="1">
      <c r="A193" s="9"/>
      <c r="B193" s="10" t="s">
        <v>541</v>
      </c>
      <c r="C193" s="11" t="s">
        <v>52</v>
      </c>
      <c r="D193" s="11" t="s">
        <v>435</v>
      </c>
      <c r="E193" s="12" t="e">
        <f ca="1">_xludf.IFS(COUNTIF(보류목록!$B$3:$B$1000, B193)&gt;0, "-",COUNTIF(독서목록!$C$2:$C$1091, B193)=0, , COUNTIF(독서목록!$C$2:$C$1091, B193)&gt;0, COUNTIF(독서목록!$C$2:$C$1091, B193))</f>
        <v>#NAME?</v>
      </c>
      <c r="F193" s="12" t="e">
        <f ca="1">_xludf.IFS(COUNTIF(보류목록!$C$3:$C$1000, B193)&gt;0, "-",COUNTIF(독서목록!$D$2:$D$1091, B193)=0, , COUNTIF(독서목록!$D$2:$D$1091, B193)&gt;0, COUNTIF(독서목록!$D$2:$D$1091, B193))</f>
        <v>#NAME?</v>
      </c>
      <c r="G193" s="13" t="s">
        <v>540</v>
      </c>
      <c r="H193" s="14"/>
      <c r="I193" s="14"/>
    </row>
    <row r="194" spans="1:9" ht="16.5" customHeight="1">
      <c r="A194" s="9"/>
      <c r="B194" s="10" t="s">
        <v>542</v>
      </c>
      <c r="C194" s="11" t="s">
        <v>543</v>
      </c>
      <c r="D194" s="11" t="s">
        <v>7</v>
      </c>
      <c r="E194" s="12" t="e">
        <f ca="1">_xludf.IFS(COUNTIF(보류목록!$B$3:$B$1000, B194)&gt;0, "-",COUNTIF(독서목록!$C$2:$C$1091, B194)=0, , COUNTIF(독서목록!$C$2:$C$1091, B194)&gt;0, COUNTIF(독서목록!$C$2:$C$1091, B194))</f>
        <v>#NAME?</v>
      </c>
      <c r="F194" s="12" t="e">
        <f ca="1">_xludf.IFS(COUNTIF(보류목록!$C$3:$C$1000, B194)&gt;0, "-",COUNTIF(독서목록!$D$2:$D$1091, B194)=0, , COUNTIF(독서목록!$D$2:$D$1091, B194)&gt;0, COUNTIF(독서목록!$D$2:$D$1091, B194))</f>
        <v>#NAME?</v>
      </c>
      <c r="G194" s="13" t="s">
        <v>540</v>
      </c>
      <c r="H194" s="14"/>
      <c r="I194" s="14"/>
    </row>
    <row r="195" spans="1:9" ht="16.5" customHeight="1">
      <c r="A195" s="9"/>
      <c r="B195" s="10" t="s">
        <v>544</v>
      </c>
      <c r="C195" s="11" t="s">
        <v>545</v>
      </c>
      <c r="D195" s="11" t="s">
        <v>546</v>
      </c>
      <c r="E195" s="12" t="e">
        <f ca="1">_xludf.IFS(COUNTIF(보류목록!$B$3:$B$1000, B195)&gt;0, "-",COUNTIF(독서목록!$C$2:$C$1091, B195)=0, , COUNTIF(독서목록!$C$2:$C$1091, B195)&gt;0, COUNTIF(독서목록!$C$2:$C$1091, B195))</f>
        <v>#NAME?</v>
      </c>
      <c r="F195" s="12" t="e">
        <f ca="1">_xludf.IFS(COUNTIF(보류목록!$C$3:$C$1000, B195)&gt;0, "-",COUNTIF(독서목록!$D$2:$D$1091, B195)=0, , COUNTIF(독서목록!$D$2:$D$1091, B195)&gt;0, COUNTIF(독서목록!$D$2:$D$1091, B195))</f>
        <v>#NAME?</v>
      </c>
      <c r="G195" s="13" t="s">
        <v>540</v>
      </c>
      <c r="H195" s="14"/>
      <c r="I195" s="14"/>
    </row>
    <row r="196" spans="1:9" ht="16.5" customHeight="1">
      <c r="A196" s="9"/>
      <c r="B196" s="10" t="s">
        <v>547</v>
      </c>
      <c r="C196" s="11" t="s">
        <v>548</v>
      </c>
      <c r="D196" s="11" t="s">
        <v>471</v>
      </c>
      <c r="E196" s="12" t="e">
        <f ca="1">_xludf.IFS(COUNTIF(보류목록!$B$3:$B$1000, B196)&gt;0, "-",COUNTIF(독서목록!$C$2:$C$1091, B196)=0, , COUNTIF(독서목록!$C$2:$C$1091, B196)&gt;0, COUNTIF(독서목록!$C$2:$C$1091, B196))</f>
        <v>#NAME?</v>
      </c>
      <c r="F196" s="12" t="e">
        <f ca="1">_xludf.IFS(COUNTIF(보류목록!$C$3:$C$1000, B196)&gt;0, "-",COUNTIF(독서목록!$D$2:$D$1091, B196)=0, , COUNTIF(독서목록!$D$2:$D$1091, B196)&gt;0, COUNTIF(독서목록!$D$2:$D$1091, B196))</f>
        <v>#NAME?</v>
      </c>
      <c r="G196" s="13" t="s">
        <v>540</v>
      </c>
      <c r="H196" s="14"/>
      <c r="I196" s="14"/>
    </row>
    <row r="197" spans="1:9" ht="16.5" customHeight="1">
      <c r="A197" s="9"/>
      <c r="B197" s="10" t="s">
        <v>549</v>
      </c>
      <c r="C197" s="11" t="s">
        <v>548</v>
      </c>
      <c r="D197" s="11" t="s">
        <v>471</v>
      </c>
      <c r="E197" s="12" t="e">
        <f ca="1">_xludf.IFS(COUNTIF(보류목록!$B$3:$B$1000, B197)&gt;0, "-",COUNTIF(독서목록!$C$2:$C$1091, B197)=0, , COUNTIF(독서목록!$C$2:$C$1091, B197)&gt;0, COUNTIF(독서목록!$C$2:$C$1091, B197))</f>
        <v>#NAME?</v>
      </c>
      <c r="F197" s="12" t="e">
        <f ca="1">_xludf.IFS(COUNTIF(보류목록!$C$3:$C$1000, B197)&gt;0, "-",COUNTIF(독서목록!$D$2:$D$1091, B197)=0, , COUNTIF(독서목록!$D$2:$D$1091, B197)&gt;0, COUNTIF(독서목록!$D$2:$D$1091, B197))</f>
        <v>#NAME?</v>
      </c>
      <c r="G197" s="13" t="s">
        <v>540</v>
      </c>
      <c r="H197" s="14"/>
      <c r="I197" s="14"/>
    </row>
    <row r="198" spans="1:9" ht="16.5" customHeight="1">
      <c r="A198" s="9"/>
      <c r="B198" s="10" t="s">
        <v>550</v>
      </c>
      <c r="C198" s="11" t="s">
        <v>530</v>
      </c>
      <c r="D198" s="11" t="s">
        <v>7</v>
      </c>
      <c r="E198" s="12" t="e">
        <f ca="1">_xludf.IFS(COUNTIF(보류목록!$B$3:$B$1000, B198)&gt;0, "-",COUNTIF(독서목록!$C$2:$C$1091, B198)=0, , COUNTIF(독서목록!$C$2:$C$1091, B198)&gt;0, COUNTIF(독서목록!$C$2:$C$1091, B198))</f>
        <v>#NAME?</v>
      </c>
      <c r="F198" s="12" t="e">
        <f ca="1">_xludf.IFS(COUNTIF(보류목록!$C$3:$C$1000, B198)&gt;0, "-",COUNTIF(독서목록!$D$2:$D$1091, B198)=0, , COUNTIF(독서목록!$D$2:$D$1091, B198)&gt;0, COUNTIF(독서목록!$D$2:$D$1091, B198))</f>
        <v>#NAME?</v>
      </c>
      <c r="G198" s="13" t="s">
        <v>551</v>
      </c>
      <c r="H198" s="14"/>
      <c r="I198" s="14"/>
    </row>
    <row r="199" spans="1:9" ht="16.5" customHeight="1">
      <c r="A199" s="9"/>
      <c r="B199" s="10" t="s">
        <v>552</v>
      </c>
      <c r="C199" s="11" t="s">
        <v>482</v>
      </c>
      <c r="D199" s="11" t="s">
        <v>471</v>
      </c>
      <c r="E199" s="12" t="e">
        <f ca="1">_xludf.IFS(COUNTIF(보류목록!$B$3:$B$1000, B199)&gt;0, "-",COUNTIF(독서목록!$C$2:$C$1091, B199)=0, , COUNTIF(독서목록!$C$2:$C$1091, B199)&gt;0, COUNTIF(독서목록!$C$2:$C$1091, B199))</f>
        <v>#NAME?</v>
      </c>
      <c r="F199" s="12" t="e">
        <f ca="1">_xludf.IFS(COUNTIF(보류목록!$C$3:$C$1000, B199)&gt;0, "-",COUNTIF(독서목록!$D$2:$D$1091, B199)=0, , COUNTIF(독서목록!$D$2:$D$1091, B199)&gt;0, COUNTIF(독서목록!$D$2:$D$1091, B199))</f>
        <v>#NAME?</v>
      </c>
      <c r="G199" s="13" t="s">
        <v>551</v>
      </c>
      <c r="H199" s="14" t="s">
        <v>75</v>
      </c>
      <c r="I199" s="14" t="s">
        <v>75</v>
      </c>
    </row>
    <row r="200" spans="1:9" ht="16.5" customHeight="1">
      <c r="A200" s="9"/>
      <c r="B200" s="10" t="s">
        <v>553</v>
      </c>
      <c r="C200" s="11" t="s">
        <v>111</v>
      </c>
      <c r="D200" s="11" t="s">
        <v>15</v>
      </c>
      <c r="E200" s="12" t="e">
        <f ca="1">_xludf.IFS(COUNTIF(보류목록!$B$3:$B$1000, B200)&gt;0, "-",COUNTIF(독서목록!$C$2:$C$1091, B200)=0, , COUNTIF(독서목록!$C$2:$C$1091, B200)&gt;0, COUNTIF(독서목록!$C$2:$C$1091, B200))</f>
        <v>#NAME?</v>
      </c>
      <c r="F200" s="12" t="e">
        <f ca="1">_xludf.IFS(COUNTIF(보류목록!$C$3:$C$1000, B200)&gt;0, "-",COUNTIF(독서목록!$D$2:$D$1091, B200)=0, , COUNTIF(독서목록!$D$2:$D$1091, B200)&gt;0, COUNTIF(독서목록!$D$2:$D$1091, B200))</f>
        <v>#NAME?</v>
      </c>
      <c r="G200" s="13" t="s">
        <v>554</v>
      </c>
      <c r="H200" s="14"/>
      <c r="I200" s="14"/>
    </row>
    <row r="201" spans="1:9" ht="16.5" customHeight="1">
      <c r="A201" s="9"/>
      <c r="B201" s="10" t="s">
        <v>555</v>
      </c>
      <c r="C201" s="11" t="s">
        <v>556</v>
      </c>
      <c r="D201" s="11" t="s">
        <v>7</v>
      </c>
      <c r="E201" s="12" t="e">
        <f ca="1">_xludf.IFS(COUNTIF(보류목록!$B$3:$B$1000, B201)&gt;0, "-",COUNTIF(독서목록!$C$2:$C$1091, B201)=0, , COUNTIF(독서목록!$C$2:$C$1091, B201)&gt;0, COUNTIF(독서목록!$C$2:$C$1091, B201))</f>
        <v>#NAME?</v>
      </c>
      <c r="F201" s="12" t="e">
        <f ca="1">_xludf.IFS(COUNTIF(보류목록!$C$3:$C$1000, B201)&gt;0, "-",COUNTIF(독서목록!$D$2:$D$1091, B201)=0, , COUNTIF(독서목록!$D$2:$D$1091, B201)&gt;0, COUNTIF(독서목록!$D$2:$D$1091, B201))</f>
        <v>#NAME?</v>
      </c>
      <c r="G201" s="13" t="s">
        <v>554</v>
      </c>
      <c r="H201" s="14"/>
      <c r="I201" s="14"/>
    </row>
    <row r="202" spans="1:9" ht="16.5" customHeight="1">
      <c r="A202" s="9"/>
      <c r="B202" s="10" t="s">
        <v>557</v>
      </c>
      <c r="C202" s="11" t="s">
        <v>558</v>
      </c>
      <c r="D202" s="11" t="s">
        <v>7</v>
      </c>
      <c r="E202" s="12" t="e">
        <f ca="1">_xludf.IFS(COUNTIF(보류목록!$B$3:$B$1000, B202)&gt;0, "-",COUNTIF(독서목록!$C$2:$C$1091, B202)=0, , COUNTIF(독서목록!$C$2:$C$1091, B202)&gt;0, COUNTIF(독서목록!$C$2:$C$1091, B202))</f>
        <v>#NAME?</v>
      </c>
      <c r="F202" s="12" t="e">
        <f ca="1">_xludf.IFS(COUNTIF(보류목록!$C$3:$C$1000, B202)&gt;0, "-",COUNTIF(독서목록!$D$2:$D$1091, B202)=0, , COUNTIF(독서목록!$D$2:$D$1091, B202)&gt;0, COUNTIF(독서목록!$D$2:$D$1091, B202))</f>
        <v>#NAME?</v>
      </c>
      <c r="G202" s="13" t="s">
        <v>554</v>
      </c>
      <c r="H202" s="14"/>
      <c r="I202" s="14"/>
    </row>
    <row r="203" spans="1:9" ht="16.5" customHeight="1">
      <c r="A203" s="9"/>
      <c r="B203" s="10" t="s">
        <v>559</v>
      </c>
      <c r="C203" s="11" t="s">
        <v>560</v>
      </c>
      <c r="D203" s="11" t="s">
        <v>471</v>
      </c>
      <c r="E203" s="12" t="e">
        <f ca="1">_xludf.IFS(COUNTIF(보류목록!$B$3:$B$1000, B203)&gt;0, "-",COUNTIF(독서목록!$C$2:$C$1091, B203)=0, , COUNTIF(독서목록!$C$2:$C$1091, B203)&gt;0, COUNTIF(독서목록!$C$2:$C$1091, B203))</f>
        <v>#NAME?</v>
      </c>
      <c r="F203" s="12" t="e">
        <f ca="1">_xludf.IFS(COUNTIF(보류목록!$C$3:$C$1000, B203)&gt;0, "-",COUNTIF(독서목록!$D$2:$D$1091, B203)=0, , COUNTIF(독서목록!$D$2:$D$1091, B203)&gt;0, COUNTIF(독서목록!$D$2:$D$1091, B203))</f>
        <v>#NAME?</v>
      </c>
      <c r="G203" s="13" t="s">
        <v>554</v>
      </c>
      <c r="H203" s="14"/>
      <c r="I203" s="14"/>
    </row>
    <row r="204" spans="1:9" ht="16.5" customHeight="1">
      <c r="A204" s="9"/>
      <c r="B204" s="10" t="s">
        <v>561</v>
      </c>
      <c r="C204" s="11" t="s">
        <v>111</v>
      </c>
      <c r="D204" s="11" t="s">
        <v>7</v>
      </c>
      <c r="E204" s="12" t="e">
        <f ca="1">_xludf.IFS(COUNTIF(보류목록!$B$3:$B$1000, B204)&gt;0, "-",COUNTIF(독서목록!$C$2:$C$1091, B204)=0, , COUNTIF(독서목록!$C$2:$C$1091, B204)&gt;0, COUNTIF(독서목록!$C$2:$C$1091, B204))</f>
        <v>#NAME?</v>
      </c>
      <c r="F204" s="12" t="e">
        <f ca="1">_xludf.IFS(COUNTIF(보류목록!$C$3:$C$1000, B204)&gt;0, "-",COUNTIF(독서목록!$D$2:$D$1091, B204)=0, , COUNTIF(독서목록!$D$2:$D$1091, B204)&gt;0, COUNTIF(독서목록!$D$2:$D$1091, B204))</f>
        <v>#NAME?</v>
      </c>
      <c r="G204" s="13" t="s">
        <v>562</v>
      </c>
      <c r="H204" s="14"/>
      <c r="I204" s="14"/>
    </row>
    <row r="205" spans="1:9" ht="16.5" customHeight="1">
      <c r="A205" s="9"/>
      <c r="B205" s="10" t="s">
        <v>563</v>
      </c>
      <c r="C205" s="11" t="s">
        <v>564</v>
      </c>
      <c r="D205" s="11" t="s">
        <v>7</v>
      </c>
      <c r="E205" s="12" t="e">
        <f ca="1">_xludf.IFS(COUNTIF(보류목록!$B$3:$B$1000, B205)&gt;0, "-",COUNTIF(독서목록!$C$2:$C$1091, B205)=0, , COUNTIF(독서목록!$C$2:$C$1091, B205)&gt;0, COUNTIF(독서목록!$C$2:$C$1091, B205))</f>
        <v>#NAME?</v>
      </c>
      <c r="F205" s="12" t="e">
        <f ca="1">_xludf.IFS(COUNTIF(보류목록!$C$3:$C$1000, B205)&gt;0, "-",COUNTIF(독서목록!$D$2:$D$1091, B205)=0, , COUNTIF(독서목록!$D$2:$D$1091, B205)&gt;0, COUNTIF(독서목록!$D$2:$D$1091, B205))</f>
        <v>#NAME?</v>
      </c>
      <c r="G205" s="13" t="s">
        <v>562</v>
      </c>
      <c r="H205" s="14"/>
      <c r="I205" s="14"/>
    </row>
    <row r="206" spans="1:9" ht="16.5" customHeight="1">
      <c r="A206" s="9"/>
      <c r="B206" s="10" t="s">
        <v>565</v>
      </c>
      <c r="C206" s="11" t="s">
        <v>566</v>
      </c>
      <c r="D206" s="11" t="s">
        <v>7</v>
      </c>
      <c r="E206" s="12" t="e">
        <f ca="1">_xludf.IFS(COUNTIF(보류목록!$B$3:$B$1000, B206)&gt;0, "-",COUNTIF(독서목록!$C$2:$C$1091, B206)=0, , COUNTIF(독서목록!$C$2:$C$1091, B206)&gt;0, COUNTIF(독서목록!$C$2:$C$1091, B206))</f>
        <v>#NAME?</v>
      </c>
      <c r="F206" s="12" t="e">
        <f ca="1">_xludf.IFS(COUNTIF(보류목록!$C$3:$C$1000, B206)&gt;0, "-",COUNTIF(독서목록!$D$2:$D$1091, B206)=0, , COUNTIF(독서목록!$D$2:$D$1091, B206)&gt;0, COUNTIF(독서목록!$D$2:$D$1091, B206))</f>
        <v>#NAME?</v>
      </c>
      <c r="G206" s="13" t="s">
        <v>562</v>
      </c>
      <c r="H206" s="14"/>
      <c r="I206" s="14"/>
    </row>
    <row r="207" spans="1:9" ht="16.5" customHeight="1">
      <c r="A207" s="9"/>
      <c r="B207" s="10" t="s">
        <v>567</v>
      </c>
      <c r="C207" s="11" t="s">
        <v>568</v>
      </c>
      <c r="D207" s="11" t="s">
        <v>306</v>
      </c>
      <c r="E207" s="12" t="e">
        <f ca="1">_xludf.IFS(COUNTIF(보류목록!$B$3:$B$1000, B207)&gt;0, "-",COUNTIF(독서목록!$C$2:$C$1091, B207)=0, , COUNTIF(독서목록!$C$2:$C$1091, B207)&gt;0, COUNTIF(독서목록!$C$2:$C$1091, B207))</f>
        <v>#NAME?</v>
      </c>
      <c r="F207" s="12" t="e">
        <f ca="1">_xludf.IFS(COUNTIF(보류목록!$C$3:$C$1000, B207)&gt;0, "-",COUNTIF(독서목록!$D$2:$D$1091, B207)=0, , COUNTIF(독서목록!$D$2:$D$1091, B207)&gt;0, COUNTIF(독서목록!$D$2:$D$1091, B207))</f>
        <v>#NAME?</v>
      </c>
      <c r="G207" s="13" t="s">
        <v>569</v>
      </c>
      <c r="H207" s="14"/>
      <c r="I207" s="14"/>
    </row>
    <row r="208" spans="1:9" ht="16.5" customHeight="1">
      <c r="A208" s="9"/>
      <c r="B208" s="10" t="s">
        <v>570</v>
      </c>
      <c r="C208" s="11" t="s">
        <v>571</v>
      </c>
      <c r="D208" s="11" t="s">
        <v>572</v>
      </c>
      <c r="E208" s="12" t="e">
        <f ca="1">_xludf.IFS(COUNTIF(보류목록!$B$3:$B$1000, B208)&gt;0, "-",COUNTIF(독서목록!$C$2:$C$1091, B208)=0, , COUNTIF(독서목록!$C$2:$C$1091, B208)&gt;0, COUNTIF(독서목록!$C$2:$C$1091, B208))</f>
        <v>#NAME?</v>
      </c>
      <c r="F208" s="12" t="e">
        <f ca="1">_xludf.IFS(COUNTIF(보류목록!$C$3:$C$1000, B208)&gt;0, "-",COUNTIF(독서목록!$D$2:$D$1091, B208)=0, , COUNTIF(독서목록!$D$2:$D$1091, B208)&gt;0, COUNTIF(독서목록!$D$2:$D$1091, B208))</f>
        <v>#NAME?</v>
      </c>
      <c r="G208" s="13" t="s">
        <v>573</v>
      </c>
      <c r="H208" s="14"/>
      <c r="I208" s="14"/>
    </row>
    <row r="209" spans="1:9" ht="16.5" customHeight="1">
      <c r="A209" s="9"/>
      <c r="B209" s="10" t="s">
        <v>574</v>
      </c>
      <c r="C209" s="11" t="s">
        <v>81</v>
      </c>
      <c r="D209" s="11" t="s">
        <v>82</v>
      </c>
      <c r="E209" s="12" t="e">
        <f ca="1">_xludf.IFS(COUNTIF(보류목록!$B$3:$B$1000, B209)&gt;0, "-",COUNTIF(독서목록!$C$2:$C$1091, B209)=0, , COUNTIF(독서목록!$C$2:$C$1091, B209)&gt;0, COUNTIF(독서목록!$C$2:$C$1091, B209))</f>
        <v>#NAME?</v>
      </c>
      <c r="F209" s="12" t="e">
        <f ca="1">_xludf.IFS(COUNTIF(보류목록!$C$3:$C$1000, B209)&gt;0, "-",COUNTIF(독서목록!$D$2:$D$1091, B209)=0, , COUNTIF(독서목록!$D$2:$D$1091, B209)&gt;0, COUNTIF(독서목록!$D$2:$D$1091, B209))</f>
        <v>#NAME?</v>
      </c>
      <c r="G209" s="13" t="s">
        <v>573</v>
      </c>
      <c r="H209" s="14"/>
      <c r="I209" s="14"/>
    </row>
    <row r="210" spans="1:9" ht="16.5" customHeight="1">
      <c r="A210" s="9"/>
      <c r="B210" s="10" t="s">
        <v>575</v>
      </c>
      <c r="C210" s="11" t="s">
        <v>576</v>
      </c>
      <c r="D210" s="11" t="s">
        <v>498</v>
      </c>
      <c r="E210" s="12" t="e">
        <f ca="1">_xludf.IFS(COUNTIF(보류목록!$B$3:$B$1000, B210)&gt;0, "-",COUNTIF(독서목록!$C$2:$C$1091, B210)=0, , COUNTIF(독서목록!$C$2:$C$1091, B210)&gt;0, COUNTIF(독서목록!$C$2:$C$1091, B210))</f>
        <v>#NAME?</v>
      </c>
      <c r="F210" s="12" t="e">
        <f ca="1">_xludf.IFS(COUNTIF(보류목록!$C$3:$C$1000, B210)&gt;0, "-",COUNTIF(독서목록!$D$2:$D$1091, B210)=0, , COUNTIF(독서목록!$D$2:$D$1091, B210)&gt;0, COUNTIF(독서목록!$D$2:$D$1091, B210))</f>
        <v>#NAME?</v>
      </c>
      <c r="G210" s="13" t="s">
        <v>573</v>
      </c>
      <c r="H210" s="14" t="s">
        <v>75</v>
      </c>
      <c r="I210" s="14" t="s">
        <v>75</v>
      </c>
    </row>
    <row r="211" spans="1:9" ht="16.5" customHeight="1">
      <c r="A211" s="9"/>
      <c r="B211" s="10" t="s">
        <v>577</v>
      </c>
      <c r="C211" s="11" t="s">
        <v>578</v>
      </c>
      <c r="D211" s="11" t="s">
        <v>579</v>
      </c>
      <c r="E211" s="12" t="e">
        <f ca="1">_xludf.IFS(COUNTIF(보류목록!$B$3:$B$1000, B211)&gt;0, "-",COUNTIF(독서목록!$C$2:$C$1091, B211)=0, , COUNTIF(독서목록!$C$2:$C$1091, B211)&gt;0, COUNTIF(독서목록!$C$2:$C$1091, B211))</f>
        <v>#NAME?</v>
      </c>
      <c r="F211" s="12" t="e">
        <f ca="1">_xludf.IFS(COUNTIF(보류목록!$C$3:$C$1000, B211)&gt;0, "-",COUNTIF(독서목록!$D$2:$D$1091, B211)=0, , COUNTIF(독서목록!$D$2:$D$1091, B211)&gt;0, COUNTIF(독서목록!$D$2:$D$1091, B211))</f>
        <v>#NAME?</v>
      </c>
      <c r="G211" s="13" t="s">
        <v>573</v>
      </c>
      <c r="H211" s="14"/>
      <c r="I211" s="14"/>
    </row>
    <row r="212" spans="1:9" ht="16.5" customHeight="1">
      <c r="A212" s="9"/>
      <c r="B212" s="10" t="s">
        <v>580</v>
      </c>
      <c r="C212" s="11" t="s">
        <v>581</v>
      </c>
      <c r="D212" s="11" t="s">
        <v>582</v>
      </c>
      <c r="E212" s="12" t="e">
        <f ca="1">_xludf.IFS(COUNTIF(보류목록!$B$3:$B$1000, B212)&gt;0, "-",COUNTIF(독서목록!$C$2:$C$1091, B212)=0, , COUNTIF(독서목록!$C$2:$C$1091, B212)&gt;0, COUNTIF(독서목록!$C$2:$C$1091, B212))</f>
        <v>#NAME?</v>
      </c>
      <c r="F212" s="12" t="e">
        <f ca="1">_xludf.IFS(COUNTIF(보류목록!$C$3:$C$1000, B212)&gt;0, "-",COUNTIF(독서목록!$D$2:$D$1091, B212)=0, , COUNTIF(독서목록!$D$2:$D$1091, B212)&gt;0, COUNTIF(독서목록!$D$2:$D$1091, B212))</f>
        <v>#NAME?</v>
      </c>
      <c r="G212" s="13" t="s">
        <v>573</v>
      </c>
      <c r="H212" s="14"/>
      <c r="I212" s="14"/>
    </row>
    <row r="213" spans="1:9" ht="16.5" customHeight="1">
      <c r="A213" s="9"/>
      <c r="B213" s="10" t="s">
        <v>583</v>
      </c>
      <c r="C213" s="11" t="s">
        <v>584</v>
      </c>
      <c r="D213" s="11" t="s">
        <v>585</v>
      </c>
      <c r="E213" s="12" t="e">
        <f ca="1">_xludf.IFS(COUNTIF(보류목록!$B$3:$B$1000, B213)&gt;0, "-",COUNTIF(독서목록!$C$2:$C$1091, B213)=0, , COUNTIF(독서목록!$C$2:$C$1091, B213)&gt;0, COUNTIF(독서목록!$C$2:$C$1091, B213))</f>
        <v>#NAME?</v>
      </c>
      <c r="F213" s="12" t="e">
        <f ca="1">_xludf.IFS(COUNTIF(보류목록!$C$3:$C$1000, B213)&gt;0, "-",COUNTIF(독서목록!$D$2:$D$1091, B213)=0, , COUNTIF(독서목록!$D$2:$D$1091, B213)&gt;0, COUNTIF(독서목록!$D$2:$D$1091, B213))</f>
        <v>#NAME?</v>
      </c>
      <c r="G213" s="13" t="s">
        <v>586</v>
      </c>
      <c r="H213" s="14"/>
      <c r="I213" s="14"/>
    </row>
    <row r="214" spans="1:9" ht="16.5" customHeight="1">
      <c r="A214" s="9"/>
      <c r="B214" s="10" t="s">
        <v>587</v>
      </c>
      <c r="C214" s="11" t="s">
        <v>588</v>
      </c>
      <c r="D214" s="11" t="s">
        <v>589</v>
      </c>
      <c r="E214" s="12" t="e">
        <f ca="1">_xludf.IFS(COUNTIF(보류목록!$B$3:$B$1000, B214)&gt;0, "-",COUNTIF(독서목록!$C$2:$C$1091, B214)=0, , COUNTIF(독서목록!$C$2:$C$1091, B214)&gt;0, COUNTIF(독서목록!$C$2:$C$1091, B214))</f>
        <v>#NAME?</v>
      </c>
      <c r="F214" s="12" t="e">
        <f ca="1">_xludf.IFS(COUNTIF(보류목록!$C$3:$C$1000, B214)&gt;0, "-",COUNTIF(독서목록!$D$2:$D$1091, B214)=0, , COUNTIF(독서목록!$D$2:$D$1091, B214)&gt;0, COUNTIF(독서목록!$D$2:$D$1091, B214))</f>
        <v>#NAME?</v>
      </c>
      <c r="G214" s="13" t="s">
        <v>590</v>
      </c>
      <c r="H214" s="14"/>
      <c r="I214" s="14"/>
    </row>
    <row r="215" spans="1:9" ht="16.5" customHeight="1">
      <c r="A215" s="9"/>
      <c r="B215" s="10" t="s">
        <v>591</v>
      </c>
      <c r="C215" s="11" t="s">
        <v>592</v>
      </c>
      <c r="D215" s="11" t="s">
        <v>203</v>
      </c>
      <c r="E215" s="12" t="e">
        <f ca="1">_xludf.IFS(COUNTIF(보류목록!$B$3:$B$1000, B215)&gt;0, "-",COUNTIF(독서목록!$C$2:$C$1091, B215)=0, , COUNTIF(독서목록!$C$2:$C$1091, B215)&gt;0, COUNTIF(독서목록!$C$2:$C$1091, B215))</f>
        <v>#NAME?</v>
      </c>
      <c r="F215" s="12" t="e">
        <f ca="1">_xludf.IFS(COUNTIF(보류목록!$C$3:$C$1000, B215)&gt;0, "-",COUNTIF(독서목록!$D$2:$D$1091, B215)=0, , COUNTIF(독서목록!$D$2:$D$1091, B215)&gt;0, COUNTIF(독서목록!$D$2:$D$1091, B215))</f>
        <v>#NAME?</v>
      </c>
      <c r="G215" s="13" t="s">
        <v>590</v>
      </c>
      <c r="H215" s="14"/>
      <c r="I215" s="14"/>
    </row>
    <row r="216" spans="1:9" ht="16.5" customHeight="1">
      <c r="A216" s="9"/>
      <c r="B216" s="10" t="s">
        <v>593</v>
      </c>
      <c r="C216" s="11" t="s">
        <v>594</v>
      </c>
      <c r="D216" s="11" t="s">
        <v>595</v>
      </c>
      <c r="E216" s="12" t="e">
        <f ca="1">_xludf.IFS(COUNTIF(보류목록!$B$3:$B$1000, B216)&gt;0, "-",COUNTIF(독서목록!$C$2:$C$1091, B216)=0, , COUNTIF(독서목록!$C$2:$C$1091, B216)&gt;0, COUNTIF(독서목록!$C$2:$C$1091, B216))</f>
        <v>#NAME?</v>
      </c>
      <c r="F216" s="12" t="e">
        <f ca="1">_xludf.IFS(COUNTIF(보류목록!$C$3:$C$1000, B216)&gt;0, "-",COUNTIF(독서목록!$D$2:$D$1091, B216)=0, , COUNTIF(독서목록!$D$2:$D$1091, B216)&gt;0, COUNTIF(독서목록!$D$2:$D$1091, B216))</f>
        <v>#NAME?</v>
      </c>
      <c r="G216" s="13" t="s">
        <v>596</v>
      </c>
      <c r="H216" s="14"/>
      <c r="I216" s="14"/>
    </row>
    <row r="217" spans="1:9" ht="16.5" customHeight="1">
      <c r="A217" s="9"/>
      <c r="B217" s="10" t="s">
        <v>597</v>
      </c>
      <c r="C217" s="11" t="s">
        <v>598</v>
      </c>
      <c r="D217" s="11" t="s">
        <v>599</v>
      </c>
      <c r="E217" s="12" t="e">
        <f ca="1">_xludf.IFS(COUNTIF(보류목록!$B$3:$B$1000, B217)&gt;0, "-",COUNTIF(독서목록!$C$2:$C$1091, B217)=0, , COUNTIF(독서목록!$C$2:$C$1091, B217)&gt;0, COUNTIF(독서목록!$C$2:$C$1091, B217))</f>
        <v>#NAME?</v>
      </c>
      <c r="F217" s="12" t="e">
        <f ca="1">_xludf.IFS(COUNTIF(보류목록!$C$3:$C$1000, B217)&gt;0, "-",COUNTIF(독서목록!$D$2:$D$1091, B217)=0, , COUNTIF(독서목록!$D$2:$D$1091, B217)&gt;0, COUNTIF(독서목록!$D$2:$D$1091, B217))</f>
        <v>#NAME?</v>
      </c>
      <c r="G217" s="13" t="s">
        <v>596</v>
      </c>
      <c r="H217" s="14"/>
      <c r="I217" s="14"/>
    </row>
    <row r="218" spans="1:9" ht="16.5" customHeight="1">
      <c r="A218" s="9"/>
      <c r="B218" s="10" t="s">
        <v>600</v>
      </c>
      <c r="C218" s="11" t="s">
        <v>601</v>
      </c>
      <c r="D218" s="11" t="s">
        <v>602</v>
      </c>
      <c r="E218" s="12" t="e">
        <f ca="1">_xludf.IFS(COUNTIF(보류목록!$B$3:$B$1000, B218)&gt;0, "-",COUNTIF(독서목록!$C$2:$C$1091, B218)=0, , COUNTIF(독서목록!$C$2:$C$1091, B218)&gt;0, COUNTIF(독서목록!$C$2:$C$1091, B218))</f>
        <v>#NAME?</v>
      </c>
      <c r="F218" s="12" t="e">
        <f ca="1">_xludf.IFS(COUNTIF(보류목록!$C$3:$C$1000, B218)&gt;0, "-",COUNTIF(독서목록!$D$2:$D$1091, B218)=0, , COUNTIF(독서목록!$D$2:$D$1091, B218)&gt;0, COUNTIF(독서목록!$D$2:$D$1091, B218))</f>
        <v>#NAME?</v>
      </c>
      <c r="G218" s="13" t="s">
        <v>596</v>
      </c>
      <c r="H218" s="14"/>
      <c r="I218" s="14"/>
    </row>
    <row r="219" spans="1:9" ht="16.5" customHeight="1">
      <c r="A219" s="9"/>
      <c r="B219" s="10" t="s">
        <v>603</v>
      </c>
      <c r="C219" s="11" t="s">
        <v>52</v>
      </c>
      <c r="D219" s="11" t="s">
        <v>15</v>
      </c>
      <c r="E219" s="12" t="e">
        <f ca="1">_xludf.IFS(COUNTIF(보류목록!$B$3:$B$1000, B219)&gt;0, "-",COUNTIF(독서목록!$C$2:$C$1091, B219)=0, , COUNTIF(독서목록!$C$2:$C$1091, B219)&gt;0, COUNTIF(독서목록!$C$2:$C$1091, B219))</f>
        <v>#NAME?</v>
      </c>
      <c r="F219" s="12" t="e">
        <f ca="1">_xludf.IFS(COUNTIF(보류목록!$C$3:$C$1000, B219)&gt;0, "-",COUNTIF(독서목록!$D$2:$D$1091, B219)=0, , COUNTIF(독서목록!$D$2:$D$1091, B219)&gt;0, COUNTIF(독서목록!$D$2:$D$1091, B219))</f>
        <v>#NAME?</v>
      </c>
      <c r="G219" s="13" t="s">
        <v>596</v>
      </c>
      <c r="H219" s="14"/>
      <c r="I219" s="14"/>
    </row>
    <row r="220" spans="1:9" ht="16.5" customHeight="1">
      <c r="A220" s="9"/>
      <c r="B220" s="10" t="s">
        <v>604</v>
      </c>
      <c r="C220" s="11" t="s">
        <v>605</v>
      </c>
      <c r="D220" s="11" t="s">
        <v>572</v>
      </c>
      <c r="E220" s="12" t="e">
        <f ca="1">_xludf.IFS(COUNTIF(보류목록!$B$3:$B$1000, B220)&gt;0, "-",COUNTIF(독서목록!$C$2:$C$1091, B220)=0, , COUNTIF(독서목록!$C$2:$C$1091, B220)&gt;0, COUNTIF(독서목록!$C$2:$C$1091, B220))</f>
        <v>#NAME?</v>
      </c>
      <c r="F220" s="12" t="e">
        <f ca="1">_xludf.IFS(COUNTIF(보류목록!$C$3:$C$1000, B220)&gt;0, "-",COUNTIF(독서목록!$D$2:$D$1091, B220)=0, , COUNTIF(독서목록!$D$2:$D$1091, B220)&gt;0, COUNTIF(독서목록!$D$2:$D$1091, B220))</f>
        <v>#NAME?</v>
      </c>
      <c r="G220" s="13" t="s">
        <v>606</v>
      </c>
      <c r="H220" s="14"/>
      <c r="I220" s="14"/>
    </row>
    <row r="221" spans="1:9" ht="16.5" customHeight="1">
      <c r="A221" s="9"/>
      <c r="B221" s="10" t="s">
        <v>607</v>
      </c>
      <c r="C221" s="11" t="s">
        <v>608</v>
      </c>
      <c r="D221" s="11" t="s">
        <v>609</v>
      </c>
      <c r="E221" s="12" t="e">
        <f ca="1">_xludf.IFS(COUNTIF(보류목록!$B$3:$B$1000, B221)&gt;0, "-",COUNTIF(독서목록!$C$2:$C$1091, B221)=0, , COUNTIF(독서목록!$C$2:$C$1091, B221)&gt;0, COUNTIF(독서목록!$C$2:$C$1091, B221))</f>
        <v>#NAME?</v>
      </c>
      <c r="F221" s="12" t="e">
        <f ca="1">_xludf.IFS(COUNTIF(보류목록!$C$3:$C$1000, B221)&gt;0, "-",COUNTIF(독서목록!$D$2:$D$1091, B221)=0, , COUNTIF(독서목록!$D$2:$D$1091, B221)&gt;0, COUNTIF(독서목록!$D$2:$D$1091, B221))</f>
        <v>#NAME?</v>
      </c>
      <c r="G221" s="13" t="s">
        <v>606</v>
      </c>
      <c r="H221" s="14"/>
      <c r="I221" s="14"/>
    </row>
    <row r="222" spans="1:9" ht="16.5" customHeight="1">
      <c r="A222" s="9"/>
      <c r="B222" s="10" t="s">
        <v>610</v>
      </c>
      <c r="C222" s="11" t="s">
        <v>611</v>
      </c>
      <c r="D222" s="11" t="s">
        <v>390</v>
      </c>
      <c r="E222" s="12" t="e">
        <f ca="1">_xludf.IFS(COUNTIF(보류목록!$B$3:$B$1000, B222)&gt;0, "-",COUNTIF(독서목록!$C$2:$C$1091, B222)=0, , COUNTIF(독서목록!$C$2:$C$1091, B222)&gt;0, COUNTIF(독서목록!$C$2:$C$1091, B222))</f>
        <v>#NAME?</v>
      </c>
      <c r="F222" s="12" t="e">
        <f ca="1">_xludf.IFS(COUNTIF(보류목록!$C$3:$C$1000, B222)&gt;0, "-",COUNTIF(독서목록!$D$2:$D$1091, B222)=0, , COUNTIF(독서목록!$D$2:$D$1091, B222)&gt;0, COUNTIF(독서목록!$D$2:$D$1091, B222))</f>
        <v>#NAME?</v>
      </c>
      <c r="G222" s="13" t="s">
        <v>606</v>
      </c>
      <c r="H222" s="14"/>
      <c r="I222" s="14"/>
    </row>
    <row r="223" spans="1:9" ht="16.5" customHeight="1">
      <c r="A223" s="9"/>
      <c r="B223" s="10" t="s">
        <v>612</v>
      </c>
      <c r="C223" s="11" t="s">
        <v>67</v>
      </c>
      <c r="D223" s="11" t="s">
        <v>7</v>
      </c>
      <c r="E223" s="12" t="e">
        <f ca="1">_xludf.IFS(COUNTIF(보류목록!$B$3:$B$1000, B223)&gt;0, "-",COUNTIF(독서목록!$C$2:$C$1091, B223)=0, , COUNTIF(독서목록!$C$2:$C$1091, B223)&gt;0, COUNTIF(독서목록!$C$2:$C$1091, B223))</f>
        <v>#NAME?</v>
      </c>
      <c r="F223" s="12" t="e">
        <f ca="1">_xludf.IFS(COUNTIF(보류목록!$C$3:$C$1000, B223)&gt;0, "-",COUNTIF(독서목록!$D$2:$D$1091, B223)=0, , COUNTIF(독서목록!$D$2:$D$1091, B223)&gt;0, COUNTIF(독서목록!$D$2:$D$1091, B223))</f>
        <v>#NAME?</v>
      </c>
      <c r="G223" s="13" t="s">
        <v>606</v>
      </c>
      <c r="H223" s="14"/>
      <c r="I223" s="14"/>
    </row>
    <row r="224" spans="1:9" ht="16.5" customHeight="1">
      <c r="A224" s="9"/>
      <c r="B224" s="10" t="s">
        <v>613</v>
      </c>
      <c r="C224" s="11" t="s">
        <v>432</v>
      </c>
      <c r="D224" s="11" t="s">
        <v>433</v>
      </c>
      <c r="E224" s="12" t="e">
        <f ca="1">_xludf.IFS(COUNTIF(보류목록!$B$3:$B$1000, B224)&gt;0, "-",COUNTIF(독서목록!$C$2:$C$1091, B224)=0, , COUNTIF(독서목록!$C$2:$C$1091, B224)&gt;0, COUNTIF(독서목록!$C$2:$C$1091, B224))</f>
        <v>#NAME?</v>
      </c>
      <c r="F224" s="12" t="e">
        <f ca="1">_xludf.IFS(COUNTIF(보류목록!$C$3:$C$1000, B224)&gt;0, "-",COUNTIF(독서목록!$D$2:$D$1091, B224)=0, , COUNTIF(독서목록!$D$2:$D$1091, B224)&gt;0, COUNTIF(독서목록!$D$2:$D$1091, B224))</f>
        <v>#NAME?</v>
      </c>
      <c r="G224" s="13" t="s">
        <v>606</v>
      </c>
      <c r="H224" s="14"/>
      <c r="I224" s="14"/>
    </row>
    <row r="225" spans="1:9" ht="16.5" customHeight="1">
      <c r="A225" s="9"/>
      <c r="B225" s="10" t="s">
        <v>614</v>
      </c>
      <c r="C225" s="11" t="s">
        <v>615</v>
      </c>
      <c r="D225" s="11" t="s">
        <v>616</v>
      </c>
      <c r="E225" s="12" t="e">
        <f ca="1">_xludf.IFS(COUNTIF(보류목록!$B$3:$B$1000, B225)&gt;0, "-",COUNTIF(독서목록!$C$2:$C$1091, B225)=0, , COUNTIF(독서목록!$C$2:$C$1091, B225)&gt;0, COUNTIF(독서목록!$C$2:$C$1091, B225))</f>
        <v>#NAME?</v>
      </c>
      <c r="F225" s="12" t="e">
        <f ca="1">_xludf.IFS(COUNTIF(보류목록!$C$3:$C$1000, B225)&gt;0, "-",COUNTIF(독서목록!$D$2:$D$1091, B225)=0, , COUNTIF(독서목록!$D$2:$D$1091, B225)&gt;0, COUNTIF(독서목록!$D$2:$D$1091, B225))</f>
        <v>#NAME?</v>
      </c>
      <c r="G225" s="13" t="s">
        <v>606</v>
      </c>
      <c r="H225" s="14"/>
      <c r="I225" s="14"/>
    </row>
    <row r="226" spans="1:9" ht="16.5" customHeight="1">
      <c r="A226" s="9"/>
      <c r="B226" s="10" t="s">
        <v>617</v>
      </c>
      <c r="C226" s="11" t="s">
        <v>618</v>
      </c>
      <c r="D226" s="11" t="s">
        <v>619</v>
      </c>
      <c r="E226" s="12" t="e">
        <f ca="1">_xludf.IFS(COUNTIF(보류목록!$B$3:$B$1000, B226)&gt;0, "-",COUNTIF(독서목록!$C$2:$C$1091, B226)=0, , COUNTIF(독서목록!$C$2:$C$1091, B226)&gt;0, COUNTIF(독서목록!$C$2:$C$1091, B226))</f>
        <v>#NAME?</v>
      </c>
      <c r="F226" s="12" t="e">
        <f ca="1">_xludf.IFS(COUNTIF(보류목록!$C$3:$C$1000, B226)&gt;0, "-",COUNTIF(독서목록!$D$2:$D$1091, B226)=0, , COUNTIF(독서목록!$D$2:$D$1091, B226)&gt;0, COUNTIF(독서목록!$D$2:$D$1091, B226))</f>
        <v>#NAME?</v>
      </c>
      <c r="G226" s="13" t="s">
        <v>606</v>
      </c>
      <c r="H226" s="14" t="s">
        <v>75</v>
      </c>
      <c r="I226" s="14" t="s">
        <v>75</v>
      </c>
    </row>
    <row r="227" spans="1:9" ht="16.5" customHeight="1">
      <c r="A227" s="9"/>
      <c r="B227" s="10" t="s">
        <v>620</v>
      </c>
      <c r="C227" s="11" t="s">
        <v>621</v>
      </c>
      <c r="D227" s="11" t="s">
        <v>622</v>
      </c>
      <c r="E227" s="12" t="e">
        <f ca="1">_xludf.IFS(COUNTIF(보류목록!$B$3:$B$1000, B227)&gt;0, "-",COUNTIF(독서목록!$C$2:$C$1091, B227)=0, , COUNTIF(독서목록!$C$2:$C$1091, B227)&gt;0, COUNTIF(독서목록!$C$2:$C$1091, B227))</f>
        <v>#NAME?</v>
      </c>
      <c r="F227" s="12">
        <v>1</v>
      </c>
      <c r="G227" s="13" t="s">
        <v>606</v>
      </c>
      <c r="H227" s="14" t="s">
        <v>75</v>
      </c>
      <c r="I227" s="14">
        <v>25.12</v>
      </c>
    </row>
    <row r="228" spans="1:9" ht="16.5" customHeight="1">
      <c r="A228" s="9"/>
      <c r="B228" s="10" t="s">
        <v>623</v>
      </c>
      <c r="C228" s="11" t="s">
        <v>624</v>
      </c>
      <c r="D228" s="11" t="s">
        <v>506</v>
      </c>
      <c r="E228" s="12" t="e">
        <f ca="1">_xludf.IFS(COUNTIF(보류목록!$B$3:$B$1000, B228)&gt;0, "-",COUNTIF(독서목록!$C$2:$C$1091, B228)=0, , COUNTIF(독서목록!$C$2:$C$1091, B228)&gt;0, COUNTIF(독서목록!$C$2:$C$1091, B228))</f>
        <v>#NAME?</v>
      </c>
      <c r="F228" s="12" t="e">
        <f ca="1">_xludf.IFS(COUNTIF(보류목록!$C$3:$C$1000, B228)&gt;0, "-",COUNTIF(독서목록!$D$2:$D$1091, B228)=0, , COUNTIF(독서목록!$D$2:$D$1091, B228)&gt;0, COUNTIF(독서목록!$D$2:$D$1091, B228))</f>
        <v>#NAME?</v>
      </c>
      <c r="G228" s="13" t="s">
        <v>625</v>
      </c>
      <c r="H228" s="14"/>
      <c r="I228" s="14"/>
    </row>
    <row r="229" spans="1:9" ht="16.5" customHeight="1">
      <c r="A229" s="9"/>
      <c r="B229" s="10" t="s">
        <v>626</v>
      </c>
      <c r="C229" s="11" t="s">
        <v>627</v>
      </c>
      <c r="D229" s="11" t="s">
        <v>628</v>
      </c>
      <c r="E229" s="12" t="e">
        <f ca="1">_xludf.IFS(COUNTIF(보류목록!$B$3:$B$1000, B229)&gt;0, "-",COUNTIF(독서목록!$C$2:$C$1091, B229)=0, , COUNTIF(독서목록!$C$2:$C$1091, B229)&gt;0, COUNTIF(독서목록!$C$2:$C$1091, B229))</f>
        <v>#NAME?</v>
      </c>
      <c r="F229" s="12" t="e">
        <f ca="1">_xludf.IFS(COUNTIF(보류목록!$C$3:$C$1000, B229)&gt;0, "-",COUNTIF(독서목록!$D$2:$D$1091, B229)=0, , COUNTIF(독서목록!$D$2:$D$1091, B229)&gt;0, COUNTIF(독서목록!$D$2:$D$1091, B229))</f>
        <v>#NAME?</v>
      </c>
      <c r="G229" s="13" t="s">
        <v>625</v>
      </c>
      <c r="H229" s="14"/>
      <c r="I229" s="14"/>
    </row>
    <row r="230" spans="1:9" ht="16.5" customHeight="1">
      <c r="A230" s="9"/>
      <c r="B230" s="10" t="s">
        <v>629</v>
      </c>
      <c r="C230" s="11" t="s">
        <v>630</v>
      </c>
      <c r="D230" s="11" t="s">
        <v>631</v>
      </c>
      <c r="E230" s="12" t="e">
        <f ca="1">_xludf.IFS(COUNTIF(보류목록!$B$3:$B$1000, B230)&gt;0, "-",COUNTIF(독서목록!$C$2:$C$1091, B230)=0, , COUNTIF(독서목록!$C$2:$C$1091, B230)&gt;0, COUNTIF(독서목록!$C$2:$C$1091, B230))</f>
        <v>#NAME?</v>
      </c>
      <c r="F230" s="12" t="e">
        <f ca="1">_xludf.IFS(COUNTIF(보류목록!$C$3:$C$1000, B230)&gt;0, "-",COUNTIF(독서목록!$D$2:$D$1091, B230)=0, , COUNTIF(독서목록!$D$2:$D$1091, B230)&gt;0, COUNTIF(독서목록!$D$2:$D$1091, B230))</f>
        <v>#NAME?</v>
      </c>
      <c r="G230" s="13" t="s">
        <v>625</v>
      </c>
      <c r="H230" s="14"/>
      <c r="I230" s="14"/>
    </row>
    <row r="231" spans="1:9" ht="16.5" customHeight="1">
      <c r="A231" s="9"/>
      <c r="B231" s="10" t="s">
        <v>632</v>
      </c>
      <c r="C231" s="11" t="s">
        <v>633</v>
      </c>
      <c r="D231" s="11" t="s">
        <v>7</v>
      </c>
      <c r="E231" s="12" t="e">
        <f ca="1">_xludf.IFS(COUNTIF(보류목록!$B$3:$B$1000, B231)&gt;0, "-",COUNTIF(독서목록!$C$2:$C$1091, B231)=0, , COUNTIF(독서목록!$C$2:$C$1091, B231)&gt;0, COUNTIF(독서목록!$C$2:$C$1091, B231))</f>
        <v>#NAME?</v>
      </c>
      <c r="F231" s="12" t="e">
        <f ca="1">_xludf.IFS(COUNTIF(보류목록!$C$3:$C$1000, B231)&gt;0, "-",COUNTIF(독서목록!$D$2:$D$1091, B231)=0, , COUNTIF(독서목록!$D$2:$D$1091, B231)&gt;0, COUNTIF(독서목록!$D$2:$D$1091, B231))</f>
        <v>#NAME?</v>
      </c>
      <c r="G231" s="13" t="s">
        <v>634</v>
      </c>
      <c r="H231" s="14"/>
      <c r="I231" s="14"/>
    </row>
    <row r="232" spans="1:9" ht="16.5" customHeight="1">
      <c r="A232" s="9"/>
      <c r="B232" s="10" t="s">
        <v>635</v>
      </c>
      <c r="C232" s="11" t="s">
        <v>636</v>
      </c>
      <c r="D232" s="11" t="s">
        <v>7</v>
      </c>
      <c r="E232" s="12" t="e">
        <f ca="1">_xludf.IFS(COUNTIF(보류목록!$B$3:$B$1000, B232)&gt;0, "-",COUNTIF(독서목록!$C$2:$C$1091, B232)=0, , COUNTIF(독서목록!$C$2:$C$1091, B232)&gt;0, COUNTIF(독서목록!$C$2:$C$1091, B232))</f>
        <v>#NAME?</v>
      </c>
      <c r="F232" s="12" t="e">
        <f ca="1">_xludf.IFS(COUNTIF(보류목록!$C$3:$C$1000, B232)&gt;0, "-",COUNTIF(독서목록!$D$2:$D$1091, B232)=0, , COUNTIF(독서목록!$D$2:$D$1091, B232)&gt;0, COUNTIF(독서목록!$D$2:$D$1091, B232))</f>
        <v>#NAME?</v>
      </c>
      <c r="G232" s="13" t="s">
        <v>634</v>
      </c>
      <c r="H232" s="14"/>
      <c r="I232" s="14"/>
    </row>
    <row r="233" spans="1:9" ht="16.5" customHeight="1">
      <c r="A233" s="9"/>
      <c r="B233" s="10" t="s">
        <v>637</v>
      </c>
      <c r="C233" s="11" t="s">
        <v>638</v>
      </c>
      <c r="D233" s="11" t="s">
        <v>639</v>
      </c>
      <c r="E233" s="12" t="e">
        <f ca="1">_xludf.IFS(COUNTIF(보류목록!$B$3:$B$1000, B233)&gt;0, "-",COUNTIF(독서목록!$C$2:$C$1091, B233)=0, , COUNTIF(독서목록!$C$2:$C$1091, B233)&gt;0, COUNTIF(독서목록!$C$2:$C$1091, B233))</f>
        <v>#NAME?</v>
      </c>
      <c r="F233" s="12" t="e">
        <f ca="1">_xludf.IFS(COUNTIF(보류목록!$C$3:$C$1000, B233)&gt;0, "-",COUNTIF(독서목록!$D$2:$D$1091, B233)=0, , COUNTIF(독서목록!$D$2:$D$1091, B233)&gt;0, COUNTIF(독서목록!$D$2:$D$1091, B233))</f>
        <v>#NAME?</v>
      </c>
      <c r="G233" s="13" t="s">
        <v>640</v>
      </c>
      <c r="H233" s="14"/>
      <c r="I233" s="14"/>
    </row>
    <row r="234" spans="1:9" ht="16.5" customHeight="1">
      <c r="A234" s="9"/>
      <c r="B234" s="10" t="s">
        <v>641</v>
      </c>
      <c r="C234" s="11" t="s">
        <v>642</v>
      </c>
      <c r="D234" s="11" t="s">
        <v>7</v>
      </c>
      <c r="E234" s="12" t="e">
        <f ca="1">_xludf.IFS(COUNTIF(보류목록!$B$3:$B$1000, B234)&gt;0, "-",COUNTIF(독서목록!$C$2:$C$1091, B234)=0, , COUNTIF(독서목록!$C$2:$C$1091, B234)&gt;0, COUNTIF(독서목록!$C$2:$C$1091, B234))</f>
        <v>#NAME?</v>
      </c>
      <c r="F234" s="12" t="e">
        <f ca="1">_xludf.IFS(COUNTIF(보류목록!$C$3:$C$1000, B234)&gt;0, "-",COUNTIF(독서목록!$D$2:$D$1091, B234)=0, , COUNTIF(독서목록!$D$2:$D$1091, B234)&gt;0, COUNTIF(독서목록!$D$2:$D$1091, B234))</f>
        <v>#NAME?</v>
      </c>
      <c r="G234" s="13" t="s">
        <v>640</v>
      </c>
      <c r="H234" s="14"/>
      <c r="I234" s="14"/>
    </row>
    <row r="235" spans="1:9" ht="16.5" customHeight="1">
      <c r="A235" s="9"/>
      <c r="B235" s="10" t="s">
        <v>643</v>
      </c>
      <c r="C235" s="11" t="s">
        <v>644</v>
      </c>
      <c r="D235" s="11" t="s">
        <v>645</v>
      </c>
      <c r="E235" s="12" t="e">
        <f ca="1">_xludf.IFS(COUNTIF(보류목록!$B$3:$B$1000, B235)&gt;0, "-",COUNTIF(독서목록!$C$2:$C$1091, B235)=0, , COUNTIF(독서목록!$C$2:$C$1091, B235)&gt;0, COUNTIF(독서목록!$C$2:$C$1091, B235))</f>
        <v>#NAME?</v>
      </c>
      <c r="F235" s="12" t="e">
        <f ca="1">_xludf.IFS(COUNTIF(보류목록!$C$3:$C$1000, B235)&gt;0, "-",COUNTIF(독서목록!$D$2:$D$1091, B235)=0, , COUNTIF(독서목록!$D$2:$D$1091, B235)&gt;0, COUNTIF(독서목록!$D$2:$D$1091, B235))</f>
        <v>#NAME?</v>
      </c>
      <c r="G235" s="13" t="s">
        <v>640</v>
      </c>
      <c r="H235" s="14"/>
      <c r="I235" s="14"/>
    </row>
    <row r="236" spans="1:9" ht="16.5" customHeight="1">
      <c r="A236" s="9"/>
      <c r="B236" s="10" t="s">
        <v>646</v>
      </c>
      <c r="C236" s="11" t="s">
        <v>647</v>
      </c>
      <c r="D236" s="11" t="s">
        <v>648</v>
      </c>
      <c r="E236" s="12" t="e">
        <f ca="1">_xludf.IFS(COUNTIF(보류목록!$B$3:$B$1000, B236)&gt;0, "-",COUNTIF(독서목록!$C$2:$C$1091, B236)=0, , COUNTIF(독서목록!$C$2:$C$1091, B236)&gt;0, COUNTIF(독서목록!$C$2:$C$1091, B236))</f>
        <v>#NAME?</v>
      </c>
      <c r="F236" s="12" t="e">
        <f ca="1">_xludf.IFS(COUNTIF(보류목록!$C$3:$C$1000, B236)&gt;0, "-",COUNTIF(독서목록!$D$2:$D$1091, B236)=0, , COUNTIF(독서목록!$D$2:$D$1091, B236)&gt;0, COUNTIF(독서목록!$D$2:$D$1091, B236))</f>
        <v>#NAME?</v>
      </c>
      <c r="G236" s="13" t="s">
        <v>640</v>
      </c>
      <c r="H236" s="14"/>
      <c r="I236" s="14"/>
    </row>
    <row r="237" spans="1:9" ht="16.5" customHeight="1">
      <c r="A237" s="9"/>
      <c r="B237" s="10" t="s">
        <v>649</v>
      </c>
      <c r="C237" s="11" t="s">
        <v>650</v>
      </c>
      <c r="D237" s="11" t="s">
        <v>471</v>
      </c>
      <c r="E237" s="12" t="e">
        <f ca="1">_xludf.IFS(COUNTIF(보류목록!$B$3:$B$1000, B237)&gt;0, "-",COUNTIF(독서목록!$C$2:$C$1091, B237)=0, , COUNTIF(독서목록!$C$2:$C$1091, B237)&gt;0, COUNTIF(독서목록!$C$2:$C$1091, B237))</f>
        <v>#NAME?</v>
      </c>
      <c r="F237" s="12" t="e">
        <f ca="1">_xludf.IFS(COUNTIF(보류목록!$C$3:$C$1000, B237)&gt;0, "-",COUNTIF(독서목록!$D$2:$D$1091, B237)=0, , COUNTIF(독서목록!$D$2:$D$1091, B237)&gt;0, COUNTIF(독서목록!$D$2:$D$1091, B237))</f>
        <v>#NAME?</v>
      </c>
      <c r="G237" s="13" t="s">
        <v>651</v>
      </c>
      <c r="H237" s="14" t="s">
        <v>75</v>
      </c>
      <c r="I237" s="14" t="s">
        <v>75</v>
      </c>
    </row>
    <row r="238" spans="1:9" ht="16.5" customHeight="1">
      <c r="A238" s="9"/>
      <c r="B238" s="10" t="s">
        <v>652</v>
      </c>
      <c r="C238" s="11" t="s">
        <v>653</v>
      </c>
      <c r="D238" s="11" t="s">
        <v>654</v>
      </c>
      <c r="E238" s="12" t="e">
        <f ca="1">_xludf.IFS(COUNTIF(보류목록!$B$3:$B$1000, B238)&gt;0, "-",COUNTIF(독서목록!$C$2:$C$1091, B238)=0, , COUNTIF(독서목록!$C$2:$C$1091, B238)&gt;0, COUNTIF(독서목록!$C$2:$C$1091, B238))</f>
        <v>#NAME?</v>
      </c>
      <c r="F238" s="12" t="e">
        <f ca="1">_xludf.IFS(COUNTIF(보류목록!$C$3:$C$1000, B238)&gt;0, "-",COUNTIF(독서목록!$D$2:$D$1091, B238)=0, , COUNTIF(독서목록!$D$2:$D$1091, B238)&gt;0, COUNTIF(독서목록!$D$2:$D$1091, B238))</f>
        <v>#NAME?</v>
      </c>
      <c r="G238" s="13" t="s">
        <v>651</v>
      </c>
      <c r="H238" s="14"/>
      <c r="I238" s="14"/>
    </row>
    <row r="239" spans="1:9" ht="16.5" customHeight="1">
      <c r="A239" s="9"/>
      <c r="B239" s="10" t="s">
        <v>655</v>
      </c>
      <c r="C239" s="11" t="s">
        <v>52</v>
      </c>
      <c r="D239" s="11" t="s">
        <v>15</v>
      </c>
      <c r="E239" s="12" t="e">
        <f ca="1">_xludf.IFS(COUNTIF(보류목록!$B$3:$B$1000, B239)&gt;0, "-",COUNTIF(독서목록!$C$2:$C$1091, B239)=0, , COUNTIF(독서목록!$C$2:$C$1091, B239)&gt;0, COUNTIF(독서목록!$C$2:$C$1091, B239))</f>
        <v>#NAME?</v>
      </c>
      <c r="F239" s="12" t="e">
        <f ca="1">_xludf.IFS(COUNTIF(보류목록!$C$3:$C$1000, B239)&gt;0, "-",COUNTIF(독서목록!$D$2:$D$1091, B239)=0, , COUNTIF(독서목록!$D$2:$D$1091, B239)&gt;0, COUNTIF(독서목록!$D$2:$D$1091, B239))</f>
        <v>#NAME?</v>
      </c>
      <c r="G239" s="13" t="s">
        <v>656</v>
      </c>
      <c r="H239" s="14" t="s">
        <v>75</v>
      </c>
      <c r="I239" s="14" t="s">
        <v>75</v>
      </c>
    </row>
    <row r="240" spans="1:9" ht="16.5" customHeight="1">
      <c r="A240" s="9"/>
      <c r="B240" s="10" t="s">
        <v>657</v>
      </c>
      <c r="C240" s="11" t="s">
        <v>52</v>
      </c>
      <c r="D240" s="11" t="s">
        <v>15</v>
      </c>
      <c r="E240" s="12" t="e">
        <f ca="1">_xludf.IFS(COUNTIF(보류목록!$B$3:$B$1000, B240)&gt;0, "-",COUNTIF(독서목록!$C$2:$C$1091, B240)=0, , COUNTIF(독서목록!$C$2:$C$1091, B240)&gt;0, COUNTIF(독서목록!$C$2:$C$1091, B240))</f>
        <v>#NAME?</v>
      </c>
      <c r="F240" s="12" t="e">
        <f ca="1">_xludf.IFS(COUNTIF(보류목록!$C$3:$C$1000, B240)&gt;0, "-",COUNTIF(독서목록!$D$2:$D$1091, B240)=0, , COUNTIF(독서목록!$D$2:$D$1091, B240)&gt;0, COUNTIF(독서목록!$D$2:$D$1091, B240))</f>
        <v>#NAME?</v>
      </c>
      <c r="G240" s="13" t="s">
        <v>656</v>
      </c>
      <c r="H240" s="14" t="s">
        <v>75</v>
      </c>
      <c r="I240" s="14" t="s">
        <v>75</v>
      </c>
    </row>
    <row r="241" spans="1:9" ht="16.5" customHeight="1">
      <c r="A241" s="9"/>
      <c r="B241" s="10" t="s">
        <v>658</v>
      </c>
      <c r="C241" s="11" t="s">
        <v>659</v>
      </c>
      <c r="D241" s="11" t="s">
        <v>15</v>
      </c>
      <c r="E241" s="12" t="e">
        <f ca="1">_xludf.IFS(COUNTIF(보류목록!$B$3:$B$1000, B241)&gt;0, "-",COUNTIF(독서목록!$C$2:$C$1091, B241)=0, , COUNTIF(독서목록!$C$2:$C$1091, B241)&gt;0, COUNTIF(독서목록!$C$2:$C$1091, B241))</f>
        <v>#NAME?</v>
      </c>
      <c r="F241" s="12" t="e">
        <f ca="1">_xludf.IFS(COUNTIF(보류목록!$C$3:$C$1000, B241)&gt;0, "-",COUNTIF(독서목록!$D$2:$D$1091, B241)=0, , COUNTIF(독서목록!$D$2:$D$1091, B241)&gt;0, COUNTIF(독서목록!$D$2:$D$1091, B241))</f>
        <v>#NAME?</v>
      </c>
      <c r="G241" s="13" t="s">
        <v>660</v>
      </c>
      <c r="H241" s="14" t="s">
        <v>75</v>
      </c>
      <c r="I241" s="14" t="s">
        <v>75</v>
      </c>
    </row>
    <row r="242" spans="1:9" ht="16.5" customHeight="1">
      <c r="A242" s="9"/>
      <c r="B242" s="10" t="s">
        <v>661</v>
      </c>
      <c r="C242" s="11" t="s">
        <v>662</v>
      </c>
      <c r="D242" s="11" t="s">
        <v>663</v>
      </c>
      <c r="E242" s="12" t="e">
        <f ca="1">_xludf.IFS(COUNTIF(보류목록!$B$3:$B$1000, B242)&gt;0, "-",COUNTIF(독서목록!$C$2:$C$1091, B242)=0, , COUNTIF(독서목록!$C$2:$C$1091, B242)&gt;0, COUNTIF(독서목록!$C$2:$C$1091, B242))</f>
        <v>#NAME?</v>
      </c>
      <c r="F242" s="12" t="e">
        <f ca="1">_xludf.IFS(COUNTIF(보류목록!$C$3:$C$1000, B242)&gt;0, "-",COUNTIF(독서목록!$D$2:$D$1091, B242)=0, , COUNTIF(독서목록!$D$2:$D$1091, B242)&gt;0, COUNTIF(독서목록!$D$2:$D$1091, B242))</f>
        <v>#NAME?</v>
      </c>
      <c r="G242" s="13" t="s">
        <v>664</v>
      </c>
      <c r="H242" s="14"/>
      <c r="I242" s="14"/>
    </row>
    <row r="243" spans="1:9" ht="16.5" customHeight="1">
      <c r="A243" s="9"/>
      <c r="B243" s="10" t="s">
        <v>665</v>
      </c>
      <c r="C243" s="11" t="s">
        <v>666</v>
      </c>
      <c r="D243" s="11" t="s">
        <v>459</v>
      </c>
      <c r="E243" s="12" t="e">
        <f ca="1">_xludf.IFS(COUNTIF(보류목록!$B$3:$B$1000, B243)&gt;0, "-",COUNTIF(독서목록!$C$2:$C$1091, B243)=0, , COUNTIF(독서목록!$C$2:$C$1091, B243)&gt;0, COUNTIF(독서목록!$C$2:$C$1091, B243))</f>
        <v>#NAME?</v>
      </c>
      <c r="F243" s="12" t="e">
        <f ca="1">_xludf.IFS(COUNTIF(보류목록!$C$3:$C$1000, B243)&gt;0, "-",COUNTIF(독서목록!$D$2:$D$1091, B243)=0, , COUNTIF(독서목록!$D$2:$D$1091, B243)&gt;0, COUNTIF(독서목록!$D$2:$D$1091, B243))</f>
        <v>#NAME?</v>
      </c>
      <c r="G243" s="13" t="s">
        <v>664</v>
      </c>
      <c r="H243" s="14"/>
      <c r="I243" s="14"/>
    </row>
    <row r="244" spans="1:9" ht="16.5" customHeight="1">
      <c r="A244" s="9"/>
      <c r="B244" s="10" t="s">
        <v>667</v>
      </c>
      <c r="C244" s="11" t="s">
        <v>668</v>
      </c>
      <c r="D244" s="11" t="s">
        <v>669</v>
      </c>
      <c r="E244" s="12" t="e">
        <f ca="1">_xludf.IFS(COUNTIF(보류목록!$B$3:$B$1000, B244)&gt;0, "-",COUNTIF(독서목록!$C$2:$C$1091, B244)=0, , COUNTIF(독서목록!$C$2:$C$1091, B244)&gt;0, COUNTIF(독서목록!$C$2:$C$1091, B244))</f>
        <v>#NAME?</v>
      </c>
      <c r="F244" s="12" t="e">
        <f ca="1">_xludf.IFS(COUNTIF(보류목록!$C$3:$C$1000, B244)&gt;0, "-",COUNTIF(독서목록!$D$2:$D$1091, B244)=0, , COUNTIF(독서목록!$D$2:$D$1091, B244)&gt;0, COUNTIF(독서목록!$D$2:$D$1091, B244))</f>
        <v>#NAME?</v>
      </c>
      <c r="G244" s="13" t="s">
        <v>664</v>
      </c>
      <c r="H244" s="14"/>
      <c r="I244" s="14"/>
    </row>
    <row r="245" spans="1:9" ht="16.5" customHeight="1">
      <c r="A245" s="9"/>
      <c r="B245" s="10" t="s">
        <v>670</v>
      </c>
      <c r="C245" s="11" t="s">
        <v>668</v>
      </c>
      <c r="D245" s="11" t="s">
        <v>669</v>
      </c>
      <c r="E245" s="12" t="e">
        <f ca="1">_xludf.IFS(COUNTIF(보류목록!$B$3:$B$1000, B245)&gt;0, "-",COUNTIF(독서목록!$C$2:$C$1091, B245)=0, , COUNTIF(독서목록!$C$2:$C$1091, B245)&gt;0, COUNTIF(독서목록!$C$2:$C$1091, B245))</f>
        <v>#NAME?</v>
      </c>
      <c r="F245" s="12" t="e">
        <f ca="1">_xludf.IFS(COUNTIF(보류목록!$C$3:$C$1000, B245)&gt;0, "-",COUNTIF(독서목록!$D$2:$D$1091, B245)=0, , COUNTIF(독서목록!$D$2:$D$1091, B245)&gt;0, COUNTIF(독서목록!$D$2:$D$1091, B245))</f>
        <v>#NAME?</v>
      </c>
      <c r="G245" s="13" t="s">
        <v>664</v>
      </c>
      <c r="H245" s="14"/>
      <c r="I245" s="14"/>
    </row>
    <row r="246" spans="1:9" ht="16.5" customHeight="1">
      <c r="A246" s="9"/>
      <c r="B246" s="10" t="s">
        <v>671</v>
      </c>
      <c r="C246" s="11" t="s">
        <v>672</v>
      </c>
      <c r="D246" s="11" t="s">
        <v>673</v>
      </c>
      <c r="E246" s="12" t="e">
        <f ca="1">_xludf.IFS(COUNTIF(보류목록!$B$3:$B$1000, B246)&gt;0, "-",COUNTIF(독서목록!$C$2:$C$1091, B246)=0, , COUNTIF(독서목록!$C$2:$C$1091, B246)&gt;0, COUNTIF(독서목록!$C$2:$C$1091, B246))</f>
        <v>#NAME?</v>
      </c>
      <c r="F246" s="12" t="e">
        <f ca="1">_xludf.IFS(COUNTIF(보류목록!$C$3:$C$1000, B246)&gt;0, "-",COUNTIF(독서목록!$D$2:$D$1091, B246)=0, , COUNTIF(독서목록!$D$2:$D$1091, B246)&gt;0, COUNTIF(독서목록!$D$2:$D$1091, B246))</f>
        <v>#NAME?</v>
      </c>
      <c r="G246" s="13" t="s">
        <v>664</v>
      </c>
      <c r="H246" s="14"/>
      <c r="I246" s="14"/>
    </row>
    <row r="247" spans="1:9" ht="16.5" customHeight="1">
      <c r="A247" s="9"/>
      <c r="B247" s="10" t="s">
        <v>674</v>
      </c>
      <c r="C247" s="11" t="s">
        <v>675</v>
      </c>
      <c r="D247" s="11" t="s">
        <v>676</v>
      </c>
      <c r="E247" s="12" t="e">
        <f ca="1">_xludf.IFS(COUNTIF(보류목록!$B$3:$B$1000, B247)&gt;0, "-",COUNTIF(독서목록!$C$2:$C$1091, B247)=0, , COUNTIF(독서목록!$C$2:$C$1091, B247)&gt;0, COUNTIF(독서목록!$C$2:$C$1091, B247))</f>
        <v>#NAME?</v>
      </c>
      <c r="F247" s="12" t="e">
        <f ca="1">_xludf.IFS(COUNTIF(보류목록!$C$3:$C$1000, B247)&gt;0, "-",COUNTIF(독서목록!$D$2:$D$1091, B247)=0, , COUNTIF(독서목록!$D$2:$D$1091, B247)&gt;0, COUNTIF(독서목록!$D$2:$D$1091, B247))</f>
        <v>#NAME?</v>
      </c>
      <c r="G247" s="13" t="s">
        <v>664</v>
      </c>
      <c r="H247" s="14" t="s">
        <v>75</v>
      </c>
      <c r="I247" s="14" t="s">
        <v>75</v>
      </c>
    </row>
    <row r="248" spans="1:9" ht="16.5" customHeight="1">
      <c r="A248" s="9"/>
      <c r="B248" s="10" t="s">
        <v>677</v>
      </c>
      <c r="C248" s="11" t="s">
        <v>678</v>
      </c>
      <c r="D248" s="11" t="s">
        <v>15</v>
      </c>
      <c r="E248" s="12" t="e">
        <f ca="1">_xludf.IFS(COUNTIF(보류목록!$B$3:$B$1000, B248)&gt;0, "-",COUNTIF(독서목록!$C$2:$C$1091, B248)=0, , COUNTIF(독서목록!$C$2:$C$1091, B248)&gt;0, COUNTIF(독서목록!$C$2:$C$1091, B248))</f>
        <v>#NAME?</v>
      </c>
      <c r="F248" s="12" t="e">
        <f ca="1">_xludf.IFS(COUNTIF(보류목록!$C$3:$C$1000, B248)&gt;0, "-",COUNTIF(독서목록!$D$2:$D$1091, B248)=0, , COUNTIF(독서목록!$D$2:$D$1091, B248)&gt;0, COUNTIF(독서목록!$D$2:$D$1091, B248))</f>
        <v>#NAME?</v>
      </c>
      <c r="G248" s="13" t="s">
        <v>664</v>
      </c>
      <c r="H248" s="14"/>
      <c r="I248" s="14"/>
    </row>
    <row r="249" spans="1:9" ht="16.5" customHeight="1">
      <c r="A249" s="9"/>
      <c r="B249" s="10" t="s">
        <v>679</v>
      </c>
      <c r="C249" s="11" t="s">
        <v>680</v>
      </c>
      <c r="D249" s="11" t="s">
        <v>15</v>
      </c>
      <c r="E249" s="12" t="e">
        <f ca="1">_xludf.IFS(COUNTIF(보류목록!$B$3:$B$1000, B249)&gt;0, "-",COUNTIF(독서목록!$C$2:$C$1091, B249)=0, , COUNTIF(독서목록!$C$2:$C$1091, B249)&gt;0, COUNTIF(독서목록!$C$2:$C$1091, B249))</f>
        <v>#NAME?</v>
      </c>
      <c r="F249" s="12" t="e">
        <f ca="1">_xludf.IFS(COUNTIF(보류목록!$C$3:$C$1000, B249)&gt;0, "-",COUNTIF(독서목록!$D$2:$D$1091, B249)=0, , COUNTIF(독서목록!$D$2:$D$1091, B249)&gt;0, COUNTIF(독서목록!$D$2:$D$1091, B249))</f>
        <v>#NAME?</v>
      </c>
      <c r="G249" s="13" t="s">
        <v>664</v>
      </c>
      <c r="H249" s="14"/>
      <c r="I249" s="14"/>
    </row>
    <row r="250" spans="1:9" ht="16.5" customHeight="1">
      <c r="A250" s="9"/>
      <c r="B250" s="10" t="s">
        <v>681</v>
      </c>
      <c r="C250" s="11" t="s">
        <v>682</v>
      </c>
      <c r="D250" s="11" t="s">
        <v>435</v>
      </c>
      <c r="E250" s="12" t="e">
        <f ca="1">_xludf.IFS(COUNTIF(보류목록!$B$3:$B$1000, B250)&gt;0, "-",COUNTIF(독서목록!$C$2:$C$1091, B250)=0, , COUNTIF(독서목록!$C$2:$C$1091, B250)&gt;0, COUNTIF(독서목록!$C$2:$C$1091, B250))</f>
        <v>#NAME?</v>
      </c>
      <c r="F250" s="12" t="e">
        <f ca="1">_xludf.IFS(COUNTIF(보류목록!$C$3:$C$1000, B250)&gt;0, "-",COUNTIF(독서목록!$D$2:$D$1091, B250)=0, , COUNTIF(독서목록!$D$2:$D$1091, B250)&gt;0, COUNTIF(독서목록!$D$2:$D$1091, B250))</f>
        <v>#NAME?</v>
      </c>
      <c r="G250" s="13" t="s">
        <v>683</v>
      </c>
      <c r="H250" s="14" t="s">
        <v>75</v>
      </c>
      <c r="I250" s="14" t="s">
        <v>75</v>
      </c>
    </row>
    <row r="251" spans="1:9" ht="16.5" customHeight="1">
      <c r="A251" s="9"/>
      <c r="B251" s="10" t="s">
        <v>684</v>
      </c>
      <c r="C251" s="10" t="s">
        <v>685</v>
      </c>
      <c r="D251" s="11" t="s">
        <v>435</v>
      </c>
      <c r="E251" s="12" t="e">
        <f ca="1">_xludf.IFS(COUNTIF(보류목록!$B$3:$B$1000, B251)&gt;0, "-",COUNTIF(독서목록!$C$2:$C$1091, B251)=0, , COUNTIF(독서목록!$C$2:$C$1091, B251)&gt;0, COUNTIF(독서목록!$C$2:$C$1091, B251))</f>
        <v>#NAME?</v>
      </c>
      <c r="F251" s="12" t="e">
        <f ca="1">_xludf.IFS(COUNTIF(보류목록!$C$3:$C$1000, B251)&gt;0, "-",COUNTIF(독서목록!$D$2:$D$1091, B251)=0, , COUNTIF(독서목록!$D$2:$D$1091, B251)&gt;0, COUNTIF(독서목록!$D$2:$D$1091, B251))</f>
        <v>#NAME?</v>
      </c>
      <c r="G251" s="13" t="s">
        <v>683</v>
      </c>
      <c r="H251" s="14" t="s">
        <v>75</v>
      </c>
      <c r="I251" s="14" t="s">
        <v>75</v>
      </c>
    </row>
    <row r="252" spans="1:9" ht="16.5" customHeight="1">
      <c r="A252" s="9"/>
      <c r="B252" s="10" t="s">
        <v>686</v>
      </c>
      <c r="C252" s="10" t="s">
        <v>687</v>
      </c>
      <c r="D252" s="11" t="s">
        <v>688</v>
      </c>
      <c r="E252" s="12" t="e">
        <f ca="1">_xludf.IFS(COUNTIF(보류목록!$B$3:$B$1000, B252)&gt;0, "-",COUNTIF(독서목록!$C$2:$C$1091, B252)=0, , COUNTIF(독서목록!$C$2:$C$1091, B252)&gt;0, COUNTIF(독서목록!$C$2:$C$1091, B252))</f>
        <v>#NAME?</v>
      </c>
      <c r="F252" s="12" t="e">
        <f ca="1">_xludf.IFS(COUNTIF(보류목록!$C$3:$C$1000, B252)&gt;0, "-",COUNTIF(독서목록!$D$2:$D$1091, B252)=0, , COUNTIF(독서목록!$D$2:$D$1091, B252)&gt;0, COUNTIF(독서목록!$D$2:$D$1091, B252))</f>
        <v>#NAME?</v>
      </c>
      <c r="G252" s="13" t="s">
        <v>689</v>
      </c>
      <c r="H252" s="14"/>
      <c r="I252" s="14"/>
    </row>
    <row r="253" spans="1:9" ht="16.5" customHeight="1">
      <c r="A253" s="9"/>
      <c r="B253" s="10" t="s">
        <v>690</v>
      </c>
      <c r="C253" s="11" t="s">
        <v>276</v>
      </c>
      <c r="D253" s="11" t="s">
        <v>282</v>
      </c>
      <c r="E253" s="12" t="e">
        <f ca="1">_xludf.IFS(COUNTIF(보류목록!$B$3:$B$1000, B253)&gt;0, "-",COUNTIF(독서목록!$C$2:$C$1091, B253)=0, , COUNTIF(독서목록!$C$2:$C$1091, B253)&gt;0, COUNTIF(독서목록!$C$2:$C$1091, B253))</f>
        <v>#NAME?</v>
      </c>
      <c r="F253" s="12" t="e">
        <f ca="1">_xludf.IFS(COUNTIF(보류목록!$C$3:$C$1000, B253)&gt;0, "-",COUNTIF(독서목록!$D$2:$D$1091, B253)=0, , COUNTIF(독서목록!$D$2:$D$1091, B253)&gt;0, COUNTIF(독서목록!$D$2:$D$1091, B253))</f>
        <v>#NAME?</v>
      </c>
      <c r="G253" s="13" t="s">
        <v>689</v>
      </c>
      <c r="H253" s="14"/>
      <c r="I253" s="14"/>
    </row>
    <row r="254" spans="1:9" ht="16.5" customHeight="1">
      <c r="A254" s="9"/>
      <c r="B254" s="10" t="s">
        <v>691</v>
      </c>
      <c r="C254" s="20" t="s">
        <v>81</v>
      </c>
      <c r="D254" s="20" t="s">
        <v>82</v>
      </c>
      <c r="E254" s="12" t="e">
        <f ca="1">_xludf.IFS(COUNTIF(보류목록!$B$3:$B$1000, B254)&gt;0, "-",COUNTIF(독서목록!$C$2:$C$1091, B254)=0, , COUNTIF(독서목록!$C$2:$C$1091, B254)&gt;0, COUNTIF(독서목록!$C$2:$C$1091, B254))</f>
        <v>#NAME?</v>
      </c>
      <c r="F254" s="12" t="e">
        <f ca="1">_xludf.IFS(COUNTIF(보류목록!$C$3:$C$1000, B254)&gt;0, "-",COUNTIF(독서목록!$D$2:$D$1091, B254)=0, , COUNTIF(독서목록!$D$2:$D$1091, B254)&gt;0, COUNTIF(독서목록!$D$2:$D$1091, B254))</f>
        <v>#NAME?</v>
      </c>
      <c r="G254" s="21" t="s">
        <v>689</v>
      </c>
      <c r="H254" s="14"/>
      <c r="I254" s="14"/>
    </row>
    <row r="255" spans="1:9" ht="16.5" customHeight="1">
      <c r="A255" s="9"/>
      <c r="B255" s="10" t="s">
        <v>692</v>
      </c>
      <c r="C255" s="10" t="s">
        <v>693</v>
      </c>
      <c r="D255" s="20" t="s">
        <v>694</v>
      </c>
      <c r="E255" s="12" t="e">
        <f ca="1">_xludf.IFS(COUNTIF(보류목록!$B$3:$B$1000, B255)&gt;0, "-",COUNTIF(독서목록!$C$2:$C$1091, B255)=0, , COUNTIF(독서목록!$C$2:$C$1091, B255)&gt;0, COUNTIF(독서목록!$C$2:$C$1091, B255))</f>
        <v>#NAME?</v>
      </c>
      <c r="F255" s="12" t="e">
        <f ca="1">_xludf.IFS(COUNTIF(보류목록!$C$3:$C$1000, B255)&gt;0, "-",COUNTIF(독서목록!$D$2:$D$1091, B255)=0, , COUNTIF(독서목록!$D$2:$D$1091, B255)&gt;0, COUNTIF(독서목록!$D$2:$D$1091, B255))</f>
        <v>#NAME?</v>
      </c>
      <c r="G255" s="21" t="s">
        <v>689</v>
      </c>
      <c r="H255" s="14"/>
      <c r="I255" s="14"/>
    </row>
    <row r="256" spans="1:9" ht="16.5" customHeight="1">
      <c r="A256" s="9"/>
      <c r="B256" s="10" t="s">
        <v>695</v>
      </c>
      <c r="C256" s="10" t="s">
        <v>696</v>
      </c>
      <c r="D256" s="20" t="s">
        <v>527</v>
      </c>
      <c r="E256" s="12" t="e">
        <f ca="1">_xludf.IFS(COUNTIF(보류목록!$B$3:$B$1000, B256)&gt;0, "-",COUNTIF(독서목록!$C$2:$C$1091, B256)=0, , COUNTIF(독서목록!$C$2:$C$1091, B256)&gt;0, COUNTIF(독서목록!$C$2:$C$1091, B256))</f>
        <v>#NAME?</v>
      </c>
      <c r="F256" s="12" t="e">
        <f ca="1">_xludf.IFS(COUNTIF(보류목록!$C$3:$C$1000, B256)&gt;0, "-",COUNTIF(독서목록!$D$2:$D$1091, B256)=0, , COUNTIF(독서목록!$D$2:$D$1091, B256)&gt;0, COUNTIF(독서목록!$D$2:$D$1091, B256))</f>
        <v>#NAME?</v>
      </c>
      <c r="G256" s="21" t="s">
        <v>697</v>
      </c>
      <c r="H256" s="14" t="s">
        <v>75</v>
      </c>
      <c r="I256" s="14" t="s">
        <v>75</v>
      </c>
    </row>
    <row r="257" spans="1:9" ht="16.5" customHeight="1">
      <c r="A257" s="9"/>
      <c r="B257" s="10" t="s">
        <v>698</v>
      </c>
      <c r="C257" s="10" t="s">
        <v>696</v>
      </c>
      <c r="D257" s="20" t="s">
        <v>527</v>
      </c>
      <c r="E257" s="12" t="e">
        <f ca="1">_xludf.IFS(COUNTIF(보류목록!$B$3:$B$1000, B257)&gt;0, "-",COUNTIF(독서목록!$C$2:$C$1091, B257)=0, , COUNTIF(독서목록!$C$2:$C$1091, B257)&gt;0, COUNTIF(독서목록!$C$2:$C$1091, B257))</f>
        <v>#NAME?</v>
      </c>
      <c r="F257" s="12" t="e">
        <f ca="1">_xludf.IFS(COUNTIF(보류목록!$C$3:$C$1000, B257)&gt;0, "-",COUNTIF(독서목록!$D$2:$D$1091, B257)=0, , COUNTIF(독서목록!$D$2:$D$1091, B257)&gt;0, COUNTIF(독서목록!$D$2:$D$1091, B257))</f>
        <v>#NAME?</v>
      </c>
      <c r="G257" s="21" t="s">
        <v>697</v>
      </c>
      <c r="H257" s="14" t="s">
        <v>75</v>
      </c>
      <c r="I257" s="14" t="s">
        <v>75</v>
      </c>
    </row>
    <row r="258" spans="1:9" ht="16.5" customHeight="1">
      <c r="A258" s="9"/>
      <c r="B258" s="10" t="s">
        <v>699</v>
      </c>
      <c r="C258" s="10" t="s">
        <v>696</v>
      </c>
      <c r="D258" s="20" t="s">
        <v>527</v>
      </c>
      <c r="E258" s="12" t="e">
        <f ca="1">_xludf.IFS(COUNTIF(보류목록!$B$3:$B$1000, B258)&gt;0, "-",COUNTIF(독서목록!$C$2:$C$1091, B258)=0, , COUNTIF(독서목록!$C$2:$C$1091, B258)&gt;0, COUNTIF(독서목록!$C$2:$C$1091, B258))</f>
        <v>#NAME?</v>
      </c>
      <c r="F258" s="12" t="e">
        <f ca="1">_xludf.IFS(COUNTIF(보류목록!$C$3:$C$1000, B258)&gt;0, "-",COUNTIF(독서목록!$D$2:$D$1091, B258)=0, , COUNTIF(독서목록!$D$2:$D$1091, B258)&gt;0, COUNTIF(독서목록!$D$2:$D$1091, B258))</f>
        <v>#NAME?</v>
      </c>
      <c r="G258" s="21" t="s">
        <v>697</v>
      </c>
      <c r="H258" s="14" t="s">
        <v>75</v>
      </c>
      <c r="I258" s="14" t="s">
        <v>75</v>
      </c>
    </row>
    <row r="259" spans="1:9" ht="16.5" customHeight="1">
      <c r="A259" s="9"/>
      <c r="B259" s="10" t="s">
        <v>700</v>
      </c>
      <c r="C259" s="10" t="s">
        <v>701</v>
      </c>
      <c r="D259" s="20" t="s">
        <v>256</v>
      </c>
      <c r="E259" s="12" t="e">
        <f ca="1">_xludf.IFS(COUNTIF(보류목록!$B$3:$B$1000, B259)&gt;0, "-",COUNTIF(독서목록!$C$2:$C$1091, B259)=0, , COUNTIF(독서목록!$C$2:$C$1091, B259)&gt;0, COUNTIF(독서목록!$C$2:$C$1091, B259))</f>
        <v>#NAME?</v>
      </c>
      <c r="F259" s="12" t="e">
        <f ca="1">_xludf.IFS(COUNTIF(보류목록!$C$3:$C$1000, B259)&gt;0, "-",COUNTIF(독서목록!$D$2:$D$1091, B259)=0, , COUNTIF(독서목록!$D$2:$D$1091, B259)&gt;0, COUNTIF(독서목록!$D$2:$D$1091, B259))</f>
        <v>#NAME?</v>
      </c>
      <c r="G259" s="21" t="s">
        <v>697</v>
      </c>
      <c r="H259" s="14"/>
      <c r="I259" s="14"/>
    </row>
    <row r="260" spans="1:9" ht="16.5" customHeight="1">
      <c r="A260" s="9"/>
      <c r="B260" s="10" t="s">
        <v>702</v>
      </c>
      <c r="C260" s="10" t="s">
        <v>52</v>
      </c>
      <c r="D260" s="20" t="s">
        <v>15</v>
      </c>
      <c r="E260" s="12" t="e">
        <f ca="1">_xludf.IFS(COUNTIF(보류목록!$B$3:$B$1000, B260)&gt;0, "-",COUNTIF(독서목록!$C$2:$C$1091, B260)=0, , COUNTIF(독서목록!$C$2:$C$1091, B260)&gt;0, COUNTIF(독서목록!$C$2:$C$1091, B260))</f>
        <v>#NAME?</v>
      </c>
      <c r="F260" s="12" t="e">
        <f ca="1">_xludf.IFS(COUNTIF(보류목록!$C$3:$C$1000, B260)&gt;0, "-",COUNTIF(독서목록!$D$2:$D$1091, B260)=0, , COUNTIF(독서목록!$D$2:$D$1091, B260)&gt;0, COUNTIF(독서목록!$D$2:$D$1091, B260))</f>
        <v>#NAME?</v>
      </c>
      <c r="G260" s="21" t="s">
        <v>697</v>
      </c>
      <c r="H260" s="14"/>
      <c r="I260" s="14"/>
    </row>
    <row r="261" spans="1:9" ht="16.5" customHeight="1">
      <c r="A261" s="9"/>
      <c r="B261" s="10" t="s">
        <v>703</v>
      </c>
      <c r="C261" s="10" t="s">
        <v>704</v>
      </c>
      <c r="D261" s="20" t="s">
        <v>471</v>
      </c>
      <c r="E261" s="12" t="e">
        <f ca="1">_xludf.IFS(COUNTIF(보류목록!$B$3:$B$1000, B261)&gt;0, "-",COUNTIF(독서목록!$C$2:$C$1091, B261)=0, , COUNTIF(독서목록!$C$2:$C$1091, B261)&gt;0, COUNTIF(독서목록!$C$2:$C$1091, B261))</f>
        <v>#NAME?</v>
      </c>
      <c r="F261" s="12" t="e">
        <f ca="1">_xludf.IFS(COUNTIF(보류목록!$C$3:$C$1000, B261)&gt;0, "-",COUNTIF(독서목록!$D$2:$D$1091, B261)=0, , COUNTIF(독서목록!$D$2:$D$1091, B261)&gt;0, COUNTIF(독서목록!$D$2:$D$1091, B261))</f>
        <v>#NAME?</v>
      </c>
      <c r="G261" s="21" t="s">
        <v>697</v>
      </c>
      <c r="H261" s="14"/>
      <c r="I261" s="14"/>
    </row>
    <row r="262" spans="1:9" ht="16.5" customHeight="1">
      <c r="A262" s="9"/>
      <c r="B262" s="10" t="s">
        <v>705</v>
      </c>
      <c r="C262" s="10" t="s">
        <v>706</v>
      </c>
      <c r="D262" s="20" t="s">
        <v>435</v>
      </c>
      <c r="E262" s="12" t="e">
        <f ca="1">_xludf.IFS(COUNTIF(보류목록!$B$3:$B$1000, B262)&gt;0, "-",COUNTIF(독서목록!$C$2:$C$1091, B262)=0, , COUNTIF(독서목록!$C$2:$C$1091, B262)&gt;0, COUNTIF(독서목록!$C$2:$C$1091, B262))</f>
        <v>#NAME?</v>
      </c>
      <c r="F262" s="12" t="e">
        <f ca="1">_xludf.IFS(COUNTIF(보류목록!$C$3:$C$1000, B262)&gt;0, "-",COUNTIF(독서목록!$D$2:$D$1091, B262)=0, , COUNTIF(독서목록!$D$2:$D$1091, B262)&gt;0, COUNTIF(독서목록!$D$2:$D$1091, B262))</f>
        <v>#NAME?</v>
      </c>
      <c r="G262" s="21" t="s">
        <v>697</v>
      </c>
      <c r="H262" s="14" t="s">
        <v>75</v>
      </c>
      <c r="I262" s="14" t="s">
        <v>75</v>
      </c>
    </row>
    <row r="263" spans="1:9" ht="16.5" customHeight="1">
      <c r="A263" s="9"/>
      <c r="B263" s="10" t="s">
        <v>707</v>
      </c>
      <c r="C263" s="10" t="s">
        <v>708</v>
      </c>
      <c r="D263" s="20" t="s">
        <v>709</v>
      </c>
      <c r="E263" s="12" t="e">
        <f ca="1">_xludf.IFS(COUNTIF(보류목록!$B$3:$B$1000, B263)&gt;0, "-",COUNTIF(독서목록!$C$2:$C$1091, B263)=0, , COUNTIF(독서목록!$C$2:$C$1091, B263)&gt;0, COUNTIF(독서목록!$C$2:$C$1091, B263))</f>
        <v>#NAME?</v>
      </c>
      <c r="F263" s="12" t="e">
        <f ca="1">_xludf.IFS(COUNTIF(보류목록!$C$3:$C$1000, B263)&gt;0, "-",COUNTIF(독서목록!$D$2:$D$1091, B263)=0, , COUNTIF(독서목록!$D$2:$D$1091, B263)&gt;0, COUNTIF(독서목록!$D$2:$D$1091, B263))</f>
        <v>#NAME?</v>
      </c>
      <c r="G263" s="21" t="s">
        <v>697</v>
      </c>
      <c r="H263" s="14" t="s">
        <v>75</v>
      </c>
      <c r="I263" s="14">
        <v>25.12</v>
      </c>
    </row>
    <row r="264" spans="1:9" ht="16.5" customHeight="1">
      <c r="A264" s="22"/>
      <c r="B264" s="20" t="s">
        <v>710</v>
      </c>
      <c r="C264" s="10" t="s">
        <v>711</v>
      </c>
      <c r="D264" s="20" t="s">
        <v>712</v>
      </c>
      <c r="E264" s="12" t="e">
        <f ca="1">_xludf.IFS(COUNTIF(보류목록!$B$3:$B$1000, B264)&gt;0, "-",COUNTIF(독서목록!$C$2:$C$1091, B264)=0, , COUNTIF(독서목록!$C$2:$C$1091, B264)&gt;0, COUNTIF(독서목록!$C$2:$C$1091, B264))</f>
        <v>#NAME?</v>
      </c>
      <c r="F264" s="12" t="e">
        <f ca="1">_xludf.IFS(COUNTIF(보류목록!$C$3:$C$1000, B264)&gt;0, "-",COUNTIF(독서목록!$D$2:$D$1091, B264)=0, , COUNTIF(독서목록!$D$2:$D$1091, B264)&gt;0, COUNTIF(독서목록!$D$2:$D$1091, B264))</f>
        <v>#NAME?</v>
      </c>
      <c r="G264" s="21" t="s">
        <v>713</v>
      </c>
      <c r="H264" s="14"/>
      <c r="I264" s="14"/>
    </row>
    <row r="265" spans="1:9" ht="16.5" customHeight="1">
      <c r="A265" s="9"/>
      <c r="B265" s="10" t="s">
        <v>714</v>
      </c>
      <c r="C265" s="10" t="s">
        <v>715</v>
      </c>
      <c r="D265" s="20" t="s">
        <v>471</v>
      </c>
      <c r="E265" s="12" t="e">
        <f ca="1">_xludf.IFS(COUNTIF(보류목록!$B$3:$B$1000, B265)&gt;0, "-",COUNTIF(독서목록!$C$2:$C$1091, B265)=0, , COUNTIF(독서목록!$C$2:$C$1091, B265)&gt;0, COUNTIF(독서목록!$C$2:$C$1091, B265))</f>
        <v>#NAME?</v>
      </c>
      <c r="F265" s="12" t="e">
        <f ca="1">_xludf.IFS(COUNTIF(보류목록!$C$3:$C$1000, B265)&gt;0, "-",COUNTIF(독서목록!$D$2:$D$1091, B265)=0, , COUNTIF(독서목록!$D$2:$D$1091, B265)&gt;0, COUNTIF(독서목록!$D$2:$D$1091, B265))</f>
        <v>#NAME?</v>
      </c>
      <c r="G265" s="21" t="s">
        <v>713</v>
      </c>
      <c r="H265" s="14"/>
      <c r="I265" s="14"/>
    </row>
    <row r="266" spans="1:9" ht="16.5" customHeight="1">
      <c r="A266" s="9"/>
      <c r="B266" s="10" t="s">
        <v>716</v>
      </c>
      <c r="C266" s="10" t="s">
        <v>117</v>
      </c>
      <c r="D266" s="20" t="s">
        <v>639</v>
      </c>
      <c r="E266" s="12" t="e">
        <f ca="1">_xludf.IFS(COUNTIF(보류목록!$B$3:$B$1000, B266)&gt;0, "-",COUNTIF(독서목록!$C$2:$C$1091, B266)=0, , COUNTIF(독서목록!$C$2:$C$1091, B266)&gt;0, COUNTIF(독서목록!$C$2:$C$1091, B266))</f>
        <v>#NAME?</v>
      </c>
      <c r="F266" s="12" t="e">
        <f ca="1">_xludf.IFS(COUNTIF(보류목록!$C$3:$C$1000, B266)&gt;0, "-",COUNTIF(독서목록!$D$2:$D$1091, B266)=0, , COUNTIF(독서목록!$D$2:$D$1091, B266)&gt;0, COUNTIF(독서목록!$D$2:$D$1091, B266))</f>
        <v>#NAME?</v>
      </c>
      <c r="G266" s="21" t="s">
        <v>713</v>
      </c>
      <c r="H266" s="14"/>
      <c r="I266" s="14"/>
    </row>
    <row r="267" spans="1:9" ht="16.5" customHeight="1">
      <c r="A267" s="9"/>
      <c r="B267" s="10" t="s">
        <v>717</v>
      </c>
      <c r="C267" s="10" t="s">
        <v>117</v>
      </c>
      <c r="D267" s="20" t="s">
        <v>639</v>
      </c>
      <c r="E267" s="12" t="e">
        <f ca="1">_xludf.IFS(COUNTIF(보류목록!$B$3:$B$1000, B267)&gt;0, "-",COUNTIF(독서목록!$C$2:$C$1091, B267)=0, , COUNTIF(독서목록!$C$2:$C$1091, B267)&gt;0, COUNTIF(독서목록!$C$2:$C$1091, B267))</f>
        <v>#NAME?</v>
      </c>
      <c r="F267" s="12" t="e">
        <f ca="1">_xludf.IFS(COUNTIF(보류목록!$C$3:$C$1000, B267)&gt;0, "-",COUNTIF(독서목록!$D$2:$D$1091, B267)=0, , COUNTIF(독서목록!$D$2:$D$1091, B267)&gt;0, COUNTIF(독서목록!$D$2:$D$1091, B267))</f>
        <v>#NAME?</v>
      </c>
      <c r="G267" s="21" t="s">
        <v>713</v>
      </c>
      <c r="H267" s="14"/>
      <c r="I267" s="14"/>
    </row>
    <row r="268" spans="1:9" ht="16.5" customHeight="1">
      <c r="A268" s="9"/>
      <c r="B268" s="10" t="s">
        <v>718</v>
      </c>
      <c r="C268" s="10" t="s">
        <v>719</v>
      </c>
      <c r="D268" s="20" t="s">
        <v>720</v>
      </c>
      <c r="E268" s="12" t="e">
        <f ca="1">_xludf.IFS(COUNTIF(보류목록!$B$3:$B$1000, B268)&gt;0, "-",COUNTIF(독서목록!$C$2:$C$1091, B268)=0, , COUNTIF(독서목록!$C$2:$C$1091, B268)&gt;0, COUNTIF(독서목록!$C$2:$C$1091, B268))</f>
        <v>#NAME?</v>
      </c>
      <c r="F268" s="12" t="e">
        <f ca="1">_xludf.IFS(COUNTIF(보류목록!$C$3:$C$1000, B268)&gt;0, "-",COUNTIF(독서목록!$D$2:$D$1091, B268)=0, , COUNTIF(독서목록!$D$2:$D$1091, B268)&gt;0, COUNTIF(독서목록!$D$2:$D$1091, B268))</f>
        <v>#NAME?</v>
      </c>
      <c r="G268" s="21" t="s">
        <v>713</v>
      </c>
      <c r="H268" s="14" t="s">
        <v>75</v>
      </c>
      <c r="I268" s="14" t="s">
        <v>75</v>
      </c>
    </row>
    <row r="269" spans="1:9" ht="16.5" customHeight="1">
      <c r="A269" s="9"/>
      <c r="B269" s="10" t="s">
        <v>721</v>
      </c>
      <c r="C269" s="10" t="s">
        <v>722</v>
      </c>
      <c r="D269" s="20" t="s">
        <v>723</v>
      </c>
      <c r="E269" s="12" t="e">
        <f ca="1">_xludf.IFS(COUNTIF(보류목록!$B$3:$B$1000, B269)&gt;0, "-",COUNTIF(독서목록!$C$2:$C$1091, B269)=0, , COUNTIF(독서목록!$C$2:$C$1091, B269)&gt;0, COUNTIF(독서목록!$C$2:$C$1091, B269))</f>
        <v>#NAME?</v>
      </c>
      <c r="F269" s="12" t="e">
        <f ca="1">_xludf.IFS(COUNTIF(보류목록!$C$3:$C$1000, B269)&gt;0, "-",COUNTIF(독서목록!$D$2:$D$1091, B269)=0, , COUNTIF(독서목록!$D$2:$D$1091, B269)&gt;0, COUNTIF(독서목록!$D$2:$D$1091, B269))</f>
        <v>#NAME?</v>
      </c>
      <c r="G269" s="21" t="s">
        <v>724</v>
      </c>
      <c r="H269" s="14"/>
      <c r="I269" s="14"/>
    </row>
    <row r="270" spans="1:9" ht="16.5" customHeight="1">
      <c r="A270" s="9"/>
      <c r="B270" s="10" t="s">
        <v>725</v>
      </c>
      <c r="C270" s="10" t="s">
        <v>726</v>
      </c>
      <c r="D270" s="20" t="s">
        <v>727</v>
      </c>
      <c r="E270" s="12" t="e">
        <f ca="1">_xludf.IFS(COUNTIF(보류목록!$B$3:$B$1000, B270)&gt;0, "-",COUNTIF(독서목록!$C$2:$C$1091, B270)=0, , COUNTIF(독서목록!$C$2:$C$1091, B270)&gt;0, COUNTIF(독서목록!$C$2:$C$1091, B270))</f>
        <v>#NAME?</v>
      </c>
      <c r="F270" s="12" t="e">
        <f ca="1">_xludf.IFS(COUNTIF(보류목록!$C$3:$C$1000, B270)&gt;0, "-",COUNTIF(독서목록!$D$2:$D$1091, B270)=0, , COUNTIF(독서목록!$D$2:$D$1091, B270)&gt;0, COUNTIF(독서목록!$D$2:$D$1091, B270))</f>
        <v>#NAME?</v>
      </c>
      <c r="G270" s="21" t="s">
        <v>724</v>
      </c>
      <c r="H270" s="14"/>
      <c r="I270" s="14"/>
    </row>
    <row r="271" spans="1:9" ht="16.5" customHeight="1">
      <c r="A271" s="9"/>
      <c r="B271" s="10" t="s">
        <v>728</v>
      </c>
      <c r="C271" s="10" t="s">
        <v>729</v>
      </c>
      <c r="D271" s="10" t="s">
        <v>471</v>
      </c>
      <c r="E271" s="12" t="e">
        <f ca="1">_xludf.IFS(COUNTIF(보류목록!$B$3:$B$1000, B271)&gt;0, "-",COUNTIF(독서목록!$C$2:$C$1091, B271)=0, , COUNTIF(독서목록!$C$2:$C$1091, B271)&gt;0, COUNTIF(독서목록!$C$2:$C$1091, B271))</f>
        <v>#NAME?</v>
      </c>
      <c r="F271" s="12" t="e">
        <f ca="1">_xludf.IFS(COUNTIF(보류목록!$C$3:$C$1000, B271)&gt;0, "-",COUNTIF(독서목록!$D$2:$D$1091, B271)=0, , COUNTIF(독서목록!$D$2:$D$1091, B271)&gt;0, COUNTIF(독서목록!$D$2:$D$1091, B271))</f>
        <v>#NAME?</v>
      </c>
      <c r="G271" s="12" t="s">
        <v>730</v>
      </c>
      <c r="H271" s="14" t="s">
        <v>75</v>
      </c>
      <c r="I271" s="14" t="s">
        <v>75</v>
      </c>
    </row>
    <row r="272" spans="1:9" ht="16.5" customHeight="1">
      <c r="A272" s="9"/>
      <c r="B272" s="10" t="s">
        <v>731</v>
      </c>
      <c r="C272" s="10" t="s">
        <v>732</v>
      </c>
      <c r="D272" s="10" t="s">
        <v>452</v>
      </c>
      <c r="E272" s="12" t="e">
        <f ca="1">_xludf.IFS(COUNTIF(보류목록!$B$3:$B$1000, B272)&gt;0, "-",COUNTIF(독서목록!$C$2:$C$1091, B272)=0, , COUNTIF(독서목록!$C$2:$C$1091, B272)&gt;0, COUNTIF(독서목록!$C$2:$C$1091, B272))</f>
        <v>#NAME?</v>
      </c>
      <c r="F272" s="12" t="e">
        <f ca="1">_xludf.IFS(COUNTIF(보류목록!$C$3:$C$1000, B272)&gt;0, "-",COUNTIF(독서목록!$D$2:$D$1091, B272)=0, , COUNTIF(독서목록!$D$2:$D$1091, B272)&gt;0, COUNTIF(독서목록!$D$2:$D$1091, B272))</f>
        <v>#NAME?</v>
      </c>
      <c r="G272" s="12" t="s">
        <v>733</v>
      </c>
      <c r="H272" s="14" t="s">
        <v>75</v>
      </c>
      <c r="I272" s="14" t="s">
        <v>75</v>
      </c>
    </row>
    <row r="273" spans="1:9" ht="16.5" customHeight="1">
      <c r="A273" s="9"/>
      <c r="B273" s="10" t="s">
        <v>734</v>
      </c>
      <c r="C273" s="10" t="s">
        <v>735</v>
      </c>
      <c r="D273" s="10" t="s">
        <v>452</v>
      </c>
      <c r="E273" s="12" t="e">
        <f ca="1">_xludf.IFS(COUNTIF(보류목록!$B$3:$B$1000, B273)&gt;0, "-",COUNTIF(독서목록!$C$2:$C$1091, B273)=0, , COUNTIF(독서목록!$C$2:$C$1091, B273)&gt;0, COUNTIF(독서목록!$C$2:$C$1091, B273))</f>
        <v>#NAME?</v>
      </c>
      <c r="F273" s="12" t="e">
        <f ca="1">_xludf.IFS(COUNTIF(보류목록!$C$3:$C$1000, B273)&gt;0, "-",COUNTIF(독서목록!$D$2:$D$1091, B273)=0, , COUNTIF(독서목록!$D$2:$D$1091, B273)&gt;0, COUNTIF(독서목록!$D$2:$D$1091, B273))</f>
        <v>#NAME?</v>
      </c>
      <c r="G273" s="12" t="s">
        <v>733</v>
      </c>
      <c r="H273" s="14" t="s">
        <v>75</v>
      </c>
      <c r="I273" s="14" t="s">
        <v>75</v>
      </c>
    </row>
    <row r="274" spans="1:9" ht="16.5" customHeight="1">
      <c r="A274" s="9"/>
      <c r="B274" s="10" t="s">
        <v>736</v>
      </c>
      <c r="C274" s="10" t="s">
        <v>737</v>
      </c>
      <c r="D274" s="10" t="s">
        <v>7</v>
      </c>
      <c r="E274" s="12" t="e">
        <f ca="1">_xludf.IFS(COUNTIF(보류목록!$B$3:$B$1000, B274)&gt;0, "-",COUNTIF(독서목록!$C$2:$C$1091, B274)=0, , COUNTIF(독서목록!$C$2:$C$1091, B274)&gt;0, COUNTIF(독서목록!$C$2:$C$1091, B274))</f>
        <v>#NAME?</v>
      </c>
      <c r="F274" s="12" t="e">
        <f ca="1">_xludf.IFS(COUNTIF(보류목록!$C$3:$C$1000, B274)&gt;0, "-",COUNTIF(독서목록!$D$2:$D$1091, B274)=0, , COUNTIF(독서목록!$D$2:$D$1091, B274)&gt;0, COUNTIF(독서목록!$D$2:$D$1091, B274))</f>
        <v>#NAME?</v>
      </c>
      <c r="G274" s="12" t="s">
        <v>738</v>
      </c>
      <c r="H274" s="14"/>
      <c r="I274" s="14"/>
    </row>
    <row r="275" spans="1:9" ht="16.5" customHeight="1">
      <c r="A275" s="9"/>
      <c r="B275" s="10" t="s">
        <v>739</v>
      </c>
      <c r="C275" s="10" t="s">
        <v>740</v>
      </c>
      <c r="D275" s="10" t="s">
        <v>741</v>
      </c>
      <c r="E275" s="12" t="e">
        <f ca="1">_xludf.IFS(COUNTIF(보류목록!$B$3:$B$1000, B275)&gt;0, "-",COUNTIF(독서목록!$C$2:$C$1091, B275)=0, , COUNTIF(독서목록!$C$2:$C$1091, B275)&gt;0, COUNTIF(독서목록!$C$2:$C$1091, B275))</f>
        <v>#NAME?</v>
      </c>
      <c r="F275" s="12" t="e">
        <f ca="1">_xludf.IFS(COUNTIF(보류목록!$C$3:$C$1000, B275)&gt;0, "-",COUNTIF(독서목록!$D$2:$D$1091, B275)=0, , COUNTIF(독서목록!$D$2:$D$1091, B275)&gt;0, COUNTIF(독서목록!$D$2:$D$1091, B275))</f>
        <v>#NAME?</v>
      </c>
      <c r="G275" s="12" t="s">
        <v>742</v>
      </c>
      <c r="H275" s="14"/>
      <c r="I275" s="14"/>
    </row>
    <row r="276" spans="1:9" ht="16.5" customHeight="1">
      <c r="A276" s="9"/>
      <c r="B276" s="10" t="s">
        <v>743</v>
      </c>
      <c r="C276" s="10" t="s">
        <v>740</v>
      </c>
      <c r="D276" s="10" t="s">
        <v>741</v>
      </c>
      <c r="E276" s="12" t="e">
        <f ca="1">_xludf.IFS(COUNTIF(보류목록!$B$3:$B$1000, B276)&gt;0, "-",COUNTIF(독서목록!$C$2:$C$1091, B276)=0, , COUNTIF(독서목록!$C$2:$C$1091, B276)&gt;0, COUNTIF(독서목록!$C$2:$C$1091, B276))</f>
        <v>#NAME?</v>
      </c>
      <c r="F276" s="12" t="e">
        <f ca="1">_xludf.IFS(COUNTIF(보류목록!$C$3:$C$1000, B276)&gt;0, "-",COUNTIF(독서목록!$D$2:$D$1091, B276)=0, , COUNTIF(독서목록!$D$2:$D$1091, B276)&gt;0, COUNTIF(독서목록!$D$2:$D$1091, B276))</f>
        <v>#NAME?</v>
      </c>
      <c r="G276" s="12" t="s">
        <v>742</v>
      </c>
      <c r="H276" s="14"/>
      <c r="I276" s="14"/>
    </row>
    <row r="277" spans="1:9" ht="16.5" customHeight="1">
      <c r="A277" s="9"/>
      <c r="B277" s="10" t="s">
        <v>744</v>
      </c>
      <c r="C277" s="10" t="s">
        <v>745</v>
      </c>
      <c r="D277" s="10" t="s">
        <v>471</v>
      </c>
      <c r="E277" s="12" t="e">
        <f ca="1">_xludf.IFS(COUNTIF(보류목록!$B$3:$B$1000, B277)&gt;0, "-",COUNTIF(독서목록!$C$2:$C$1091, B277)=0, , COUNTIF(독서목록!$C$2:$C$1091, B277)&gt;0, COUNTIF(독서목록!$C$2:$C$1091, B277))</f>
        <v>#NAME?</v>
      </c>
      <c r="F277" s="12" t="e">
        <f ca="1">_xludf.IFS(COUNTIF(보류목록!$C$3:$C$1000, B277)&gt;0, "-",COUNTIF(독서목록!$D$2:$D$1091, B277)=0, , COUNTIF(독서목록!$D$2:$D$1091, B277)&gt;0, COUNTIF(독서목록!$D$2:$D$1091, B277))</f>
        <v>#NAME?</v>
      </c>
      <c r="G277" s="12" t="s">
        <v>742</v>
      </c>
      <c r="H277" s="14" t="s">
        <v>75</v>
      </c>
      <c r="I277" s="14" t="s">
        <v>75</v>
      </c>
    </row>
    <row r="278" spans="1:9" ht="16.5" customHeight="1">
      <c r="A278" s="9"/>
      <c r="B278" s="10" t="s">
        <v>746</v>
      </c>
      <c r="C278" s="10" t="s">
        <v>63</v>
      </c>
      <c r="D278" s="10" t="s">
        <v>747</v>
      </c>
      <c r="E278" s="12" t="e">
        <f ca="1">_xludf.IFS(COUNTIF(보류목록!$B$3:$B$1000, B278)&gt;0, "-",COUNTIF(독서목록!$C$2:$C$1091, B278)=0, , COUNTIF(독서목록!$C$2:$C$1091, B278)&gt;0, COUNTIF(독서목록!$C$2:$C$1091, B278))</f>
        <v>#NAME?</v>
      </c>
      <c r="F278" s="12" t="e">
        <f ca="1">_xludf.IFS(COUNTIF(보류목록!$C$3:$C$1000, B278)&gt;0, "-",COUNTIF(독서목록!$D$2:$D$1091, B278)=0, , COUNTIF(독서목록!$D$2:$D$1091, B278)&gt;0, COUNTIF(독서목록!$D$2:$D$1091, B278))</f>
        <v>#NAME?</v>
      </c>
      <c r="G278" s="12" t="s">
        <v>742</v>
      </c>
      <c r="H278" s="14"/>
      <c r="I278" s="14"/>
    </row>
    <row r="279" spans="1:9" ht="16.5" customHeight="1">
      <c r="A279" s="9"/>
      <c r="B279" s="10" t="s">
        <v>748</v>
      </c>
      <c r="C279" s="10" t="s">
        <v>749</v>
      </c>
      <c r="D279" s="10" t="s">
        <v>15</v>
      </c>
      <c r="E279" s="12" t="e">
        <f ca="1">_xludf.IFS(COUNTIF(보류목록!$B$3:$B$1000, B279)&gt;0, "-",COUNTIF(독서목록!$C$2:$C$1091, B279)=0, , COUNTIF(독서목록!$C$2:$C$1091, B279)&gt;0, COUNTIF(독서목록!$C$2:$C$1091, B279))</f>
        <v>#NAME?</v>
      </c>
      <c r="F279" s="12" t="e">
        <f ca="1">_xludf.IFS(COUNTIF(보류목록!$C$3:$C$1000, B279)&gt;0, "-",COUNTIF(독서목록!$D$2:$D$1091, B279)=0, , COUNTIF(독서목록!$D$2:$D$1091, B279)&gt;0, COUNTIF(독서목록!$D$2:$D$1091, B279))</f>
        <v>#NAME?</v>
      </c>
      <c r="G279" s="12" t="s">
        <v>742</v>
      </c>
      <c r="H279" s="14"/>
      <c r="I279" s="14"/>
    </row>
    <row r="280" spans="1:9" ht="16.5" customHeight="1">
      <c r="A280" s="9"/>
      <c r="B280" s="10" t="s">
        <v>750</v>
      </c>
      <c r="C280" s="10" t="s">
        <v>715</v>
      </c>
      <c r="D280" s="10" t="s">
        <v>471</v>
      </c>
      <c r="E280" s="12" t="e">
        <f ca="1">_xludf.IFS(COUNTIF(보류목록!$B$3:$B$1000, B280)&gt;0, "-",COUNTIF(독서목록!$C$2:$C$1091, B280)=0, , COUNTIF(독서목록!$C$2:$C$1091, B280)&gt;0, COUNTIF(독서목록!$C$2:$C$1091, B280))</f>
        <v>#NAME?</v>
      </c>
      <c r="F280" s="12" t="e">
        <f ca="1">_xludf.IFS(COUNTIF(보류목록!$C$3:$C$1000, B280)&gt;0, "-",COUNTIF(독서목록!$D$2:$D$1091, B280)=0, , COUNTIF(독서목록!$D$2:$D$1091, B280)&gt;0, COUNTIF(독서목록!$D$2:$D$1091, B280))</f>
        <v>#NAME?</v>
      </c>
      <c r="G280" s="12" t="s">
        <v>742</v>
      </c>
      <c r="H280" s="14"/>
      <c r="I280" s="14"/>
    </row>
    <row r="281" spans="1:9" ht="16.5" customHeight="1">
      <c r="A281" s="9"/>
      <c r="B281" s="10" t="s">
        <v>751</v>
      </c>
      <c r="C281" s="10" t="s">
        <v>715</v>
      </c>
      <c r="D281" s="10" t="s">
        <v>471</v>
      </c>
      <c r="E281" s="12" t="e">
        <f ca="1">_xludf.IFS(COUNTIF(보류목록!$B$3:$B$1000, B281)&gt;0, "-",COUNTIF(독서목록!$C$2:$C$1091, B281)=0, , COUNTIF(독서목록!$C$2:$C$1091, B281)&gt;0, COUNTIF(독서목록!$C$2:$C$1091, B281))</f>
        <v>#NAME?</v>
      </c>
      <c r="F281" s="12" t="e">
        <f ca="1">_xludf.IFS(COUNTIF(보류목록!$C$3:$C$1000, B281)&gt;0, "-",COUNTIF(독서목록!$D$2:$D$1091, B281)=0, , COUNTIF(독서목록!$D$2:$D$1091, B281)&gt;0, COUNTIF(독서목록!$D$2:$D$1091, B281))</f>
        <v>#NAME?</v>
      </c>
      <c r="G281" s="12" t="s">
        <v>742</v>
      </c>
      <c r="H281" s="14"/>
      <c r="I281" s="14"/>
    </row>
    <row r="282" spans="1:9" ht="16.5" customHeight="1">
      <c r="A282" s="9"/>
      <c r="B282" s="10" t="s">
        <v>752</v>
      </c>
      <c r="C282" s="10" t="s">
        <v>715</v>
      </c>
      <c r="D282" s="10" t="s">
        <v>471</v>
      </c>
      <c r="E282" s="12" t="e">
        <f ca="1">_xludf.IFS(COUNTIF(보류목록!$B$3:$B$1000, B282)&gt;0, "-",COUNTIF(독서목록!$C$2:$C$1091, B282)=0, , COUNTIF(독서목록!$C$2:$C$1091, B282)&gt;0, COUNTIF(독서목록!$C$2:$C$1091, B282))</f>
        <v>#NAME?</v>
      </c>
      <c r="F282" s="12" t="e">
        <f ca="1">_xludf.IFS(COUNTIF(보류목록!$C$3:$C$1000, B282)&gt;0, "-",COUNTIF(독서목록!$D$2:$D$1091, B282)=0, , COUNTIF(독서목록!$D$2:$D$1091, B282)&gt;0, COUNTIF(독서목록!$D$2:$D$1091, B282))</f>
        <v>#NAME?</v>
      </c>
      <c r="G282" s="12" t="s">
        <v>742</v>
      </c>
      <c r="H282" s="14"/>
      <c r="I282" s="14"/>
    </row>
    <row r="283" spans="1:9" ht="16.5" customHeight="1">
      <c r="A283" s="9"/>
      <c r="B283" s="10" t="s">
        <v>753</v>
      </c>
      <c r="C283" s="10" t="s">
        <v>378</v>
      </c>
      <c r="D283" s="10" t="s">
        <v>15</v>
      </c>
      <c r="E283" s="12" t="e">
        <f ca="1">_xludf.IFS(COUNTIF(보류목록!$B$3:$B$1000, B283)&gt;0, "-",COUNTIF(독서목록!$C$2:$C$1091, B283)=0, , COUNTIF(독서목록!$C$2:$C$1091, B283)&gt;0, COUNTIF(독서목록!$C$2:$C$1091, B283))</f>
        <v>#NAME?</v>
      </c>
      <c r="F283" s="12" t="e">
        <f ca="1">_xludf.IFS(COUNTIF(보류목록!$C$3:$C$1000, B283)&gt;0, "-",COUNTIF(독서목록!$D$2:$D$1091, B283)=0, , COUNTIF(독서목록!$D$2:$D$1091, B283)&gt;0, COUNTIF(독서목록!$D$2:$D$1091, B283))</f>
        <v>#NAME?</v>
      </c>
      <c r="G283" s="12" t="s">
        <v>754</v>
      </c>
      <c r="H283" s="14" t="s">
        <v>75</v>
      </c>
      <c r="I283" s="14" t="s">
        <v>75</v>
      </c>
    </row>
    <row r="284" spans="1:9" ht="16.5" customHeight="1">
      <c r="A284" s="9"/>
      <c r="B284" s="10" t="s">
        <v>755</v>
      </c>
      <c r="C284" s="10" t="s">
        <v>756</v>
      </c>
      <c r="D284" s="10" t="s">
        <v>757</v>
      </c>
      <c r="E284" s="12" t="e">
        <f ca="1">_xludf.IFS(COUNTIF(보류목록!$B$3:$B$1000, B284)&gt;0, "-",COUNTIF(독서목록!$C$2:$C$1091, B284)=0, , COUNTIF(독서목록!$C$2:$C$1091, B284)&gt;0, COUNTIF(독서목록!$C$2:$C$1091, B284))</f>
        <v>#NAME?</v>
      </c>
      <c r="F284" s="12" t="e">
        <f ca="1">_xludf.IFS(COUNTIF(보류목록!$C$3:$C$1000, B284)&gt;0, "-",COUNTIF(독서목록!$D$2:$D$1091, B284)=0, , COUNTIF(독서목록!$D$2:$D$1091, B284)&gt;0, COUNTIF(독서목록!$D$2:$D$1091, B284))</f>
        <v>#NAME?</v>
      </c>
      <c r="G284" s="12" t="s">
        <v>758</v>
      </c>
      <c r="H284" s="14"/>
      <c r="I284" s="14"/>
    </row>
    <row r="285" spans="1:9" ht="16.5" customHeight="1">
      <c r="A285" s="9"/>
      <c r="B285" s="10" t="s">
        <v>759</v>
      </c>
      <c r="C285" s="10" t="s">
        <v>314</v>
      </c>
      <c r="D285" s="10" t="s">
        <v>7</v>
      </c>
      <c r="E285" s="12" t="e">
        <f ca="1">_xludf.IFS(COUNTIF(보류목록!$B$3:$B$1000, B285)&gt;0, "-",COUNTIF(독서목록!$C$2:$C$1091, B285)=0, , COUNTIF(독서목록!$C$2:$C$1091, B285)&gt;0, COUNTIF(독서목록!$C$2:$C$1091, B285))</f>
        <v>#NAME?</v>
      </c>
      <c r="F285" s="12" t="e">
        <f ca="1">_xludf.IFS(COUNTIF(보류목록!$C$3:$C$1000, B285)&gt;0, "-",COUNTIF(독서목록!$D$2:$D$1091, B285)=0, , COUNTIF(독서목록!$D$2:$D$1091, B285)&gt;0, COUNTIF(독서목록!$D$2:$D$1091, B285))</f>
        <v>#NAME?</v>
      </c>
      <c r="G285" s="12" t="s">
        <v>758</v>
      </c>
      <c r="H285" s="14"/>
      <c r="I285" s="14"/>
    </row>
    <row r="286" spans="1:9" ht="16.5" customHeight="1">
      <c r="A286" s="9"/>
      <c r="B286" s="10" t="s">
        <v>760</v>
      </c>
      <c r="C286" s="10" t="s">
        <v>761</v>
      </c>
      <c r="D286" s="10" t="s">
        <v>471</v>
      </c>
      <c r="E286" s="12" t="e">
        <f ca="1">_xludf.IFS(COUNTIF(보류목록!$B$3:$B$1000, B286)&gt;0, "-",COUNTIF(독서목록!$C$2:$C$1091, B286)=0, , COUNTIF(독서목록!$C$2:$C$1091, B286)&gt;0, COUNTIF(독서목록!$C$2:$C$1091, B286))</f>
        <v>#NAME?</v>
      </c>
      <c r="F286" s="12" t="e">
        <f ca="1">_xludf.IFS(COUNTIF(보류목록!$C$3:$C$1000, B286)&gt;0, "-",COUNTIF(독서목록!$D$2:$D$1091, B286)=0, , COUNTIF(독서목록!$D$2:$D$1091, B286)&gt;0, COUNTIF(독서목록!$D$2:$D$1091, B286))</f>
        <v>#NAME?</v>
      </c>
      <c r="G286" s="12" t="s">
        <v>758</v>
      </c>
      <c r="H286" s="14"/>
      <c r="I286" s="14"/>
    </row>
    <row r="287" spans="1:9" ht="16.5" customHeight="1">
      <c r="A287" s="9"/>
      <c r="B287" s="10" t="s">
        <v>762</v>
      </c>
      <c r="C287" s="10" t="s">
        <v>761</v>
      </c>
      <c r="D287" s="10" t="s">
        <v>471</v>
      </c>
      <c r="E287" s="12" t="e">
        <f ca="1">_xludf.IFS(COUNTIF(보류목록!$B$3:$B$1000, B287)&gt;0, "-",COUNTIF(독서목록!$C$2:$C$1091, B287)=0, , COUNTIF(독서목록!$C$2:$C$1091, B287)&gt;0, COUNTIF(독서목록!$C$2:$C$1091, B287))</f>
        <v>#NAME?</v>
      </c>
      <c r="F287" s="12" t="e">
        <f ca="1">_xludf.IFS(COUNTIF(보류목록!$C$3:$C$1000, B287)&gt;0, "-",COUNTIF(독서목록!$D$2:$D$1091, B287)=0, , COUNTIF(독서목록!$D$2:$D$1091, B287)&gt;0, COUNTIF(독서목록!$D$2:$D$1091, B287))</f>
        <v>#NAME?</v>
      </c>
      <c r="G287" s="12" t="s">
        <v>758</v>
      </c>
      <c r="H287" s="14"/>
      <c r="I287" s="14"/>
    </row>
    <row r="288" spans="1:9" ht="16.5" customHeight="1">
      <c r="A288" s="9"/>
      <c r="B288" s="10" t="s">
        <v>763</v>
      </c>
      <c r="C288" s="10" t="s">
        <v>314</v>
      </c>
      <c r="D288" s="10" t="s">
        <v>471</v>
      </c>
      <c r="E288" s="12" t="e">
        <f ca="1">_xludf.IFS(COUNTIF(보류목록!$B$3:$B$1000, B288)&gt;0, "-",COUNTIF(독서목록!$C$2:$C$1091, B288)=0, , COUNTIF(독서목록!$C$2:$C$1091, B288)&gt;0, COUNTIF(독서목록!$C$2:$C$1091, B288))</f>
        <v>#NAME?</v>
      </c>
      <c r="F288" s="12" t="e">
        <f ca="1">_xludf.IFS(COUNTIF(보류목록!$C$3:$C$1000, B288)&gt;0, "-",COUNTIF(독서목록!$D$2:$D$1091, B288)=0, , COUNTIF(독서목록!$D$2:$D$1091, B288)&gt;0, COUNTIF(독서목록!$D$2:$D$1091, B288))</f>
        <v>#NAME?</v>
      </c>
      <c r="G288" s="12" t="s">
        <v>764</v>
      </c>
      <c r="H288" s="14"/>
      <c r="I288" s="14"/>
    </row>
    <row r="289" spans="1:9" ht="16.5" customHeight="1">
      <c r="A289" s="9"/>
      <c r="B289" s="10" t="s">
        <v>765</v>
      </c>
      <c r="C289" s="10" t="s">
        <v>766</v>
      </c>
      <c r="D289" s="10" t="s">
        <v>506</v>
      </c>
      <c r="E289" s="12" t="e">
        <f ca="1">_xludf.IFS(COUNTIF(보류목록!$B$3:$B$1000, B289)&gt;0, "-",COUNTIF(독서목록!$C$2:$C$1091, B289)=0, , COUNTIF(독서목록!$C$2:$C$1091, B289)&gt;0, COUNTIF(독서목록!$C$2:$C$1091, B289))</f>
        <v>#NAME?</v>
      </c>
      <c r="F289" s="12" t="e">
        <f ca="1">_xludf.IFS(COUNTIF(보류목록!$C$3:$C$1000, B289)&gt;0, "-",COUNTIF(독서목록!$D$2:$D$1091, B289)=0, , COUNTIF(독서목록!$D$2:$D$1091, B289)&gt;0, COUNTIF(독서목록!$D$2:$D$1091, B289))</f>
        <v>#NAME?</v>
      </c>
      <c r="G289" s="12" t="s">
        <v>767</v>
      </c>
      <c r="H289" s="14" t="s">
        <v>75</v>
      </c>
      <c r="I289" s="14" t="s">
        <v>75</v>
      </c>
    </row>
    <row r="290" spans="1:9" ht="16.5" customHeight="1">
      <c r="A290" s="9"/>
      <c r="B290" s="10" t="s">
        <v>768</v>
      </c>
      <c r="C290" s="10" t="s">
        <v>769</v>
      </c>
      <c r="D290" s="10" t="s">
        <v>770</v>
      </c>
      <c r="E290" s="12" t="e">
        <f ca="1">_xludf.IFS(COUNTIF(보류목록!$B$3:$B$1000, B290)&gt;0, "-",COUNTIF(독서목록!$C$2:$C$1091, B290)=0, , COUNTIF(독서목록!$C$2:$C$1091, B290)&gt;0, COUNTIF(독서목록!$C$2:$C$1091, B290))</f>
        <v>#NAME?</v>
      </c>
      <c r="F290" s="12" t="e">
        <f ca="1">_xludf.IFS(COUNTIF(보류목록!$C$3:$C$1000, B290)&gt;0, "-",COUNTIF(독서목록!$D$2:$D$1091, B290)=0, , COUNTIF(독서목록!$D$2:$D$1091, B290)&gt;0, COUNTIF(독서목록!$D$2:$D$1091, B290))</f>
        <v>#NAME?</v>
      </c>
      <c r="G290" s="12" t="s">
        <v>767</v>
      </c>
      <c r="H290" s="14" t="s">
        <v>75</v>
      </c>
      <c r="I290" s="14" t="s">
        <v>75</v>
      </c>
    </row>
    <row r="291" spans="1:9" ht="16.5" customHeight="1">
      <c r="A291" s="9"/>
      <c r="B291" s="10" t="s">
        <v>771</v>
      </c>
      <c r="C291" s="10" t="s">
        <v>772</v>
      </c>
      <c r="D291" s="10" t="s">
        <v>773</v>
      </c>
      <c r="E291" s="12" t="e">
        <f ca="1">_xludf.IFS(COUNTIF(보류목록!$B$3:$B$1000, B291)&gt;0, "-",COUNTIF(독서목록!$C$2:$C$1091, B291)=0, , COUNTIF(독서목록!$C$2:$C$1091, B291)&gt;0, COUNTIF(독서목록!$C$2:$C$1091, B291))</f>
        <v>#NAME?</v>
      </c>
      <c r="F291" s="12" t="e">
        <f ca="1">_xludf.IFS(COUNTIF(보류목록!$C$3:$C$1000, B291)&gt;0, "-",COUNTIF(독서목록!$D$2:$D$1091, B291)=0, , COUNTIF(독서목록!$D$2:$D$1091, B291)&gt;0, COUNTIF(독서목록!$D$2:$D$1091, B291))</f>
        <v>#NAME?</v>
      </c>
      <c r="G291" s="12" t="s">
        <v>774</v>
      </c>
      <c r="H291" s="14"/>
      <c r="I291" s="14"/>
    </row>
    <row r="292" spans="1:9" ht="16.5" customHeight="1">
      <c r="A292" s="9"/>
      <c r="B292" s="10" t="s">
        <v>775</v>
      </c>
      <c r="C292" s="10" t="s">
        <v>776</v>
      </c>
      <c r="D292" s="10" t="s">
        <v>471</v>
      </c>
      <c r="E292" s="12" t="e">
        <f ca="1">_xludf.IFS(COUNTIF(보류목록!$B$3:$B$1000, B292)&gt;0, "-",COUNTIF(독서목록!$C$2:$C$1091, B292)=0, , COUNTIF(독서목록!$C$2:$C$1091, B292)&gt;0, COUNTIF(독서목록!$C$2:$C$1091, B292))</f>
        <v>#NAME?</v>
      </c>
      <c r="F292" s="12" t="e">
        <f ca="1">_xludf.IFS(COUNTIF(보류목록!$C$3:$C$1000, B292)&gt;0, "-",COUNTIF(독서목록!$D$2:$D$1091, B292)=0, , COUNTIF(독서목록!$D$2:$D$1091, B292)&gt;0, COUNTIF(독서목록!$D$2:$D$1091, B292))</f>
        <v>#NAME?</v>
      </c>
      <c r="G292" s="12" t="s">
        <v>777</v>
      </c>
      <c r="H292" s="14" t="s">
        <v>75</v>
      </c>
      <c r="I292" s="14" t="s">
        <v>75</v>
      </c>
    </row>
    <row r="293" spans="1:9" ht="16.5" customHeight="1">
      <c r="A293" s="9"/>
      <c r="B293" s="10" t="s">
        <v>778</v>
      </c>
      <c r="C293" s="10" t="s">
        <v>779</v>
      </c>
      <c r="D293" s="10" t="s">
        <v>471</v>
      </c>
      <c r="E293" s="12" t="e">
        <f ca="1">_xludf.IFS(COUNTIF(보류목록!$B$3:$B$1000, B293)&gt;0, "-",COUNTIF(독서목록!$C$2:$C$1091, B293)=0, , COUNTIF(독서목록!$C$2:$C$1091, B293)&gt;0, COUNTIF(독서목록!$C$2:$C$1091, B293))</f>
        <v>#NAME?</v>
      </c>
      <c r="F293" s="12" t="e">
        <f ca="1">_xludf.IFS(COUNTIF(보류목록!$C$3:$C$1000, B293)&gt;0, "-",COUNTIF(독서목록!$D$2:$D$1091, B293)=0, , COUNTIF(독서목록!$D$2:$D$1091, B293)&gt;0, COUNTIF(독서목록!$D$2:$D$1091, B293))</f>
        <v>#NAME?</v>
      </c>
      <c r="G293" s="12" t="s">
        <v>777</v>
      </c>
      <c r="H293" s="14" t="s">
        <v>75</v>
      </c>
      <c r="I293" s="14" t="s">
        <v>75</v>
      </c>
    </row>
    <row r="294" spans="1:9" ht="16.5" customHeight="1">
      <c r="A294" s="9"/>
      <c r="B294" s="10" t="s">
        <v>780</v>
      </c>
      <c r="C294" s="10" t="s">
        <v>779</v>
      </c>
      <c r="D294" s="10" t="s">
        <v>471</v>
      </c>
      <c r="E294" s="12" t="e">
        <f ca="1">_xludf.IFS(COUNTIF(보류목록!$B$3:$B$1000, B294)&gt;0, "-",COUNTIF(독서목록!$C$2:$C$1091, B294)=0, , COUNTIF(독서목록!$C$2:$C$1091, B294)&gt;0, COUNTIF(독서목록!$C$2:$C$1091, B294))</f>
        <v>#NAME?</v>
      </c>
      <c r="F294" s="12" t="e">
        <f ca="1">_xludf.IFS(COUNTIF(보류목록!$C$3:$C$1000, B294)&gt;0, "-",COUNTIF(독서목록!$D$2:$D$1091, B294)=0, , COUNTIF(독서목록!$D$2:$D$1091, B294)&gt;0, COUNTIF(독서목록!$D$2:$D$1091, B294))</f>
        <v>#NAME?</v>
      </c>
      <c r="G294" s="12" t="s">
        <v>777</v>
      </c>
      <c r="H294" s="14" t="s">
        <v>75</v>
      </c>
      <c r="I294" s="14" t="s">
        <v>75</v>
      </c>
    </row>
    <row r="295" spans="1:9" ht="16.5" customHeight="1">
      <c r="A295" s="9"/>
      <c r="B295" s="10" t="s">
        <v>781</v>
      </c>
      <c r="C295" s="10" t="s">
        <v>782</v>
      </c>
      <c r="D295" s="10" t="s">
        <v>471</v>
      </c>
      <c r="E295" s="12" t="e">
        <f ca="1">_xludf.IFS(COUNTIF(보류목록!$B$3:$B$1000, B295)&gt;0, "-",COUNTIF(독서목록!$C$2:$C$1091, B295)=0, , COUNTIF(독서목록!$C$2:$C$1091, B295)&gt;0, COUNTIF(독서목록!$C$2:$C$1091, B295))</f>
        <v>#NAME?</v>
      </c>
      <c r="F295" s="12" t="e">
        <f ca="1">_xludf.IFS(COUNTIF(보류목록!$C$3:$C$1000, B295)&gt;0, "-",COUNTIF(독서목록!$D$2:$D$1091, B295)=0, , COUNTIF(독서목록!$D$2:$D$1091, B295)&gt;0, COUNTIF(독서목록!$D$2:$D$1091, B295))</f>
        <v>#NAME?</v>
      </c>
      <c r="G295" s="12" t="s">
        <v>777</v>
      </c>
      <c r="H295" s="14" t="s">
        <v>75</v>
      </c>
      <c r="I295" s="14" t="s">
        <v>75</v>
      </c>
    </row>
    <row r="296" spans="1:9" ht="16.5" customHeight="1">
      <c r="A296" s="9"/>
      <c r="B296" s="10" t="s">
        <v>783</v>
      </c>
      <c r="C296" s="10" t="s">
        <v>735</v>
      </c>
      <c r="D296" s="10" t="s">
        <v>452</v>
      </c>
      <c r="E296" s="12" t="e">
        <f ca="1">_xludf.IFS(COUNTIF(보류목록!$B$3:$B$1000, B296)&gt;0, "-",COUNTIF(독서목록!$C$2:$C$1091, B296)=0, , COUNTIF(독서목록!$C$2:$C$1091, B296)&gt;0, COUNTIF(독서목록!$C$2:$C$1091, B296))</f>
        <v>#NAME?</v>
      </c>
      <c r="F296" s="12" t="e">
        <f ca="1">_xludf.IFS(COUNTIF(보류목록!$C$3:$C$1000, B296)&gt;0, "-",COUNTIF(독서목록!$D$2:$D$1091, B296)=0, , COUNTIF(독서목록!$D$2:$D$1091, B296)&gt;0, COUNTIF(독서목록!$D$2:$D$1091, B296))</f>
        <v>#NAME?</v>
      </c>
      <c r="G296" s="12" t="s">
        <v>777</v>
      </c>
      <c r="H296" s="14" t="s">
        <v>75</v>
      </c>
      <c r="I296" s="14" t="s">
        <v>75</v>
      </c>
    </row>
    <row r="297" spans="1:9" ht="16.5" customHeight="1">
      <c r="A297" s="9"/>
      <c r="B297" s="10" t="s">
        <v>784</v>
      </c>
      <c r="C297" s="10" t="s">
        <v>785</v>
      </c>
      <c r="D297" s="11" t="s">
        <v>211</v>
      </c>
      <c r="E297" s="12" t="e">
        <f ca="1">_xludf.IFS(COUNTIF(보류목록!$B$3:$B$1000, B297)&gt;0, "-",COUNTIF(독서목록!$C$2:$C$1091, B297)=0, , COUNTIF(독서목록!$C$2:$C$1091, B297)&gt;0, COUNTIF(독서목록!$C$2:$C$1091, B297))</f>
        <v>#NAME?</v>
      </c>
      <c r="F297" s="12" t="e">
        <f ca="1">_xludf.IFS(COUNTIF(보류목록!$C$3:$C$1000, B297)&gt;0, "-",COUNTIF(독서목록!$D$2:$D$1091, B297)=0, , COUNTIF(독서목록!$D$2:$D$1091, B297)&gt;0, COUNTIF(독서목록!$D$2:$D$1091, B297))</f>
        <v>#NAME?</v>
      </c>
      <c r="G297" s="12" t="s">
        <v>786</v>
      </c>
      <c r="H297" s="14" t="s">
        <v>75</v>
      </c>
      <c r="I297" s="14" t="s">
        <v>75</v>
      </c>
    </row>
    <row r="298" spans="1:9" ht="16.5" customHeight="1">
      <c r="A298" s="9"/>
      <c r="B298" s="10" t="s">
        <v>787</v>
      </c>
      <c r="C298" s="10" t="s">
        <v>788</v>
      </c>
      <c r="D298" s="11" t="s">
        <v>211</v>
      </c>
      <c r="E298" s="12" t="e">
        <f ca="1">_xludf.IFS(COUNTIF(보류목록!$B$3:$B$1000, B298)&gt;0, "-",COUNTIF(독서목록!$C$2:$C$1091, B298)=0, , COUNTIF(독서목록!$C$2:$C$1091, B298)&gt;0, COUNTIF(독서목록!$C$2:$C$1091, B298))</f>
        <v>#NAME?</v>
      </c>
      <c r="F298" s="12" t="e">
        <f ca="1">_xludf.IFS(COUNTIF(보류목록!$C$3:$C$1000, B298)&gt;0, "-",COUNTIF(독서목록!$D$2:$D$1091, B298)=0, , COUNTIF(독서목록!$D$2:$D$1091, B298)&gt;0, COUNTIF(독서목록!$D$2:$D$1091, B298))</f>
        <v>#NAME?</v>
      </c>
      <c r="G298" s="12" t="s">
        <v>786</v>
      </c>
      <c r="H298" s="14" t="s">
        <v>75</v>
      </c>
      <c r="I298" s="14" t="s">
        <v>75</v>
      </c>
    </row>
    <row r="299" spans="1:9" ht="16.5" customHeight="1">
      <c r="A299" s="9"/>
      <c r="B299" s="10" t="s">
        <v>789</v>
      </c>
      <c r="C299" s="10" t="s">
        <v>790</v>
      </c>
      <c r="D299" s="10" t="s">
        <v>791</v>
      </c>
      <c r="E299" s="12" t="e">
        <f ca="1">_xludf.IFS(COUNTIF(보류목록!$B$3:$B$1000, B299)&gt;0, "-",COUNTIF(독서목록!$C$2:$C$1091, B299)=0, , COUNTIF(독서목록!$C$2:$C$1091, B299)&gt;0, COUNTIF(독서목록!$C$2:$C$1091, B299))</f>
        <v>#NAME?</v>
      </c>
      <c r="F299" s="12" t="e">
        <f ca="1">_xludf.IFS(COUNTIF(보류목록!$C$3:$C$1000, B299)&gt;0, "-",COUNTIF(독서목록!$D$2:$D$1091, B299)=0, , COUNTIF(독서목록!$D$2:$D$1091, B299)&gt;0, COUNTIF(독서목록!$D$2:$D$1091, B299))</f>
        <v>#NAME?</v>
      </c>
      <c r="G299" s="12" t="s">
        <v>786</v>
      </c>
      <c r="H299" s="14" t="s">
        <v>75</v>
      </c>
      <c r="I299" s="14" t="s">
        <v>75</v>
      </c>
    </row>
    <row r="300" spans="1:9" ht="16.5" customHeight="1">
      <c r="A300" s="9"/>
      <c r="B300" s="10" t="s">
        <v>792</v>
      </c>
      <c r="C300" s="10" t="s">
        <v>793</v>
      </c>
      <c r="D300" s="10" t="s">
        <v>794</v>
      </c>
      <c r="E300" s="12" t="e">
        <f ca="1">_xludf.IFS(COUNTIF(보류목록!$B$3:$B$1000, B300)&gt;0, "-",COUNTIF(독서목록!$C$2:$C$1091, B300)=0, , COUNTIF(독서목록!$C$2:$C$1091, B300)&gt;0, COUNTIF(독서목록!$C$2:$C$1091, B300))</f>
        <v>#NAME?</v>
      </c>
      <c r="F300" s="12" t="e">
        <f ca="1">_xludf.IFS(COUNTIF(보류목록!$C$3:$C$1000, B300)&gt;0, "-",COUNTIF(독서목록!$D$2:$D$1091, B300)=0, , COUNTIF(독서목록!$D$2:$D$1091, B300)&gt;0, COUNTIF(독서목록!$D$2:$D$1091, B300))</f>
        <v>#NAME?</v>
      </c>
      <c r="G300" s="12" t="s">
        <v>786</v>
      </c>
      <c r="H300" s="14"/>
      <c r="I300" s="14"/>
    </row>
    <row r="301" spans="1:9" ht="16.5" customHeight="1">
      <c r="A301" s="9"/>
      <c r="B301" s="10" t="s">
        <v>795</v>
      </c>
      <c r="C301" s="10" t="s">
        <v>796</v>
      </c>
      <c r="D301" s="10" t="s">
        <v>15</v>
      </c>
      <c r="E301" s="12" t="e">
        <f ca="1">_xludf.IFS(COUNTIF(보류목록!$B$3:$B$1000, B301)&gt;0, "-",COUNTIF(독서목록!$C$2:$C$1091, B301)=0, , COUNTIF(독서목록!$C$2:$C$1091, B301)&gt;0, COUNTIF(독서목록!$C$2:$C$1091, B301))</f>
        <v>#NAME?</v>
      </c>
      <c r="F301" s="12" t="e">
        <f ca="1">_xludf.IFS(COUNTIF(보류목록!$C$3:$C$1000, B301)&gt;0, "-",COUNTIF(독서목록!$D$2:$D$1091, B301)=0, , COUNTIF(독서목록!$D$2:$D$1091, B301)&gt;0, COUNTIF(독서목록!$D$2:$D$1091, B301))</f>
        <v>#NAME?</v>
      </c>
      <c r="G301" s="12" t="s">
        <v>797</v>
      </c>
      <c r="H301" s="14" t="s">
        <v>75</v>
      </c>
      <c r="I301" s="14" t="s">
        <v>75</v>
      </c>
    </row>
    <row r="302" spans="1:9" ht="16.5" customHeight="1">
      <c r="A302" s="9"/>
      <c r="B302" s="10" t="s">
        <v>798</v>
      </c>
      <c r="C302" s="10" t="s">
        <v>598</v>
      </c>
      <c r="D302" s="10" t="s">
        <v>599</v>
      </c>
      <c r="E302" s="12" t="e">
        <f ca="1">_xludf.IFS(COUNTIF(보류목록!$B$3:$B$1000, B302)&gt;0, "-",COUNTIF(독서목록!$C$2:$C$1091, B302)=0, , COUNTIF(독서목록!$C$2:$C$1091, B302)&gt;0, COUNTIF(독서목록!$C$2:$C$1091, B302))</f>
        <v>#NAME?</v>
      </c>
      <c r="F302" s="12" t="e">
        <f ca="1">_xludf.IFS(COUNTIF(보류목록!$C$3:$C$1000, B302)&gt;0, "-",COUNTIF(독서목록!$D$2:$D$1091, B302)=0, , COUNTIF(독서목록!$D$2:$D$1091, B302)&gt;0, COUNTIF(독서목록!$D$2:$D$1091, B302))</f>
        <v>#NAME?</v>
      </c>
      <c r="G302" s="12" t="s">
        <v>797</v>
      </c>
      <c r="H302" s="14"/>
      <c r="I302" s="14"/>
    </row>
    <row r="303" spans="1:9" ht="16.5" customHeight="1">
      <c r="A303" s="9"/>
      <c r="B303" s="10" t="s">
        <v>799</v>
      </c>
      <c r="C303" s="10" t="s">
        <v>800</v>
      </c>
      <c r="D303" s="10" t="s">
        <v>631</v>
      </c>
      <c r="E303" s="12" t="e">
        <f ca="1">_xludf.IFS(COUNTIF(보류목록!$B$3:$B$1000, B303)&gt;0, "-",COUNTIF(독서목록!$C$2:$C$1091, B303)=0, , COUNTIF(독서목록!$C$2:$C$1091, B303)&gt;0, COUNTIF(독서목록!$C$2:$C$1091, B303))</f>
        <v>#NAME?</v>
      </c>
      <c r="F303" s="12" t="e">
        <f ca="1">_xludf.IFS(COUNTIF(보류목록!$C$3:$C$1000, B303)&gt;0, "-",COUNTIF(독서목록!$D$2:$D$1091, B303)=0, , COUNTIF(독서목록!$D$2:$D$1091, B303)&gt;0, COUNTIF(독서목록!$D$2:$D$1091, B303))</f>
        <v>#NAME?</v>
      </c>
      <c r="G303" s="12" t="s">
        <v>801</v>
      </c>
      <c r="H303" s="14" t="s">
        <v>75</v>
      </c>
      <c r="I303" s="14" t="s">
        <v>75</v>
      </c>
    </row>
    <row r="304" spans="1:9" ht="16.5" customHeight="1">
      <c r="A304" s="9"/>
      <c r="B304" s="10" t="s">
        <v>802</v>
      </c>
      <c r="C304" s="10" t="s">
        <v>803</v>
      </c>
      <c r="D304" s="10" t="s">
        <v>7</v>
      </c>
      <c r="E304" s="12" t="e">
        <f ca="1">_xludf.IFS(COUNTIF(보류목록!$B$3:$B$1000, B304)&gt;0, "-",COUNTIF(독서목록!$C$2:$C$1091, B304)=0, , COUNTIF(독서목록!$C$2:$C$1091, B304)&gt;0, COUNTIF(독서목록!$C$2:$C$1091, B304))</f>
        <v>#NAME?</v>
      </c>
      <c r="F304" s="12" t="e">
        <f ca="1">_xludf.IFS(COUNTIF(보류목록!$C$3:$C$1000, B304)&gt;0, "-",COUNTIF(독서목록!$D$2:$D$1091, B304)=0, , COUNTIF(독서목록!$D$2:$D$1091, B304)&gt;0, COUNTIF(독서목록!$D$2:$D$1091, B304))</f>
        <v>#NAME?</v>
      </c>
      <c r="G304" s="12" t="s">
        <v>801</v>
      </c>
      <c r="H304" s="14"/>
      <c r="I304" s="14"/>
    </row>
    <row r="305" spans="1:9" ht="16.5" customHeight="1">
      <c r="A305" s="9"/>
      <c r="B305" s="10" t="s">
        <v>804</v>
      </c>
      <c r="C305" s="10" t="s">
        <v>805</v>
      </c>
      <c r="D305" s="10" t="s">
        <v>449</v>
      </c>
      <c r="E305" s="12" t="e">
        <f ca="1">_xludf.IFS(COUNTIF(보류목록!$B$3:$B$1000, B305)&gt;0, "-",COUNTIF(독서목록!$C$2:$C$1091, B305)=0, , COUNTIF(독서목록!$C$2:$C$1091, B305)&gt;0, COUNTIF(독서목록!$C$2:$C$1091, B305))</f>
        <v>#NAME?</v>
      </c>
      <c r="F305" s="12" t="e">
        <f ca="1">_xludf.IFS(COUNTIF(보류목록!$C$3:$C$1000, B305)&gt;0, "-",COUNTIF(독서목록!$D$2:$D$1091, B305)=0, , COUNTIF(독서목록!$D$2:$D$1091, B305)&gt;0, COUNTIF(독서목록!$D$2:$D$1091, B305))</f>
        <v>#NAME?</v>
      </c>
      <c r="G305" s="12" t="s">
        <v>801</v>
      </c>
      <c r="H305" s="14"/>
      <c r="I305" s="14"/>
    </row>
    <row r="306" spans="1:9" ht="16.5" customHeight="1">
      <c r="A306" s="9"/>
      <c r="B306" s="10" t="s">
        <v>806</v>
      </c>
      <c r="C306" s="10" t="s">
        <v>807</v>
      </c>
      <c r="D306" s="10" t="s">
        <v>449</v>
      </c>
      <c r="E306" s="12" t="e">
        <f ca="1">_xludf.IFS(COUNTIF(보류목록!$B$3:$B$1000, B306)&gt;0, "-",COUNTIF(독서목록!$C$2:$C$1091, B306)=0, , COUNTIF(독서목록!$C$2:$C$1091, B306)&gt;0, COUNTIF(독서목록!$C$2:$C$1091, B306))</f>
        <v>#NAME?</v>
      </c>
      <c r="F306" s="12" t="e">
        <f ca="1">_xludf.IFS(COUNTIF(보류목록!$C$3:$C$1000, B306)&gt;0, "-",COUNTIF(독서목록!$D$2:$D$1091, B306)=0, , COUNTIF(독서목록!$D$2:$D$1091, B306)&gt;0, COUNTIF(독서목록!$D$2:$D$1091, B306))</f>
        <v>#NAME?</v>
      </c>
      <c r="G306" s="12" t="s">
        <v>808</v>
      </c>
      <c r="H306" s="14"/>
      <c r="I306" s="14"/>
    </row>
    <row r="307" spans="1:9" ht="16.5" customHeight="1">
      <c r="A307" s="9"/>
      <c r="B307" s="10" t="s">
        <v>809</v>
      </c>
      <c r="C307" s="10" t="s">
        <v>117</v>
      </c>
      <c r="D307" s="10" t="s">
        <v>639</v>
      </c>
      <c r="E307" s="12" t="e">
        <f ca="1">_xludf.IFS(COUNTIF(보류목록!$B$3:$B$1000, B307)&gt;0, "-",COUNTIF(독서목록!$C$2:$C$1091, B307)=0, , COUNTIF(독서목록!$C$2:$C$1091, B307)&gt;0, COUNTIF(독서목록!$C$2:$C$1091, B307))</f>
        <v>#NAME?</v>
      </c>
      <c r="F307" s="12" t="e">
        <f ca="1">_xludf.IFS(COUNTIF(보류목록!$C$3:$C$1000, B307)&gt;0, "-",COUNTIF(독서목록!$D$2:$D$1091, B307)=0, , COUNTIF(독서목록!$D$2:$D$1091, B307)&gt;0, COUNTIF(독서목록!$D$2:$D$1091, B307))</f>
        <v>#NAME?</v>
      </c>
      <c r="G307" s="12" t="s">
        <v>808</v>
      </c>
      <c r="H307" s="14"/>
      <c r="I307" s="14"/>
    </row>
    <row r="308" spans="1:9" ht="16.5" customHeight="1">
      <c r="A308" s="9"/>
      <c r="B308" s="10" t="s">
        <v>810</v>
      </c>
      <c r="C308" s="10" t="s">
        <v>111</v>
      </c>
      <c r="D308" s="10" t="s">
        <v>7</v>
      </c>
      <c r="E308" s="12" t="e">
        <f ca="1">_xludf.IFS(COUNTIF(보류목록!$B$3:$B$1000, B308)&gt;0, "-",COUNTIF(독서목록!$C$2:$C$1091, B308)=0, , COUNTIF(독서목록!$C$2:$C$1091, B308)&gt;0, COUNTIF(독서목록!$C$2:$C$1091, B308))</f>
        <v>#NAME?</v>
      </c>
      <c r="F308" s="12" t="e">
        <f ca="1">_xludf.IFS(COUNTIF(보류목록!$C$3:$C$1000, B308)&gt;0, "-",COUNTIF(독서목록!$D$2:$D$1091, B308)=0, , COUNTIF(독서목록!$D$2:$D$1091, B308)&gt;0, COUNTIF(독서목록!$D$2:$D$1091, B308))</f>
        <v>#NAME?</v>
      </c>
      <c r="G308" s="12" t="s">
        <v>808</v>
      </c>
      <c r="H308" s="14"/>
      <c r="I308" s="14"/>
    </row>
    <row r="309" spans="1:9" ht="16.5" customHeight="1">
      <c r="A309" s="9"/>
      <c r="B309" s="10" t="s">
        <v>811</v>
      </c>
      <c r="C309" s="10" t="s">
        <v>812</v>
      </c>
      <c r="D309" s="10" t="s">
        <v>628</v>
      </c>
      <c r="E309" s="12" t="e">
        <f ca="1">_xludf.IFS(COUNTIF(보류목록!$B$3:$B$1000, B309)&gt;0, "-",COUNTIF(독서목록!$C$2:$C$1091, B309)=0, , COUNTIF(독서목록!$C$2:$C$1091, B309)&gt;0, COUNTIF(독서목록!$C$2:$C$1091, B309))</f>
        <v>#NAME?</v>
      </c>
      <c r="F309" s="12" t="e">
        <f ca="1">_xludf.IFS(COUNTIF(보류목록!$C$3:$C$1000, B309)&gt;0, "-",COUNTIF(독서목록!$D$2:$D$1091, B309)=0, , COUNTIF(독서목록!$D$2:$D$1091, B309)&gt;0, COUNTIF(독서목록!$D$2:$D$1091, B309))</f>
        <v>#NAME?</v>
      </c>
      <c r="G309" s="12" t="s">
        <v>813</v>
      </c>
      <c r="H309" s="14" t="s">
        <v>75</v>
      </c>
      <c r="I309" s="14" t="s">
        <v>75</v>
      </c>
    </row>
    <row r="310" spans="1:9" ht="16.5" customHeight="1">
      <c r="A310" s="9"/>
      <c r="B310" s="10" t="s">
        <v>814</v>
      </c>
      <c r="C310" s="10" t="s">
        <v>815</v>
      </c>
      <c r="D310" s="10" t="s">
        <v>15</v>
      </c>
      <c r="E310" s="12" t="e">
        <f ca="1">_xludf.IFS(COUNTIF(보류목록!$B$3:$B$1000, B310)&gt;0, "-",COUNTIF(독서목록!$C$2:$C$1091, B310)=0, , COUNTIF(독서목록!$C$2:$C$1091, B310)&gt;0, COUNTIF(독서목록!$C$2:$C$1091, B310))</f>
        <v>#NAME?</v>
      </c>
      <c r="F310" s="12" t="e">
        <f ca="1">_xludf.IFS(COUNTIF(보류목록!$C$3:$C$1000, B310)&gt;0, "-",COUNTIF(독서목록!$D$2:$D$1091, B310)=0, , COUNTIF(독서목록!$D$2:$D$1091, B310)&gt;0, COUNTIF(독서목록!$D$2:$D$1091, B310))</f>
        <v>#NAME?</v>
      </c>
      <c r="G310" s="12" t="s">
        <v>813</v>
      </c>
      <c r="H310" s="14"/>
      <c r="I310" s="14"/>
    </row>
    <row r="311" spans="1:9" ht="16.5" customHeight="1">
      <c r="A311" s="9"/>
      <c r="B311" s="10" t="s">
        <v>816</v>
      </c>
      <c r="C311" s="10" t="s">
        <v>817</v>
      </c>
      <c r="D311" s="10" t="s">
        <v>572</v>
      </c>
      <c r="E311" s="12" t="e">
        <f ca="1">_xludf.IFS(COUNTIF(보류목록!$B$3:$B$1000, B311)&gt;0, "-",COUNTIF(독서목록!$C$2:$C$1091, B311)=0, , COUNTIF(독서목록!$C$2:$C$1091, B311)&gt;0, COUNTIF(독서목록!$C$2:$C$1091, B311))</f>
        <v>#NAME?</v>
      </c>
      <c r="F311" s="12" t="e">
        <f ca="1">_xludf.IFS(COUNTIF(보류목록!$C$3:$C$1000, B311)&gt;0, "-",COUNTIF(독서목록!$D$2:$D$1091, B311)=0, , COUNTIF(독서목록!$D$2:$D$1091, B311)&gt;0, COUNTIF(독서목록!$D$2:$D$1091, B311))</f>
        <v>#NAME?</v>
      </c>
      <c r="G311" s="12" t="s">
        <v>813</v>
      </c>
      <c r="H311" s="14"/>
      <c r="I311" s="14"/>
    </row>
    <row r="312" spans="1:9" ht="16.5" customHeight="1">
      <c r="A312" s="9"/>
      <c r="B312" s="10" t="s">
        <v>818</v>
      </c>
      <c r="C312" s="10" t="s">
        <v>819</v>
      </c>
      <c r="D312" s="10" t="s">
        <v>820</v>
      </c>
      <c r="E312" s="12" t="e">
        <f ca="1">_xludf.IFS(COUNTIF(보류목록!$B$3:$B$1000, B312)&gt;0, "-",COUNTIF(독서목록!$C$2:$C$1091, B312)=0, , COUNTIF(독서목록!$C$2:$C$1091, B312)&gt;0, COUNTIF(독서목록!$C$2:$C$1091, B312))</f>
        <v>#NAME?</v>
      </c>
      <c r="F312" s="12" t="e">
        <f ca="1">_xludf.IFS(COUNTIF(보류목록!$C$3:$C$1000, B312)&gt;0, "-",COUNTIF(독서목록!$D$2:$D$1091, B312)=0, , COUNTIF(독서목록!$D$2:$D$1091, B312)&gt;0, COUNTIF(독서목록!$D$2:$D$1091, B312))</f>
        <v>#NAME?</v>
      </c>
      <c r="G312" s="12" t="s">
        <v>821</v>
      </c>
      <c r="H312" s="14" t="s">
        <v>75</v>
      </c>
      <c r="I312" s="14" t="s">
        <v>75</v>
      </c>
    </row>
    <row r="313" spans="1:9" ht="16.5" customHeight="1">
      <c r="A313" s="9"/>
      <c r="B313" s="10" t="s">
        <v>822</v>
      </c>
      <c r="C313" s="10" t="s">
        <v>564</v>
      </c>
      <c r="D313" s="10" t="s">
        <v>7</v>
      </c>
      <c r="E313" s="12" t="e">
        <f ca="1">_xludf.IFS(COUNTIF(보류목록!$B$3:$B$1000, B313)&gt;0, "-",COUNTIF(독서목록!$C$2:$C$1091, B313)=0, , COUNTIF(독서목록!$C$2:$C$1091, B313)&gt;0, COUNTIF(독서목록!$C$2:$C$1091, B313))</f>
        <v>#NAME?</v>
      </c>
      <c r="F313" s="12" t="e">
        <f ca="1">_xludf.IFS(COUNTIF(보류목록!$C$3:$C$1000, B313)&gt;0, "-",COUNTIF(독서목록!$D$2:$D$1091, B313)=0, , COUNTIF(독서목록!$D$2:$D$1091, B313)&gt;0, COUNTIF(독서목록!$D$2:$D$1091, B313))</f>
        <v>#NAME?</v>
      </c>
      <c r="G313" s="12" t="s">
        <v>823</v>
      </c>
      <c r="H313" s="14"/>
      <c r="I313" s="14"/>
    </row>
    <row r="314" spans="1:9" ht="16.5" customHeight="1">
      <c r="A314" s="9"/>
      <c r="B314" s="10" t="s">
        <v>824</v>
      </c>
      <c r="C314" s="10" t="s">
        <v>825</v>
      </c>
      <c r="D314" s="10" t="s">
        <v>826</v>
      </c>
      <c r="E314" s="12" t="e">
        <f ca="1">_xludf.IFS(COUNTIF(보류목록!$B$3:$B$1000, B314)&gt;0, "-",COUNTIF(독서목록!$C$2:$C$1091, B314)=0, , COUNTIF(독서목록!$C$2:$C$1091, B314)&gt;0, COUNTIF(독서목록!$C$2:$C$1091, B314))</f>
        <v>#NAME?</v>
      </c>
      <c r="F314" s="12" t="e">
        <f ca="1">_xludf.IFS(COUNTIF(보류목록!$C$3:$C$1000, B314)&gt;0, "-",COUNTIF(독서목록!$D$2:$D$1091, B314)=0, , COUNTIF(독서목록!$D$2:$D$1091, B314)&gt;0, COUNTIF(독서목록!$D$2:$D$1091, B314))</f>
        <v>#NAME?</v>
      </c>
      <c r="G314" s="12" t="s">
        <v>823</v>
      </c>
      <c r="H314" s="14" t="s">
        <v>75</v>
      </c>
      <c r="I314" s="14" t="s">
        <v>75</v>
      </c>
    </row>
    <row r="315" spans="1:9" ht="16.5" customHeight="1">
      <c r="A315" s="9"/>
      <c r="B315" s="10" t="s">
        <v>827</v>
      </c>
      <c r="C315" s="10" t="s">
        <v>828</v>
      </c>
      <c r="D315" s="10" t="s">
        <v>619</v>
      </c>
      <c r="E315" s="12" t="e">
        <f ca="1">_xludf.IFS(COUNTIF(보류목록!$B$3:$B$1000, B315)&gt;0, "-",COUNTIF(독서목록!$C$2:$C$1091, B315)=0, , COUNTIF(독서목록!$C$2:$C$1091, B315)&gt;0, COUNTIF(독서목록!$C$2:$C$1091, B315))</f>
        <v>#NAME?</v>
      </c>
      <c r="F315" s="12" t="e">
        <f ca="1">_xludf.IFS(COUNTIF(보류목록!$C$3:$C$1000, B315)&gt;0, "-",COUNTIF(독서목록!$D$2:$D$1091, B315)=0, , COUNTIF(독서목록!$D$2:$D$1091, B315)&gt;0, COUNTIF(독서목록!$D$2:$D$1091, B315))</f>
        <v>#NAME?</v>
      </c>
      <c r="G315" s="12" t="s">
        <v>829</v>
      </c>
      <c r="H315" s="14" t="s">
        <v>75</v>
      </c>
      <c r="I315" s="14" t="s">
        <v>75</v>
      </c>
    </row>
    <row r="316" spans="1:9" ht="16.5" customHeight="1">
      <c r="A316" s="9"/>
      <c r="B316" s="10" t="s">
        <v>830</v>
      </c>
      <c r="C316" s="10" t="s">
        <v>831</v>
      </c>
      <c r="D316" s="10" t="s">
        <v>15</v>
      </c>
      <c r="E316" s="12" t="e">
        <f ca="1">_xludf.IFS(COUNTIF(보류목록!$B$3:$B$1000, B316)&gt;0, "-",COUNTIF(독서목록!$C$2:$C$1091, B316)=0, , COUNTIF(독서목록!$C$2:$C$1091, B316)&gt;0, COUNTIF(독서목록!$C$2:$C$1091, B316))</f>
        <v>#NAME?</v>
      </c>
      <c r="F316" s="12" t="e">
        <f ca="1">_xludf.IFS(COUNTIF(보류목록!$C$3:$C$1000, B316)&gt;0, "-",COUNTIF(독서목록!$D$2:$D$1091, B316)=0, , COUNTIF(독서목록!$D$2:$D$1091, B316)&gt;0, COUNTIF(독서목록!$D$2:$D$1091, B316))</f>
        <v>#NAME?</v>
      </c>
      <c r="G316" s="12" t="s">
        <v>829</v>
      </c>
      <c r="H316" s="14" t="s">
        <v>75</v>
      </c>
      <c r="I316" s="14" t="s">
        <v>75</v>
      </c>
    </row>
    <row r="317" spans="1:9" ht="16.5" customHeight="1">
      <c r="A317" s="9"/>
      <c r="B317" s="10" t="s">
        <v>832</v>
      </c>
      <c r="C317" s="10" t="s">
        <v>833</v>
      </c>
      <c r="D317" s="10" t="s">
        <v>15</v>
      </c>
      <c r="E317" s="12" t="e">
        <f ca="1">_xludf.IFS(COUNTIF(보류목록!$B$3:$B$1000, B317)&gt;0, "-",COUNTIF(독서목록!$C$2:$C$1091, B317)=0, , COUNTIF(독서목록!$C$2:$C$1091, B317)&gt;0, COUNTIF(독서목록!$C$2:$C$1091, B317))</f>
        <v>#NAME?</v>
      </c>
      <c r="F317" s="12" t="e">
        <f ca="1">_xludf.IFS(COUNTIF(보류목록!$C$3:$C$1000, B317)&gt;0, "-",COUNTIF(독서목록!$D$2:$D$1091, B317)=0, , COUNTIF(독서목록!$D$2:$D$1091, B317)&gt;0, COUNTIF(독서목록!$D$2:$D$1091, B317))</f>
        <v>#NAME?</v>
      </c>
      <c r="G317" s="12" t="s">
        <v>829</v>
      </c>
      <c r="H317" s="14" t="s">
        <v>75</v>
      </c>
      <c r="I317" s="14" t="s">
        <v>75</v>
      </c>
    </row>
    <row r="318" spans="1:9" ht="16.5" customHeight="1">
      <c r="A318" s="9"/>
      <c r="B318" s="10" t="s">
        <v>834</v>
      </c>
      <c r="C318" s="10" t="s">
        <v>835</v>
      </c>
      <c r="D318" s="10" t="s">
        <v>15</v>
      </c>
      <c r="E318" s="12" t="e">
        <f ca="1">_xludf.IFS(COUNTIF(보류목록!$B$3:$B$1000, B318)&gt;0, "-",COUNTIF(독서목록!$C$2:$C$1091, B318)=0, , COUNTIF(독서목록!$C$2:$C$1091, B318)&gt;0, COUNTIF(독서목록!$C$2:$C$1091, B318))</f>
        <v>#NAME?</v>
      </c>
      <c r="F318" s="12" t="e">
        <f ca="1">_xludf.IFS(COUNTIF(보류목록!$C$3:$C$1000, B318)&gt;0, "-",COUNTIF(독서목록!$D$2:$D$1091, B318)=0, , COUNTIF(독서목록!$D$2:$D$1091, B318)&gt;0, COUNTIF(독서목록!$D$2:$D$1091, B318))</f>
        <v>#NAME?</v>
      </c>
      <c r="G318" s="12" t="s">
        <v>829</v>
      </c>
      <c r="H318" s="14" t="s">
        <v>75</v>
      </c>
      <c r="I318" s="14" t="s">
        <v>75</v>
      </c>
    </row>
    <row r="319" spans="1:9" ht="16.5" customHeight="1">
      <c r="A319" s="9"/>
      <c r="B319" s="10" t="s">
        <v>836</v>
      </c>
      <c r="C319" s="10" t="s">
        <v>837</v>
      </c>
      <c r="D319" s="10" t="s">
        <v>7</v>
      </c>
      <c r="E319" s="12" t="e">
        <f ca="1">_xludf.IFS(COUNTIF(보류목록!$B$3:$B$1000, B319)&gt;0, "-",COUNTIF(독서목록!$C$2:$C$1091, B319)=0, , COUNTIF(독서목록!$C$2:$C$1091, B319)&gt;0, COUNTIF(독서목록!$C$2:$C$1091, B319))</f>
        <v>#NAME?</v>
      </c>
      <c r="F319" s="12" t="e">
        <f ca="1">_xludf.IFS(COUNTIF(보류목록!$C$3:$C$1000, B319)&gt;0, "-",COUNTIF(독서목록!$D$2:$D$1091, B319)=0, , COUNTIF(독서목록!$D$2:$D$1091, B319)&gt;0, COUNTIF(독서목록!$D$2:$D$1091, B319))</f>
        <v>#NAME?</v>
      </c>
      <c r="G319" s="12" t="s">
        <v>829</v>
      </c>
      <c r="H319" s="14" t="s">
        <v>75</v>
      </c>
      <c r="I319" s="14" t="s">
        <v>75</v>
      </c>
    </row>
    <row r="320" spans="1:9" ht="16.5" customHeight="1">
      <c r="A320" s="9"/>
      <c r="B320" s="10" t="s">
        <v>838</v>
      </c>
      <c r="C320" s="10" t="s">
        <v>837</v>
      </c>
      <c r="D320" s="10" t="s">
        <v>7</v>
      </c>
      <c r="E320" s="12" t="e">
        <f ca="1">_xludf.IFS(COUNTIF(보류목록!$B$3:$B$1000, B320)&gt;0, "-",COUNTIF(독서목록!$C$2:$C$1091, B320)=0, , COUNTIF(독서목록!$C$2:$C$1091, B320)&gt;0, COUNTIF(독서목록!$C$2:$C$1091, B320))</f>
        <v>#NAME?</v>
      </c>
      <c r="F320" s="12" t="e">
        <f ca="1">_xludf.IFS(COUNTIF(보류목록!$C$3:$C$1000, B320)&gt;0, "-",COUNTIF(독서목록!$D$2:$D$1091, B320)=0, , COUNTIF(독서목록!$D$2:$D$1091, B320)&gt;0, COUNTIF(독서목록!$D$2:$D$1091, B320))</f>
        <v>#NAME?</v>
      </c>
      <c r="G320" s="12" t="s">
        <v>829</v>
      </c>
      <c r="H320" s="14" t="s">
        <v>75</v>
      </c>
      <c r="I320" s="14" t="s">
        <v>75</v>
      </c>
    </row>
    <row r="321" spans="1:9" ht="16.5" customHeight="1">
      <c r="A321" s="9"/>
      <c r="B321" s="10" t="s">
        <v>839</v>
      </c>
      <c r="C321" s="10" t="s">
        <v>840</v>
      </c>
      <c r="D321" s="10" t="s">
        <v>471</v>
      </c>
      <c r="E321" s="12" t="e">
        <f ca="1">_xludf.IFS(COUNTIF(보류목록!$B$3:$B$1000, B321)&gt;0, "-",COUNTIF(독서목록!$C$2:$C$1091, B321)=0, , COUNTIF(독서목록!$C$2:$C$1091, B321)&gt;0, COUNTIF(독서목록!$C$2:$C$1091, B321))</f>
        <v>#NAME?</v>
      </c>
      <c r="F321" s="12" t="e">
        <f ca="1">_xludf.IFS(COUNTIF(보류목록!$C$3:$C$1000, B321)&gt;0, "-",COUNTIF(독서목록!$D$2:$D$1091, B321)=0, , COUNTIF(독서목록!$D$2:$D$1091, B321)&gt;0, COUNTIF(독서목록!$D$2:$D$1091, B321))</f>
        <v>#NAME?</v>
      </c>
      <c r="G321" s="12" t="s">
        <v>841</v>
      </c>
      <c r="H321" s="14" t="s">
        <v>75</v>
      </c>
      <c r="I321" s="14" t="s">
        <v>75</v>
      </c>
    </row>
    <row r="322" spans="1:9" ht="16.5" customHeight="1">
      <c r="A322" s="9"/>
      <c r="B322" s="10" t="s">
        <v>842</v>
      </c>
      <c r="C322" s="10" t="s">
        <v>843</v>
      </c>
      <c r="D322" s="10" t="s">
        <v>628</v>
      </c>
      <c r="E322" s="12" t="e">
        <f ca="1">_xludf.IFS(COUNTIF(보류목록!$B$3:$B$1000, B322)&gt;0, "-",COUNTIF(독서목록!$C$2:$C$1091, B322)=0, , COUNTIF(독서목록!$C$2:$C$1091, B322)&gt;0, COUNTIF(독서목록!$C$2:$C$1091, B322))</f>
        <v>#NAME?</v>
      </c>
      <c r="F322" s="12" t="e">
        <f ca="1">_xludf.IFS(COUNTIF(보류목록!$C$3:$C$1000, B322)&gt;0, "-",COUNTIF(독서목록!$D$2:$D$1091, B322)=0, , COUNTIF(독서목록!$D$2:$D$1091, B322)&gt;0, COUNTIF(독서목록!$D$2:$D$1091, B322))</f>
        <v>#NAME?</v>
      </c>
      <c r="G322" s="12" t="s">
        <v>841</v>
      </c>
      <c r="H322" s="14" t="s">
        <v>75</v>
      </c>
      <c r="I322" s="14" t="s">
        <v>75</v>
      </c>
    </row>
    <row r="323" spans="1:9" ht="16.5" customHeight="1">
      <c r="A323" s="9"/>
      <c r="B323" s="10" t="s">
        <v>844</v>
      </c>
      <c r="C323" s="10" t="s">
        <v>845</v>
      </c>
      <c r="D323" s="10" t="s">
        <v>471</v>
      </c>
      <c r="E323" s="12" t="e">
        <f ca="1">_xludf.IFS(COUNTIF(보류목록!$B$3:$B$1000, B323)&gt;0, "-",COUNTIF(독서목록!$C$2:$C$1091, B323)=0, , COUNTIF(독서목록!$C$2:$C$1091, B323)&gt;0, COUNTIF(독서목록!$C$2:$C$1091, B323))</f>
        <v>#NAME?</v>
      </c>
      <c r="F323" s="12" t="e">
        <f ca="1">_xludf.IFS(COUNTIF(보류목록!$C$3:$C$1000, B323)&gt;0, "-",COUNTIF(독서목록!$D$2:$D$1091, B323)=0, , COUNTIF(독서목록!$D$2:$D$1091, B323)&gt;0, COUNTIF(독서목록!$D$2:$D$1091, B323))</f>
        <v>#NAME?</v>
      </c>
      <c r="G323" s="12" t="s">
        <v>846</v>
      </c>
      <c r="H323" s="14" t="s">
        <v>75</v>
      </c>
      <c r="I323" s="14" t="s">
        <v>75</v>
      </c>
    </row>
    <row r="324" spans="1:9" ht="16.5" customHeight="1">
      <c r="A324" s="9"/>
      <c r="B324" s="10" t="s">
        <v>847</v>
      </c>
      <c r="C324" s="10" t="s">
        <v>848</v>
      </c>
      <c r="D324" s="10" t="s">
        <v>359</v>
      </c>
      <c r="E324" s="12" t="e">
        <f ca="1">_xludf.IFS(COUNTIF(보류목록!$B$3:$B$1000, B324)&gt;0, "-",COUNTIF(독서목록!$C$2:$C$1091, B324)=0, , COUNTIF(독서목록!$C$2:$C$1091, B324)&gt;0, COUNTIF(독서목록!$C$2:$C$1091, B324))</f>
        <v>#NAME?</v>
      </c>
      <c r="F324" s="12" t="e">
        <f ca="1">_xludf.IFS(COUNTIF(보류목록!$C$3:$C$1000, B324)&gt;0, "-",COUNTIF(독서목록!$D$2:$D$1091, B324)=0, , COUNTIF(독서목록!$D$2:$D$1091, B324)&gt;0, COUNTIF(독서목록!$D$2:$D$1091, B324))</f>
        <v>#NAME?</v>
      </c>
      <c r="G324" s="12" t="s">
        <v>846</v>
      </c>
      <c r="H324" s="14" t="s">
        <v>75</v>
      </c>
      <c r="I324" s="14" t="s">
        <v>75</v>
      </c>
    </row>
    <row r="325" spans="1:9" ht="16.5" customHeight="1">
      <c r="A325" s="9"/>
      <c r="B325" s="10" t="s">
        <v>849</v>
      </c>
      <c r="C325" s="10" t="s">
        <v>850</v>
      </c>
      <c r="D325" s="10" t="s">
        <v>471</v>
      </c>
      <c r="E325" s="12" t="e">
        <f ca="1">_xludf.IFS(COUNTIF(보류목록!$B$3:$B$1000, B325)&gt;0, "-",COUNTIF(독서목록!$C$2:$C$1091, B325)=0, , COUNTIF(독서목록!$C$2:$C$1091, B325)&gt;0, COUNTIF(독서목록!$C$2:$C$1091, B325))</f>
        <v>#NAME?</v>
      </c>
      <c r="F325" s="12" t="e">
        <f ca="1">_xludf.IFS(COUNTIF(보류목록!$C$3:$C$1000, B325)&gt;0, "-",COUNTIF(독서목록!$D$2:$D$1091, B325)=0, , COUNTIF(독서목록!$D$2:$D$1091, B325)&gt;0, COUNTIF(독서목록!$D$2:$D$1091, B325))</f>
        <v>#NAME?</v>
      </c>
      <c r="G325" s="12" t="s">
        <v>846</v>
      </c>
      <c r="H325" s="14" t="s">
        <v>75</v>
      </c>
      <c r="I325" s="14" t="s">
        <v>75</v>
      </c>
    </row>
    <row r="326" spans="1:9" ht="16.5" customHeight="1">
      <c r="A326" s="9"/>
      <c r="B326" s="10" t="s">
        <v>851</v>
      </c>
      <c r="C326" s="10" t="s">
        <v>63</v>
      </c>
      <c r="D326" s="10" t="s">
        <v>747</v>
      </c>
      <c r="E326" s="12" t="e">
        <f ca="1">_xludf.IFS(COUNTIF(보류목록!$B$3:$B$1000, B326)&gt;0, "-",COUNTIF(독서목록!$C$2:$C$1091, B326)=0, , COUNTIF(독서목록!$C$2:$C$1091, B326)&gt;0, COUNTIF(독서목록!$C$2:$C$1091, B326))</f>
        <v>#NAME?</v>
      </c>
      <c r="F326" s="12" t="e">
        <f ca="1">_xludf.IFS(COUNTIF(보류목록!$C$3:$C$1000, B326)&gt;0, "-",COUNTIF(독서목록!$D$2:$D$1091, B326)=0, , COUNTIF(독서목록!$D$2:$D$1091, B326)&gt;0, COUNTIF(독서목록!$D$2:$D$1091, B326))</f>
        <v>#NAME?</v>
      </c>
      <c r="G326" s="12" t="s">
        <v>852</v>
      </c>
      <c r="H326" s="14"/>
      <c r="I326" s="14"/>
    </row>
    <row r="327" spans="1:9" ht="16.5" customHeight="1">
      <c r="A327" s="9"/>
      <c r="B327" s="10" t="s">
        <v>853</v>
      </c>
      <c r="C327" s="10" t="s">
        <v>854</v>
      </c>
      <c r="D327" s="10" t="s">
        <v>572</v>
      </c>
      <c r="E327" s="12" t="e">
        <f ca="1">_xludf.IFS(COUNTIF(보류목록!$B$3:$B$1000, B327)&gt;0, "-",COUNTIF(독서목록!$C$2:$C$1091, B327)=0, , COUNTIF(독서목록!$C$2:$C$1091, B327)&gt;0, COUNTIF(독서목록!$C$2:$C$1091, B327))</f>
        <v>#NAME?</v>
      </c>
      <c r="F327" s="12" t="e">
        <f ca="1">_xludf.IFS(COUNTIF(보류목록!$C$3:$C$1000, B327)&gt;0, "-",COUNTIF(독서목록!$D$2:$D$1091, B327)=0, , COUNTIF(독서목록!$D$2:$D$1091, B327)&gt;0, COUNTIF(독서목록!$D$2:$D$1091, B327))</f>
        <v>#NAME?</v>
      </c>
      <c r="G327" s="12" t="s">
        <v>855</v>
      </c>
      <c r="H327" s="14"/>
      <c r="I327" s="14"/>
    </row>
    <row r="328" spans="1:9" ht="16.5" customHeight="1">
      <c r="A328" s="9"/>
      <c r="B328" s="10" t="s">
        <v>856</v>
      </c>
      <c r="C328" s="10" t="s">
        <v>857</v>
      </c>
      <c r="D328" s="10" t="s">
        <v>858</v>
      </c>
      <c r="E328" s="12" t="e">
        <f ca="1">_xludf.IFS(COUNTIF(보류목록!$B$3:$B$1000, B328)&gt;0, "-",COUNTIF(독서목록!$C$2:$C$1091, B328)=0, , COUNTIF(독서목록!$C$2:$C$1091, B328)&gt;0, COUNTIF(독서목록!$C$2:$C$1091, B328))</f>
        <v>#NAME?</v>
      </c>
      <c r="F328" s="12" t="e">
        <f ca="1">_xludf.IFS(COUNTIF(보류목록!$C$3:$C$1000, B328)&gt;0, "-",COUNTIF(독서목록!$D$2:$D$1091, B328)=0, , COUNTIF(독서목록!$D$2:$D$1091, B328)&gt;0, COUNTIF(독서목록!$D$2:$D$1091, B328))</f>
        <v>#NAME?</v>
      </c>
      <c r="G328" s="12" t="s">
        <v>855</v>
      </c>
      <c r="H328" s="14"/>
      <c r="I328" s="14"/>
    </row>
    <row r="329" spans="1:9" ht="16.5" customHeight="1">
      <c r="A329" s="9"/>
      <c r="B329" s="23" t="s">
        <v>859</v>
      </c>
      <c r="C329" s="23" t="s">
        <v>860</v>
      </c>
      <c r="D329" s="23" t="s">
        <v>471</v>
      </c>
      <c r="E329" s="12" t="e">
        <f ca="1">_xludf.IFS(COUNTIF(보류목록!$B$3:$B$1000, B329)&gt;0, "-",COUNTIF(독서목록!$C$2:$C$1091, B329)=0, , COUNTIF(독서목록!$C$2:$C$1091, B329)&gt;0, COUNTIF(독서목록!$C$2:$C$1091, B329))</f>
        <v>#NAME?</v>
      </c>
      <c r="F329" s="12">
        <v>1</v>
      </c>
      <c r="G329" s="24" t="s">
        <v>855</v>
      </c>
      <c r="H329" s="14" t="s">
        <v>75</v>
      </c>
      <c r="I329" s="14" t="s">
        <v>75</v>
      </c>
    </row>
    <row r="330" spans="1:9" ht="16.5" customHeight="1">
      <c r="A330" s="9"/>
      <c r="B330" s="10" t="s">
        <v>861</v>
      </c>
      <c r="C330" s="10" t="s">
        <v>704</v>
      </c>
      <c r="D330" s="10" t="s">
        <v>471</v>
      </c>
      <c r="E330" s="12" t="e">
        <f ca="1">_xludf.IFS(COUNTIF(보류목록!$B$3:$B$1000, B330)&gt;0, "-",COUNTIF(독서목록!$C$2:$C$1091, B330)=0, , COUNTIF(독서목록!$C$2:$C$1091, B330)&gt;0, COUNTIF(독서목록!$C$2:$C$1091, B330))</f>
        <v>#NAME?</v>
      </c>
      <c r="F330" s="12" t="e">
        <f ca="1">_xludf.IFS(COUNTIF(보류목록!$C$3:$C$1000, B330)&gt;0, "-",COUNTIF(독서목록!$D$2:$D$1091, B330)=0, , COUNTIF(독서목록!$D$2:$D$1091, B330)&gt;0, COUNTIF(독서목록!$D$2:$D$1091, B330))</f>
        <v>#NAME?</v>
      </c>
      <c r="G330" s="12" t="s">
        <v>855</v>
      </c>
      <c r="H330" s="14"/>
      <c r="I330" s="14"/>
    </row>
    <row r="331" spans="1:9" ht="16.5" customHeight="1">
      <c r="A331" s="9"/>
      <c r="B331" s="10" t="s">
        <v>862</v>
      </c>
      <c r="C331" s="10" t="s">
        <v>761</v>
      </c>
      <c r="D331" s="10" t="s">
        <v>471</v>
      </c>
      <c r="E331" s="12" t="e">
        <f ca="1">_xludf.IFS(COUNTIF(보류목록!$B$3:$B$1000, B331)&gt;0, "-",COUNTIF(독서목록!$C$2:$C$1091, B331)=0, , COUNTIF(독서목록!$C$2:$C$1091, B331)&gt;0, COUNTIF(독서목록!$C$2:$C$1091, B331))</f>
        <v>#NAME?</v>
      </c>
      <c r="F331" s="12" t="e">
        <f ca="1">_xludf.IFS(COUNTIF(보류목록!$C$3:$C$1000, B331)&gt;0, "-",COUNTIF(독서목록!$D$2:$D$1091, B331)=0, , COUNTIF(독서목록!$D$2:$D$1091, B331)&gt;0, COUNTIF(독서목록!$D$2:$D$1091, B331))</f>
        <v>#NAME?</v>
      </c>
      <c r="G331" s="12" t="s">
        <v>855</v>
      </c>
      <c r="H331" s="14"/>
      <c r="I331" s="14"/>
    </row>
    <row r="332" spans="1:9" ht="16.5" customHeight="1">
      <c r="A332" s="9"/>
      <c r="B332" s="10" t="s">
        <v>863</v>
      </c>
      <c r="C332" s="10" t="s">
        <v>864</v>
      </c>
      <c r="D332" s="10" t="s">
        <v>865</v>
      </c>
      <c r="E332" s="12" t="e">
        <f ca="1">_xludf.IFS(COUNTIF(보류목록!$B$3:$B$1000, B332)&gt;0, "-",COUNTIF(독서목록!$C$2:$C$1091, B332)=0, , COUNTIF(독서목록!$C$2:$C$1091, B332)&gt;0, COUNTIF(독서목록!$C$2:$C$1091, B332))</f>
        <v>#NAME?</v>
      </c>
      <c r="F332" s="12" t="e">
        <f ca="1">_xludf.IFS(COUNTIF(보류목록!$C$3:$C$1000, B332)&gt;0, "-",COUNTIF(독서목록!$D$2:$D$1091, B332)=0, , COUNTIF(독서목록!$D$2:$D$1091, B332)&gt;0, COUNTIF(독서목록!$D$2:$D$1091, B332))</f>
        <v>#NAME?</v>
      </c>
      <c r="G332" s="12" t="s">
        <v>866</v>
      </c>
      <c r="H332" s="14"/>
      <c r="I332" s="14"/>
    </row>
    <row r="333" spans="1:9" ht="16.5" customHeight="1">
      <c r="A333" s="9"/>
      <c r="B333" s="10" t="s">
        <v>867</v>
      </c>
      <c r="C333" s="10" t="s">
        <v>868</v>
      </c>
      <c r="D333" s="10" t="s">
        <v>663</v>
      </c>
      <c r="E333" s="12" t="e">
        <f ca="1">_xludf.IFS(COUNTIF(보류목록!$B$3:$B$1000, B333)&gt;0, "-",COUNTIF(독서목록!$C$2:$C$1091, B333)=0, , COUNTIF(독서목록!$C$2:$C$1091, B333)&gt;0, COUNTIF(독서목록!$C$2:$C$1091, B333))</f>
        <v>#NAME?</v>
      </c>
      <c r="F333" s="12" t="e">
        <f ca="1">_xludf.IFS(COUNTIF(보류목록!$C$3:$C$1000, B333)&gt;0, "-",COUNTIF(독서목록!$D$2:$D$1091, B333)=0, , COUNTIF(독서목록!$D$2:$D$1091, B333)&gt;0, COUNTIF(독서목록!$D$2:$D$1091, B333))</f>
        <v>#NAME?</v>
      </c>
      <c r="G333" s="12" t="s">
        <v>866</v>
      </c>
      <c r="H333" s="14" t="s">
        <v>75</v>
      </c>
      <c r="I333" s="14" t="s">
        <v>75</v>
      </c>
    </row>
    <row r="334" spans="1:9" ht="16.5" customHeight="1">
      <c r="A334" s="25"/>
      <c r="B334" s="16">
        <v>1984</v>
      </c>
      <c r="C334" s="10" t="s">
        <v>869</v>
      </c>
      <c r="D334" s="10" t="s">
        <v>471</v>
      </c>
      <c r="E334" s="12" t="e">
        <f ca="1">_xludf.IFS(COUNTIF(보류목록!$B$3:$B$1000, B334)&gt;0, "-",COUNTIF(독서목록!$C$2:$C$1091, B334)=0, , COUNTIF(독서목록!$C$2:$C$1091, B334)&gt;0, COUNTIF(독서목록!$C$2:$C$1091, B334))</f>
        <v>#NAME?</v>
      </c>
      <c r="F334" s="12" t="e">
        <f ca="1">_xludf.IFS(COUNTIF(보류목록!$C$3:$C$1000, B334)&gt;0, "-",COUNTIF(독서목록!$D$2:$D$1091, B334)=0, , COUNTIF(독서목록!$D$2:$D$1091, B334)&gt;0, COUNTIF(독서목록!$D$2:$D$1091, B334))</f>
        <v>#NAME?</v>
      </c>
      <c r="G334" s="12" t="s">
        <v>866</v>
      </c>
      <c r="H334" s="14"/>
      <c r="I334" s="14"/>
    </row>
    <row r="335" spans="1:9" ht="16.5" customHeight="1">
      <c r="A335" s="9"/>
      <c r="B335" s="10" t="s">
        <v>870</v>
      </c>
      <c r="C335" s="10" t="s">
        <v>672</v>
      </c>
      <c r="D335" s="10" t="s">
        <v>871</v>
      </c>
      <c r="E335" s="12" t="e">
        <f ca="1">_xludf.IFS(COUNTIF(보류목록!$B$3:$B$1000, B335)&gt;0, "-",COUNTIF(독서목록!$C$2:$C$1091, B335)=0, , COUNTIF(독서목록!$C$2:$C$1091, B335)&gt;0, COUNTIF(독서목록!$C$2:$C$1091, B335))</f>
        <v>#NAME?</v>
      </c>
      <c r="F335" s="12" t="e">
        <f ca="1">_xludf.IFS(COUNTIF(보류목록!$C$3:$C$1000, B335)&gt;0, "-",COUNTIF(독서목록!$D$2:$D$1091, B335)=0, , COUNTIF(독서목록!$D$2:$D$1091, B335)&gt;0, COUNTIF(독서목록!$D$2:$D$1091, B335))</f>
        <v>#NAME?</v>
      </c>
      <c r="G335" s="12" t="s">
        <v>872</v>
      </c>
      <c r="H335" s="14"/>
      <c r="I335" s="14"/>
    </row>
    <row r="336" spans="1:9" ht="16.5" customHeight="1">
      <c r="A336" s="9"/>
      <c r="B336" s="10" t="s">
        <v>873</v>
      </c>
      <c r="C336" s="10" t="s">
        <v>782</v>
      </c>
      <c r="D336" s="10" t="s">
        <v>471</v>
      </c>
      <c r="E336" s="12" t="e">
        <f ca="1">_xludf.IFS(COUNTIF(보류목록!$B$3:$B$1000, B336)&gt;0, "-",COUNTIF(독서목록!$C$2:$C$1091, B336)=0, , COUNTIF(독서목록!$C$2:$C$1091, B336)&gt;0, COUNTIF(독서목록!$C$2:$C$1091, B336))</f>
        <v>#NAME?</v>
      </c>
      <c r="F336" s="12" t="e">
        <f ca="1">_xludf.IFS(COUNTIF(보류목록!$C$3:$C$1000, B336)&gt;0, "-",COUNTIF(독서목록!$D$2:$D$1091, B336)=0, , COUNTIF(독서목록!$D$2:$D$1091, B336)&gt;0, COUNTIF(독서목록!$D$2:$D$1091, B336))</f>
        <v>#NAME?</v>
      </c>
      <c r="G336" s="12" t="s">
        <v>872</v>
      </c>
      <c r="H336" s="14" t="s">
        <v>75</v>
      </c>
      <c r="I336" s="14" t="s">
        <v>75</v>
      </c>
    </row>
    <row r="337" spans="1:9" ht="16.5" customHeight="1">
      <c r="A337" s="9"/>
      <c r="B337" s="10" t="s">
        <v>874</v>
      </c>
      <c r="C337" s="10" t="s">
        <v>875</v>
      </c>
      <c r="D337" s="10" t="s">
        <v>876</v>
      </c>
      <c r="E337" s="12" t="e">
        <f ca="1">_xludf.IFS(COUNTIF(보류목록!$B$3:$B$1000, B337)&gt;0, "-",COUNTIF(독서목록!$C$2:$C$1091, B337)=0, , COUNTIF(독서목록!$C$2:$C$1091, B337)&gt;0, COUNTIF(독서목록!$C$2:$C$1091, B337))</f>
        <v>#NAME?</v>
      </c>
      <c r="F337" s="12" t="e">
        <f ca="1">_xludf.IFS(COUNTIF(보류목록!$C$3:$C$1000, B337)&gt;0, "-",COUNTIF(독서목록!$D$2:$D$1091, B337)=0, , COUNTIF(독서목록!$D$2:$D$1091, B337)&gt;0, COUNTIF(독서목록!$D$2:$D$1091, B337))</f>
        <v>#NAME?</v>
      </c>
      <c r="G337" s="12" t="s">
        <v>872</v>
      </c>
      <c r="H337" s="14" t="s">
        <v>75</v>
      </c>
      <c r="I337" s="14" t="s">
        <v>75</v>
      </c>
    </row>
    <row r="338" spans="1:9" ht="16.5" customHeight="1">
      <c r="A338" s="9"/>
      <c r="B338" s="10" t="s">
        <v>877</v>
      </c>
      <c r="C338" s="10" t="s">
        <v>875</v>
      </c>
      <c r="D338" s="11" t="s">
        <v>211</v>
      </c>
      <c r="E338" s="12" t="e">
        <f ca="1">_xludf.IFS(COUNTIF(보류목록!$B$3:$B$1000, B338)&gt;0, "-",COUNTIF(독서목록!$C$2:$C$1091, B338)=0, , COUNTIF(독서목록!$C$2:$C$1091, B338)&gt;0, COUNTIF(독서목록!$C$2:$C$1091, B338))</f>
        <v>#NAME?</v>
      </c>
      <c r="F338" s="12" t="e">
        <f ca="1">_xludf.IFS(COUNTIF(보류목록!$C$3:$C$1000, B338)&gt;0, "-",COUNTIF(독서목록!$D$2:$D$1091, B338)=0, , COUNTIF(독서목록!$D$2:$D$1091, B338)&gt;0, COUNTIF(독서목록!$D$2:$D$1091, B338))</f>
        <v>#NAME?</v>
      </c>
      <c r="G338" s="12" t="s">
        <v>878</v>
      </c>
      <c r="H338" s="14" t="s">
        <v>75</v>
      </c>
      <c r="I338" s="14" t="s">
        <v>75</v>
      </c>
    </row>
    <row r="339" spans="1:9" ht="16.5" customHeight="1">
      <c r="A339" s="9"/>
      <c r="B339" s="26" t="s">
        <v>879</v>
      </c>
      <c r="C339" s="26" t="s">
        <v>790</v>
      </c>
      <c r="D339" s="26" t="s">
        <v>880</v>
      </c>
      <c r="E339" s="12" t="e">
        <f ca="1">_xludf.IFS(COUNTIF(보류목록!$B$3:$B$1000, B339)&gt;0, "-",COUNTIF(독서목록!$C$2:$C$1091, B339)=0, , COUNTIF(독서목록!$C$2:$C$1091, B339)&gt;0, COUNTIF(독서목록!$C$2:$C$1091, B339))</f>
        <v>#NAME?</v>
      </c>
      <c r="F339" s="12" t="e">
        <f ca="1">_xludf.IFS(COUNTIF(보류목록!$C$3:$C$1000, B339)&gt;0, "-",COUNTIF(독서목록!$D$2:$D$1091, B339)=0, , COUNTIF(독서목록!$D$2:$D$1091, B339)&gt;0, COUNTIF(독서목록!$D$2:$D$1091, B339))</f>
        <v>#NAME?</v>
      </c>
      <c r="G339" s="27" t="s">
        <v>878</v>
      </c>
      <c r="H339" s="14" t="s">
        <v>75</v>
      </c>
      <c r="I339" s="14" t="s">
        <v>75</v>
      </c>
    </row>
    <row r="340" spans="1:9" ht="16.5" customHeight="1">
      <c r="A340" s="9"/>
      <c r="B340" s="26" t="s">
        <v>881</v>
      </c>
      <c r="C340" s="26" t="s">
        <v>172</v>
      </c>
      <c r="D340" s="26" t="s">
        <v>882</v>
      </c>
      <c r="E340" s="12" t="e">
        <f ca="1">_xludf.IFS(COUNTIF(보류목록!$B$3:$B$1000, B340)&gt;0, "-",COUNTIF(독서목록!$C$2:$C$1091, B340)=0, , COUNTIF(독서목록!$C$2:$C$1091, B340)&gt;0, COUNTIF(독서목록!$C$2:$C$1091, B340))</f>
        <v>#NAME?</v>
      </c>
      <c r="F340" s="12" t="e">
        <f ca="1">_xludf.IFS(COUNTIF(보류목록!$C$3:$C$1000, B340)&gt;0, "-",COUNTIF(독서목록!$D$2:$D$1091, B340)=0, , COUNTIF(독서목록!$D$2:$D$1091, B340)&gt;0, COUNTIF(독서목록!$D$2:$D$1091, B340))</f>
        <v>#NAME?</v>
      </c>
      <c r="G340" s="27" t="s">
        <v>878</v>
      </c>
      <c r="H340" s="14"/>
      <c r="I340" s="14"/>
    </row>
    <row r="341" spans="1:9" ht="16.5" customHeight="1">
      <c r="A341" s="9"/>
      <c r="B341" s="10" t="s">
        <v>883</v>
      </c>
      <c r="C341" s="10" t="s">
        <v>445</v>
      </c>
      <c r="D341" s="10" t="s">
        <v>599</v>
      </c>
      <c r="E341" s="12" t="e">
        <f ca="1">_xludf.IFS(COUNTIF(보류목록!$B$3:$B$1000, B341)&gt;0, "-",COUNTIF(독서목록!$C$2:$C$1091, B341)=0, , COUNTIF(독서목록!$C$2:$C$1091, B341)&gt;0, COUNTIF(독서목록!$C$2:$C$1091, B341))</f>
        <v>#NAME?</v>
      </c>
      <c r="F341" s="12" t="e">
        <f ca="1">_xludf.IFS(COUNTIF(보류목록!$C$3:$C$1000, B341)&gt;0, "-",COUNTIF(독서목록!$D$2:$D$1091, B341)=0, , COUNTIF(독서목록!$D$2:$D$1091, B341)&gt;0, COUNTIF(독서목록!$D$2:$D$1091, B341))</f>
        <v>#NAME?</v>
      </c>
      <c r="G341" s="12" t="s">
        <v>878</v>
      </c>
      <c r="H341" s="14"/>
      <c r="I341" s="14"/>
    </row>
    <row r="342" spans="1:9" ht="16.5" customHeight="1">
      <c r="A342" s="9"/>
      <c r="B342" s="10" t="s">
        <v>884</v>
      </c>
      <c r="C342" s="10" t="s">
        <v>445</v>
      </c>
      <c r="D342" s="10" t="s">
        <v>885</v>
      </c>
      <c r="E342" s="12" t="e">
        <f ca="1">_xludf.IFS(COUNTIF(보류목록!$B$3:$B$1000, B342)&gt;0, "-",COUNTIF(독서목록!$C$2:$C$1091, B342)=0, , COUNTIF(독서목록!$C$2:$C$1091, B342)&gt;0, COUNTIF(독서목록!$C$2:$C$1091, B342))</f>
        <v>#NAME?</v>
      </c>
      <c r="F342" s="12" t="e">
        <f ca="1">_xludf.IFS(COUNTIF(보류목록!$C$3:$C$1000, B342)&gt;0, "-",COUNTIF(독서목록!$D$2:$D$1091, B342)=0, , COUNTIF(독서목록!$D$2:$D$1091, B342)&gt;0, COUNTIF(독서목록!$D$2:$D$1091, B342))</f>
        <v>#NAME?</v>
      </c>
      <c r="G342" s="12" t="s">
        <v>878</v>
      </c>
      <c r="H342" s="14" t="s">
        <v>75</v>
      </c>
      <c r="I342" s="14" t="s">
        <v>75</v>
      </c>
    </row>
    <row r="343" spans="1:9" ht="16.5" customHeight="1">
      <c r="A343" s="9"/>
      <c r="B343" s="10" t="s">
        <v>886</v>
      </c>
      <c r="C343" s="10" t="s">
        <v>887</v>
      </c>
      <c r="D343" s="10" t="s">
        <v>105</v>
      </c>
      <c r="E343" s="12" t="e">
        <f ca="1">_xludf.IFS(COUNTIF(보류목록!$B$3:$B$1000, B343)&gt;0, "-",COUNTIF(독서목록!$C$2:$C$1091, B343)=0, , COUNTIF(독서목록!$C$2:$C$1091, B343)&gt;0, COUNTIF(독서목록!$C$2:$C$1091, B343))</f>
        <v>#NAME?</v>
      </c>
      <c r="F343" s="12" t="e">
        <f ca="1">_xludf.IFS(COUNTIF(보류목록!$C$3:$C$1000, B343)&gt;0, "-",COUNTIF(독서목록!$D$2:$D$1091, B343)=0, , COUNTIF(독서목록!$D$2:$D$1091, B343)&gt;0, COUNTIF(독서목록!$D$2:$D$1091, B343))</f>
        <v>#NAME?</v>
      </c>
      <c r="G343" s="12" t="s">
        <v>878</v>
      </c>
      <c r="H343" s="14" t="s">
        <v>75</v>
      </c>
      <c r="I343" s="14" t="s">
        <v>75</v>
      </c>
    </row>
    <row r="344" spans="1:9" ht="16.5" customHeight="1">
      <c r="A344" s="9"/>
      <c r="B344" s="10" t="s">
        <v>888</v>
      </c>
      <c r="C344" s="10" t="s">
        <v>889</v>
      </c>
      <c r="D344" s="10" t="s">
        <v>890</v>
      </c>
      <c r="E344" s="12" t="e">
        <f ca="1">_xludf.IFS(COUNTIF(보류목록!$B$3:$B$1000, B344)&gt;0, "-",COUNTIF(독서목록!$C$2:$C$1091, B344)=0, , COUNTIF(독서목록!$C$2:$C$1091, B344)&gt;0, COUNTIF(독서목록!$C$2:$C$1091, B344))</f>
        <v>#NAME?</v>
      </c>
      <c r="F344" s="12" t="e">
        <f ca="1">_xludf.IFS(COUNTIF(보류목록!$C$3:$C$1000, B344)&gt;0, "-",COUNTIF(독서목록!$D$2:$D$1091, B344)=0, , COUNTIF(독서목록!$D$2:$D$1091, B344)&gt;0, COUNTIF(독서목록!$D$2:$D$1091, B344))</f>
        <v>#NAME?</v>
      </c>
      <c r="G344" s="12" t="s">
        <v>878</v>
      </c>
      <c r="H344" s="14"/>
      <c r="I344" s="14"/>
    </row>
    <row r="345" spans="1:9" ht="16.5" customHeight="1">
      <c r="A345" s="9"/>
      <c r="B345" s="10" t="s">
        <v>891</v>
      </c>
      <c r="C345" s="10" t="s">
        <v>892</v>
      </c>
      <c r="D345" s="10" t="s">
        <v>39</v>
      </c>
      <c r="E345" s="12" t="e">
        <f ca="1">_xludf.IFS(COUNTIF(보류목록!$B$3:$B$1000, B345)&gt;0, "-",COUNTIF(독서목록!$C$2:$C$1091, B345)=0, , COUNTIF(독서목록!$C$2:$C$1091, B345)&gt;0, COUNTIF(독서목록!$C$2:$C$1091, B345))</f>
        <v>#NAME?</v>
      </c>
      <c r="F345" s="12" t="e">
        <f ca="1">_xludf.IFS(COUNTIF(보류목록!$C$3:$C$1000, B345)&gt;0, "-",COUNTIF(독서목록!$D$2:$D$1091, B345)=0, , COUNTIF(독서목록!$D$2:$D$1091, B345)&gt;0, COUNTIF(독서목록!$D$2:$D$1091, B345))</f>
        <v>#NAME?</v>
      </c>
      <c r="G345" s="12" t="s">
        <v>878</v>
      </c>
      <c r="H345" s="14"/>
      <c r="I345" s="14"/>
    </row>
    <row r="346" spans="1:9" ht="16.5" customHeight="1">
      <c r="A346" s="9"/>
      <c r="B346" s="10" t="s">
        <v>893</v>
      </c>
      <c r="C346" s="10" t="s">
        <v>894</v>
      </c>
      <c r="D346" s="10" t="s">
        <v>256</v>
      </c>
      <c r="E346" s="12" t="s">
        <v>895</v>
      </c>
      <c r="F346" s="12" t="s">
        <v>895</v>
      </c>
      <c r="G346" s="12" t="s">
        <v>878</v>
      </c>
      <c r="H346" s="14" t="s">
        <v>75</v>
      </c>
      <c r="I346" s="14" t="s">
        <v>75</v>
      </c>
    </row>
    <row r="347" spans="1:9" ht="16.5" customHeight="1">
      <c r="A347" s="9"/>
      <c r="B347" s="10" t="s">
        <v>896</v>
      </c>
      <c r="C347" s="10" t="s">
        <v>897</v>
      </c>
      <c r="D347" s="10" t="s">
        <v>898</v>
      </c>
      <c r="E347" s="12" t="e">
        <f ca="1">_xludf.IFS(COUNTIF(보류목록!$B$3:$B$1000, B347)&gt;0, "-",COUNTIF(독서목록!$C$2:$C$1091, B347)=0, , COUNTIF(독서목록!$C$2:$C$1091, B347)&gt;0, COUNTIF(독서목록!$C$2:$C$1091, B347))</f>
        <v>#NAME?</v>
      </c>
      <c r="F347" s="12" t="e">
        <f ca="1">_xludf.IFS(COUNTIF(보류목록!$C$3:$C$1000, B347)&gt;0, "-",COUNTIF(독서목록!$D$2:$D$1091, B347)=0, , COUNTIF(독서목록!$D$2:$D$1091, B347)&gt;0, COUNTIF(독서목록!$D$2:$D$1091, B347))</f>
        <v>#NAME?</v>
      </c>
      <c r="G347" s="12" t="s">
        <v>878</v>
      </c>
      <c r="H347" s="14"/>
      <c r="I347" s="14"/>
    </row>
    <row r="348" spans="1:9" ht="16.5" customHeight="1">
      <c r="A348" s="9"/>
      <c r="B348" s="10" t="s">
        <v>899</v>
      </c>
      <c r="C348" s="10" t="s">
        <v>900</v>
      </c>
      <c r="D348" s="10" t="s">
        <v>901</v>
      </c>
      <c r="E348" s="12" t="e">
        <f ca="1">_xludf.IFS(COUNTIF(보류목록!$B$3:$B$1000, B348)&gt;0, "-",COUNTIF(독서목록!$C$2:$C$1091, B348)=0, , COUNTIF(독서목록!$C$2:$C$1091, B348)&gt;0, COUNTIF(독서목록!$C$2:$C$1091, B348))</f>
        <v>#NAME?</v>
      </c>
      <c r="F348" s="12" t="e">
        <f ca="1">_xludf.IFS(COUNTIF(보류목록!$C$3:$C$1000, B348)&gt;0, "-",COUNTIF(독서목록!$D$2:$D$1091, B348)=0, , COUNTIF(독서목록!$D$2:$D$1091, B348)&gt;0, COUNTIF(독서목록!$D$2:$D$1091, B348))</f>
        <v>#NAME?</v>
      </c>
      <c r="G348" s="12" t="s">
        <v>878</v>
      </c>
      <c r="H348" s="14"/>
      <c r="I348" s="14"/>
    </row>
    <row r="349" spans="1:9" ht="16.5" customHeight="1">
      <c r="A349" s="9"/>
      <c r="B349" s="10" t="s">
        <v>902</v>
      </c>
      <c r="C349" s="10" t="s">
        <v>903</v>
      </c>
      <c r="D349" s="10" t="s">
        <v>82</v>
      </c>
      <c r="E349" s="12" t="e">
        <f ca="1">_xludf.IFS(COUNTIF(보류목록!$B$3:$B$1000, B349)&gt;0, "-",COUNTIF(독서목록!$C$2:$C$1091, B349)=0, , COUNTIF(독서목록!$C$2:$C$1091, B349)&gt;0, COUNTIF(독서목록!$C$2:$C$1091, B349))</f>
        <v>#NAME?</v>
      </c>
      <c r="F349" s="12" t="e">
        <f ca="1">_xludf.IFS(COUNTIF(보류목록!$C$3:$C$1000, B349)&gt;0, "-",COUNTIF(독서목록!$D$2:$D$1091, B349)=0, , COUNTIF(독서목록!$D$2:$D$1091, B349)&gt;0, COUNTIF(독서목록!$D$2:$D$1091, B349))</f>
        <v>#NAME?</v>
      </c>
      <c r="G349" s="12" t="s">
        <v>878</v>
      </c>
      <c r="H349" s="14"/>
      <c r="I349" s="14"/>
    </row>
    <row r="350" spans="1:9" ht="16.5" customHeight="1">
      <c r="A350" s="9"/>
      <c r="B350" s="10" t="s">
        <v>904</v>
      </c>
      <c r="C350" s="10" t="s">
        <v>905</v>
      </c>
      <c r="D350" s="10" t="s">
        <v>37</v>
      </c>
      <c r="E350" s="12" t="e">
        <f ca="1">_xludf.IFS(COUNTIF(보류목록!$B$3:$B$1000, B350)&gt;0, "-",COUNTIF(독서목록!$C$2:$C$1091, B350)=0, , COUNTIF(독서목록!$C$2:$C$1091, B350)&gt;0, COUNTIF(독서목록!$C$2:$C$1091, B350))</f>
        <v>#NAME?</v>
      </c>
      <c r="F350" s="12" t="e">
        <f ca="1">_xludf.IFS(COUNTIF(보류목록!$C$3:$C$1000, B350)&gt;0, "-",COUNTIF(독서목록!$D$2:$D$1091, B350)=0, , COUNTIF(독서목록!$D$2:$D$1091, B350)&gt;0, COUNTIF(독서목록!$D$2:$D$1091, B350))</f>
        <v>#NAME?</v>
      </c>
      <c r="G350" s="12" t="s">
        <v>878</v>
      </c>
      <c r="H350" s="14"/>
      <c r="I350" s="14"/>
    </row>
    <row r="351" spans="1:9" ht="16.5" customHeight="1">
      <c r="A351" s="9"/>
      <c r="B351" s="10" t="s">
        <v>906</v>
      </c>
      <c r="C351" s="10" t="s">
        <v>907</v>
      </c>
      <c r="D351" s="10" t="s">
        <v>908</v>
      </c>
      <c r="E351" s="12" t="e">
        <f ca="1">_xludf.IFS(COUNTIF(보류목록!$B$3:$B$1000, B351)&gt;0, "-",COUNTIF(독서목록!$C$2:$C$1091, B351)=0, , COUNTIF(독서목록!$C$2:$C$1091, B351)&gt;0, COUNTIF(독서목록!$C$2:$C$1091, B351))</f>
        <v>#NAME?</v>
      </c>
      <c r="F351" s="12" t="e">
        <f ca="1">_xludf.IFS(COUNTIF(보류목록!$C$3:$C$1000, B351)&gt;0, "-",COUNTIF(독서목록!$D$2:$D$1091, B351)=0, , COUNTIF(독서목록!$D$2:$D$1091, B351)&gt;0, COUNTIF(독서목록!$D$2:$D$1091, B351))</f>
        <v>#NAME?</v>
      </c>
      <c r="G351" s="12" t="s">
        <v>878</v>
      </c>
      <c r="H351" s="14"/>
      <c r="I351" s="14"/>
    </row>
    <row r="352" spans="1:9" ht="16.5" customHeight="1">
      <c r="A352" s="9"/>
      <c r="B352" s="10" t="s">
        <v>909</v>
      </c>
      <c r="C352" s="10" t="s">
        <v>910</v>
      </c>
      <c r="D352" s="10" t="s">
        <v>253</v>
      </c>
      <c r="E352" s="12" t="e">
        <f ca="1">_xludf.IFS(COUNTIF(보류목록!$B$3:$B$1000, B352)&gt;0, "-",COUNTIF(독서목록!$C$2:$C$1091, B352)=0, , COUNTIF(독서목록!$C$2:$C$1091, B352)&gt;0, COUNTIF(독서목록!$C$2:$C$1091, B352))</f>
        <v>#NAME?</v>
      </c>
      <c r="F352" s="12" t="e">
        <f ca="1">_xludf.IFS(COUNTIF(보류목록!$C$3:$C$1000, B352)&gt;0, "-",COUNTIF(독서목록!$D$2:$D$1091, B352)=0, , COUNTIF(독서목록!$D$2:$D$1091, B352)&gt;0, COUNTIF(독서목록!$D$2:$D$1091, B352))</f>
        <v>#NAME?</v>
      </c>
      <c r="G352" s="12" t="s">
        <v>878</v>
      </c>
      <c r="H352" s="14"/>
      <c r="I352" s="14"/>
    </row>
    <row r="353" spans="1:9" ht="16.5" customHeight="1">
      <c r="A353" s="9"/>
      <c r="B353" s="10" t="s">
        <v>911</v>
      </c>
      <c r="C353" s="10" t="s">
        <v>912</v>
      </c>
      <c r="D353" s="10" t="s">
        <v>628</v>
      </c>
      <c r="E353" s="12" t="e">
        <f ca="1">_xludf.IFS(COUNTIF(보류목록!$B$3:$B$1000, B353)&gt;0, "-",COUNTIF(독서목록!$C$2:$C$1091, B353)=0, , COUNTIF(독서목록!$C$2:$C$1091, B353)&gt;0, COUNTIF(독서목록!$C$2:$C$1091, B353))</f>
        <v>#NAME?</v>
      </c>
      <c r="F353" s="12" t="e">
        <f ca="1">_xludf.IFS(COUNTIF(보류목록!$C$3:$C$1000, B353)&gt;0, "-",COUNTIF(독서목록!$D$2:$D$1091, B353)=0, , COUNTIF(독서목록!$D$2:$D$1091, B353)&gt;0, COUNTIF(독서목록!$D$2:$D$1091, B353))</f>
        <v>#NAME?</v>
      </c>
      <c r="G353" s="12" t="s">
        <v>878</v>
      </c>
      <c r="H353" s="14" t="s">
        <v>75</v>
      </c>
      <c r="I353" s="14" t="s">
        <v>75</v>
      </c>
    </row>
    <row r="354" spans="1:9" ht="16.5" customHeight="1">
      <c r="A354" s="9"/>
      <c r="B354" s="10" t="s">
        <v>913</v>
      </c>
      <c r="C354" s="10" t="s">
        <v>914</v>
      </c>
      <c r="D354" s="10" t="s">
        <v>190</v>
      </c>
      <c r="E354" s="12" t="e">
        <f ca="1">_xludf.IFS(COUNTIF(보류목록!$B$3:$B$1000, B354)&gt;0, "-",COUNTIF(독서목록!$C$2:$C$1091, B354)=0, , COUNTIF(독서목록!$C$2:$C$1091, B354)&gt;0, COUNTIF(독서목록!$C$2:$C$1091, B354))</f>
        <v>#NAME?</v>
      </c>
      <c r="F354" s="12" t="e">
        <f ca="1">_xludf.IFS(COUNTIF(보류목록!$C$3:$C$1000, B354)&gt;0, "-",COUNTIF(독서목록!$D$2:$D$1091, B354)=0, , COUNTIF(독서목록!$D$2:$D$1091, B354)&gt;0, COUNTIF(독서목록!$D$2:$D$1091, B354))</f>
        <v>#NAME?</v>
      </c>
      <c r="G354" s="12" t="s">
        <v>878</v>
      </c>
      <c r="H354" s="14" t="s">
        <v>75</v>
      </c>
      <c r="I354" s="14" t="s">
        <v>75</v>
      </c>
    </row>
    <row r="355" spans="1:9" ht="16.5" customHeight="1">
      <c r="A355" s="9"/>
      <c r="B355" s="10" t="s">
        <v>915</v>
      </c>
      <c r="C355" s="10" t="s">
        <v>916</v>
      </c>
      <c r="D355" s="10" t="s">
        <v>917</v>
      </c>
      <c r="E355" s="12" t="e">
        <f ca="1">_xludf.IFS(COUNTIF(보류목록!$B$3:$B$1000, B355)&gt;0, "-",COUNTIF(독서목록!$C$2:$C$1091, B355)=0, , COUNTIF(독서목록!$C$2:$C$1091, B355)&gt;0, COUNTIF(독서목록!$C$2:$C$1091, B355))</f>
        <v>#NAME?</v>
      </c>
      <c r="F355" s="12" t="e">
        <f ca="1">_xludf.IFS(COUNTIF(보류목록!$C$3:$C$1000, B355)&gt;0, "-",COUNTIF(독서목록!$D$2:$D$1091, B355)=0, , COUNTIF(독서목록!$D$2:$D$1091, B355)&gt;0, COUNTIF(독서목록!$D$2:$D$1091, B355))</f>
        <v>#NAME?</v>
      </c>
      <c r="G355" s="12" t="s">
        <v>878</v>
      </c>
      <c r="H355" s="14" t="s">
        <v>75</v>
      </c>
      <c r="I355" s="14" t="s">
        <v>75</v>
      </c>
    </row>
    <row r="356" spans="1:9" ht="16.5" customHeight="1">
      <c r="A356" s="9"/>
      <c r="B356" s="10" t="s">
        <v>918</v>
      </c>
      <c r="C356" s="10" t="s">
        <v>919</v>
      </c>
      <c r="D356" s="10" t="s">
        <v>390</v>
      </c>
      <c r="E356" s="12" t="e">
        <f ca="1">_xludf.IFS(COUNTIF(보류목록!$B$3:$B$1000, B356)&gt;0, "-",COUNTIF(독서목록!$C$2:$C$1091, B356)=0, , COUNTIF(독서목록!$C$2:$C$1091, B356)&gt;0, COUNTIF(독서목록!$C$2:$C$1091, B356))</f>
        <v>#NAME?</v>
      </c>
      <c r="F356" s="12" t="e">
        <f ca="1">_xludf.IFS(COUNTIF(보류목록!$C$3:$C$1000, B356)&gt;0, "-",COUNTIF(독서목록!$D$2:$D$1091, B356)=0, , COUNTIF(독서목록!$D$2:$D$1091, B356)&gt;0, COUNTIF(독서목록!$D$2:$D$1091, B356))</f>
        <v>#NAME?</v>
      </c>
      <c r="G356" s="12" t="s">
        <v>878</v>
      </c>
      <c r="H356" s="14"/>
      <c r="I356" s="14"/>
    </row>
    <row r="357" spans="1:9" ht="16.5" customHeight="1">
      <c r="A357" s="9"/>
      <c r="B357" s="10" t="s">
        <v>920</v>
      </c>
      <c r="C357" s="10" t="s">
        <v>869</v>
      </c>
      <c r="D357" s="10" t="s">
        <v>921</v>
      </c>
      <c r="E357" s="12" t="e">
        <f ca="1">_xludf.IFS(COUNTIF(보류목록!$B$3:$B$1000, B357)&gt;0, "-",COUNTIF(독서목록!$C$2:$C$1091, B357)=0, , COUNTIF(독서목록!$C$2:$C$1091, B357)&gt;0, COUNTIF(독서목록!$C$2:$C$1091, B357))</f>
        <v>#NAME?</v>
      </c>
      <c r="F357" s="12" t="e">
        <f ca="1">_xludf.IFS(COUNTIF(보류목록!$C$3:$C$1000, B357)&gt;0, "-",COUNTIF(독서목록!$D$2:$D$1091, B357)=0, , COUNTIF(독서목록!$D$2:$D$1091, B357)&gt;0, COUNTIF(독서목록!$D$2:$D$1091, B357))</f>
        <v>#NAME?</v>
      </c>
      <c r="G357" s="12" t="s">
        <v>878</v>
      </c>
      <c r="H357" s="14"/>
      <c r="I357" s="14"/>
    </row>
    <row r="358" spans="1:9" ht="16.5" customHeight="1">
      <c r="A358" s="9"/>
      <c r="B358" s="23" t="s">
        <v>922</v>
      </c>
      <c r="C358" s="10" t="s">
        <v>378</v>
      </c>
      <c r="D358" s="10" t="s">
        <v>15</v>
      </c>
      <c r="E358" s="12" t="e">
        <f ca="1">_xludf.IFS(COUNTIF(보류목록!$B$3:$B$1000, B358)&gt;0, "-",COUNTIF(독서목록!$C$2:$C$1091, B358)=0, , COUNTIF(독서목록!$C$2:$C$1091, B358)&gt;0, COUNTIF(독서목록!$C$2:$C$1091, B358))</f>
        <v>#NAME?</v>
      </c>
      <c r="F358" s="12" t="e">
        <f ca="1">_xludf.IFS(COUNTIF(보류목록!$C$3:$C$1000, B358)&gt;0, "-",COUNTIF(독서목록!$D$2:$D$1091, B358)=0, , COUNTIF(독서목록!$D$2:$D$1091, B358)&gt;0, COUNTIF(독서목록!$D$2:$D$1091, B358))</f>
        <v>#NAME?</v>
      </c>
      <c r="G358" s="12" t="s">
        <v>878</v>
      </c>
      <c r="H358" s="14" t="s">
        <v>75</v>
      </c>
      <c r="I358" s="14" t="s">
        <v>75</v>
      </c>
    </row>
    <row r="359" spans="1:9" ht="16.5" customHeight="1">
      <c r="A359" s="9"/>
      <c r="B359" s="10" t="s">
        <v>923</v>
      </c>
      <c r="C359" s="10" t="s">
        <v>378</v>
      </c>
      <c r="D359" s="10" t="s">
        <v>15</v>
      </c>
      <c r="E359" s="12" t="e">
        <f ca="1">_xludf.IFS(COUNTIF(보류목록!$B$3:$B$1000, B359)&gt;0, "-",COUNTIF(독서목록!$C$2:$C$1091, B359)=0, , COUNTIF(독서목록!$C$2:$C$1091, B359)&gt;0, COUNTIF(독서목록!$C$2:$C$1091, B359))</f>
        <v>#NAME?</v>
      </c>
      <c r="F359" s="12" t="e">
        <f ca="1">_xludf.IFS(COUNTIF(보류목록!$C$3:$C$1000, B359)&gt;0, "-",COUNTIF(독서목록!$D$2:$D$1091, B359)=0, , COUNTIF(독서목록!$D$2:$D$1091, B359)&gt;0, COUNTIF(독서목록!$D$2:$D$1091, B359))</f>
        <v>#NAME?</v>
      </c>
      <c r="G359" s="12" t="s">
        <v>878</v>
      </c>
      <c r="H359" s="14" t="s">
        <v>75</v>
      </c>
      <c r="I359" s="14" t="s">
        <v>75</v>
      </c>
    </row>
    <row r="360" spans="1:9" ht="16.5" customHeight="1">
      <c r="A360" s="9"/>
      <c r="B360" s="10" t="s">
        <v>924</v>
      </c>
      <c r="C360" s="10" t="s">
        <v>378</v>
      </c>
      <c r="D360" s="10" t="s">
        <v>15</v>
      </c>
      <c r="E360" s="12" t="e">
        <f ca="1">_xludf.IFS(COUNTIF(보류목록!$B$3:$B$1000, B360)&gt;0, "-",COUNTIF(독서목록!$C$2:$C$1091, B360)=0, , COUNTIF(독서목록!$C$2:$C$1091, B360)&gt;0, COUNTIF(독서목록!$C$2:$C$1091, B360))</f>
        <v>#NAME?</v>
      </c>
      <c r="F360" s="12" t="e">
        <f ca="1">_xludf.IFS(COUNTIF(보류목록!$C$3:$C$1000, B360)&gt;0, "-",COUNTIF(독서목록!$D$2:$D$1091, B360)=0, , COUNTIF(독서목록!$D$2:$D$1091, B360)&gt;0, COUNTIF(독서목록!$D$2:$D$1091, B360))</f>
        <v>#NAME?</v>
      </c>
      <c r="G360" s="12" t="s">
        <v>878</v>
      </c>
      <c r="H360" s="14" t="s">
        <v>75</v>
      </c>
      <c r="I360" s="14" t="s">
        <v>75</v>
      </c>
    </row>
    <row r="361" spans="1:9" ht="16.5" customHeight="1">
      <c r="A361" s="9"/>
      <c r="B361" s="10" t="s">
        <v>925</v>
      </c>
      <c r="C361" s="10" t="s">
        <v>378</v>
      </c>
      <c r="D361" s="10" t="s">
        <v>15</v>
      </c>
      <c r="E361" s="12" t="e">
        <f ca="1">_xludf.IFS(COUNTIF(보류목록!$B$3:$B$1000, B361)&gt;0, "-",COUNTIF(독서목록!$C$2:$C$1091, B361)=0, , COUNTIF(독서목록!$C$2:$C$1091, B361)&gt;0, COUNTIF(독서목록!$C$2:$C$1091, B361))</f>
        <v>#NAME?</v>
      </c>
      <c r="F361" s="12" t="e">
        <f ca="1">_xludf.IFS(COUNTIF(보류목록!$C$3:$C$1000, B361)&gt;0, "-",COUNTIF(독서목록!$D$2:$D$1091, B361)=0, , COUNTIF(독서목록!$D$2:$D$1091, B361)&gt;0, COUNTIF(독서목록!$D$2:$D$1091, B361))</f>
        <v>#NAME?</v>
      </c>
      <c r="G361" s="12" t="s">
        <v>878</v>
      </c>
      <c r="H361" s="14" t="s">
        <v>75</v>
      </c>
      <c r="I361" s="14" t="s">
        <v>75</v>
      </c>
    </row>
    <row r="362" spans="1:9" ht="16.5" customHeight="1">
      <c r="A362" s="9"/>
      <c r="B362" s="10" t="s">
        <v>926</v>
      </c>
      <c r="C362" s="10" t="s">
        <v>378</v>
      </c>
      <c r="D362" s="10" t="s">
        <v>15</v>
      </c>
      <c r="E362" s="12" t="e">
        <f ca="1">_xludf.IFS(COUNTIF(보류목록!$B$3:$B$1000, B362)&gt;0, "-",COUNTIF(독서목록!$C$2:$C$1091, B362)=0, , COUNTIF(독서목록!$C$2:$C$1091, B362)&gt;0, COUNTIF(독서목록!$C$2:$C$1091, B362))</f>
        <v>#NAME?</v>
      </c>
      <c r="F362" s="12" t="e">
        <f ca="1">_xludf.IFS(COUNTIF(보류목록!$C$3:$C$1000, B362)&gt;0, "-",COUNTIF(독서목록!$D$2:$D$1091, B362)=0, , COUNTIF(독서목록!$D$2:$D$1091, B362)&gt;0, COUNTIF(독서목록!$D$2:$D$1091, B362))</f>
        <v>#NAME?</v>
      </c>
      <c r="G362" s="12" t="s">
        <v>878</v>
      </c>
      <c r="H362" s="14" t="s">
        <v>75</v>
      </c>
      <c r="I362" s="14" t="s">
        <v>75</v>
      </c>
    </row>
    <row r="363" spans="1:9" ht="16.5" customHeight="1">
      <c r="A363" s="9"/>
      <c r="B363" s="10" t="s">
        <v>927</v>
      </c>
      <c r="C363" s="10" t="s">
        <v>262</v>
      </c>
      <c r="D363" s="10" t="s">
        <v>757</v>
      </c>
      <c r="E363" s="12" t="e">
        <f ca="1">_xludf.IFS(COUNTIF(보류목록!$B$3:$B$1000, B363)&gt;0, "-",COUNTIF(독서목록!$C$2:$C$1091, B363)=0, , COUNTIF(독서목록!$C$2:$C$1091, B363)&gt;0, COUNTIF(독서목록!$C$2:$C$1091, B363))</f>
        <v>#NAME?</v>
      </c>
      <c r="F363" s="12" t="e">
        <f ca="1">_xludf.IFS(COUNTIF(보류목록!$C$3:$C$1000, B363)&gt;0, "-",COUNTIF(독서목록!$D$2:$D$1091, B363)=0, , COUNTIF(독서목록!$D$2:$D$1091, B363)&gt;0, COUNTIF(독서목록!$D$2:$D$1091, B363))</f>
        <v>#NAME?</v>
      </c>
      <c r="G363" s="12" t="s">
        <v>878</v>
      </c>
      <c r="H363" s="14" t="s">
        <v>75</v>
      </c>
      <c r="I363" s="14" t="s">
        <v>75</v>
      </c>
    </row>
    <row r="364" spans="1:9" ht="16.5" customHeight="1">
      <c r="A364" s="9"/>
      <c r="B364" s="10" t="s">
        <v>928</v>
      </c>
      <c r="C364" s="10" t="s">
        <v>929</v>
      </c>
      <c r="D364" s="10" t="s">
        <v>930</v>
      </c>
      <c r="E364" s="12" t="e">
        <f ca="1">_xludf.IFS(COUNTIF(보류목록!$B$3:$B$1000, B364)&gt;0, "-",COUNTIF(독서목록!$C$2:$C$1091, B364)=0, , COUNTIF(독서목록!$C$2:$C$1091, B364)&gt;0, COUNTIF(독서목록!$C$2:$C$1091, B364))</f>
        <v>#NAME?</v>
      </c>
      <c r="F364" s="12" t="e">
        <f ca="1">_xludf.IFS(COUNTIF(보류목록!$C$3:$C$1000, B364)&gt;0, "-",COUNTIF(독서목록!$D$2:$D$1091, B364)=0, , COUNTIF(독서목록!$D$2:$D$1091, B364)&gt;0, COUNTIF(독서목록!$D$2:$D$1091, B364))</f>
        <v>#NAME?</v>
      </c>
      <c r="G364" s="12" t="s">
        <v>878</v>
      </c>
      <c r="H364" s="14"/>
      <c r="I364" s="14"/>
    </row>
    <row r="365" spans="1:9" ht="16.5" customHeight="1">
      <c r="A365" s="9"/>
      <c r="B365" s="10" t="s">
        <v>931</v>
      </c>
      <c r="C365" s="10" t="s">
        <v>932</v>
      </c>
      <c r="D365" s="10" t="s">
        <v>306</v>
      </c>
      <c r="E365" s="12" t="e">
        <f ca="1">_xludf.IFS(COUNTIF(보류목록!$B$3:$B$1000, B365)&gt;0, "-",COUNTIF(독서목록!$C$2:$C$1091, B365)=0, , COUNTIF(독서목록!$C$2:$C$1091, B365)&gt;0, COUNTIF(독서목록!$C$2:$C$1091, B365))</f>
        <v>#NAME?</v>
      </c>
      <c r="F365" s="12" t="e">
        <f ca="1">_xludf.IFS(COUNTIF(보류목록!$C$3:$C$1000, B365)&gt;0, "-",COUNTIF(독서목록!$D$2:$D$1091, B365)=0, , COUNTIF(독서목록!$D$2:$D$1091, B365)&gt;0, COUNTIF(독서목록!$D$2:$D$1091, B365))</f>
        <v>#NAME?</v>
      </c>
      <c r="G365" s="12" t="s">
        <v>878</v>
      </c>
      <c r="H365" s="14" t="s">
        <v>75</v>
      </c>
      <c r="I365" s="14" t="s">
        <v>75</v>
      </c>
    </row>
    <row r="366" spans="1:9" ht="16.5" customHeight="1">
      <c r="A366" s="9"/>
      <c r="B366" s="10" t="s">
        <v>933</v>
      </c>
      <c r="C366" s="10" t="s">
        <v>934</v>
      </c>
      <c r="D366" s="10" t="s">
        <v>93</v>
      </c>
      <c r="E366" s="12" t="e">
        <f ca="1">_xludf.IFS(COUNTIF(보류목록!$B$3:$B$1000, B366)&gt;0, "-",COUNTIF(독서목록!$C$2:$C$1091, B366)=0, , COUNTIF(독서목록!$C$2:$C$1091, B366)&gt;0, COUNTIF(독서목록!$C$2:$C$1091, B366))</f>
        <v>#NAME?</v>
      </c>
      <c r="F366" s="12" t="e">
        <f ca="1">_xludf.IFS(COUNTIF(보류목록!$C$3:$C$1000, B366)&gt;0, "-",COUNTIF(독서목록!$D$2:$D$1091, B366)=0, , COUNTIF(독서목록!$D$2:$D$1091, B366)&gt;0, COUNTIF(독서목록!$D$2:$D$1091, B366))</f>
        <v>#NAME?</v>
      </c>
      <c r="G366" s="12" t="s">
        <v>878</v>
      </c>
      <c r="H366" s="14"/>
      <c r="I366" s="14"/>
    </row>
    <row r="367" spans="1:9" ht="16.5" customHeight="1">
      <c r="A367" s="9"/>
      <c r="B367" s="10" t="s">
        <v>935</v>
      </c>
      <c r="C367" s="10" t="s">
        <v>936</v>
      </c>
      <c r="D367" s="10" t="s">
        <v>937</v>
      </c>
      <c r="E367" s="12" t="e">
        <f ca="1">_xludf.IFS(COUNTIF(보류목록!$B$3:$B$1000, B367)&gt;0, "-",COUNTIF(독서목록!$C$2:$C$1091, B367)=0, , COUNTIF(독서목록!$C$2:$C$1091, B367)&gt;0, COUNTIF(독서목록!$C$2:$C$1091, B367))</f>
        <v>#NAME?</v>
      </c>
      <c r="F367" s="12" t="e">
        <f ca="1">_xludf.IFS(COUNTIF(보류목록!$C$3:$C$1000, B367)&gt;0, "-",COUNTIF(독서목록!$D$2:$D$1091, B367)=0, , COUNTIF(독서목록!$D$2:$D$1091, B367)&gt;0, COUNTIF(독서목록!$D$2:$D$1091, B367))</f>
        <v>#NAME?</v>
      </c>
      <c r="G367" s="12" t="s">
        <v>878</v>
      </c>
      <c r="H367" s="14"/>
      <c r="I367" s="14"/>
    </row>
    <row r="368" spans="1:9" ht="16.5" customHeight="1">
      <c r="A368" s="9"/>
      <c r="B368" s="10" t="s">
        <v>938</v>
      </c>
      <c r="C368" s="10" t="s">
        <v>939</v>
      </c>
      <c r="D368" s="10" t="s">
        <v>940</v>
      </c>
      <c r="E368" s="12" t="e">
        <f ca="1">_xludf.IFS(COUNTIF(보류목록!$B$3:$B$1000, B368)&gt;0, "-",COUNTIF(독서목록!$C$2:$C$1091, B368)=0, , COUNTIF(독서목록!$C$2:$C$1091, B368)&gt;0, COUNTIF(독서목록!$C$2:$C$1091, B368))</f>
        <v>#NAME?</v>
      </c>
      <c r="F368" s="12" t="e">
        <f ca="1">_xludf.IFS(COUNTIF(보류목록!$C$3:$C$1000, B368)&gt;0, "-",COUNTIF(독서목록!$D$2:$D$1091, B368)=0, , COUNTIF(독서목록!$D$2:$D$1091, B368)&gt;0, COUNTIF(독서목록!$D$2:$D$1091, B368))</f>
        <v>#NAME?</v>
      </c>
      <c r="G368" s="12" t="s">
        <v>878</v>
      </c>
      <c r="H368" s="14"/>
      <c r="I368" s="14"/>
    </row>
    <row r="369" spans="1:9" ht="16.5" customHeight="1">
      <c r="A369" s="9"/>
      <c r="B369" s="10" t="s">
        <v>941</v>
      </c>
      <c r="C369" s="10" t="s">
        <v>857</v>
      </c>
      <c r="D369" s="10" t="s">
        <v>858</v>
      </c>
      <c r="E369" s="12" t="e">
        <f ca="1">_xludf.IFS(COUNTIF(보류목록!$B$3:$B$1000, B369)&gt;0, "-",COUNTIF(독서목록!$C$2:$C$1091, B369)=0, , COUNTIF(독서목록!$C$2:$C$1091, B369)&gt;0, COUNTIF(독서목록!$C$2:$C$1091, B369))</f>
        <v>#NAME?</v>
      </c>
      <c r="F369" s="12" t="e">
        <f ca="1">_xludf.IFS(COUNTIF(보류목록!$C$3:$C$1000, B369)&gt;0, "-",COUNTIF(독서목록!$D$2:$D$1091, B369)=0, , COUNTIF(독서목록!$D$2:$D$1091, B369)&gt;0, COUNTIF(독서목록!$D$2:$D$1091, B369))</f>
        <v>#NAME?</v>
      </c>
      <c r="G369" s="12" t="s">
        <v>878</v>
      </c>
      <c r="H369" s="14"/>
      <c r="I369" s="14"/>
    </row>
    <row r="370" spans="1:9" ht="16.5" customHeight="1">
      <c r="A370" s="9"/>
      <c r="B370" s="10" t="s">
        <v>942</v>
      </c>
      <c r="C370" s="10" t="s">
        <v>943</v>
      </c>
      <c r="D370" s="10" t="s">
        <v>93</v>
      </c>
      <c r="E370" s="12" t="e">
        <f ca="1">_xludf.IFS(COUNTIF(보류목록!$B$3:$B$1000, B370)&gt;0, "-",COUNTIF(독서목록!$C$2:$C$1091, B370)=0, , COUNTIF(독서목록!$C$2:$C$1091, B370)&gt;0, COUNTIF(독서목록!$C$2:$C$1091, B370))</f>
        <v>#NAME?</v>
      </c>
      <c r="F370" s="12" t="e">
        <f ca="1">_xludf.IFS(COUNTIF(보류목록!$C$3:$C$1000, B370)&gt;0, "-",COUNTIF(독서목록!$D$2:$D$1091, B370)=0, , COUNTIF(독서목록!$D$2:$D$1091, B370)&gt;0, COUNTIF(독서목록!$D$2:$D$1091, B370))</f>
        <v>#NAME?</v>
      </c>
      <c r="G370" s="12" t="s">
        <v>878</v>
      </c>
      <c r="H370" s="14"/>
      <c r="I370" s="14"/>
    </row>
    <row r="371" spans="1:9" ht="16.5" customHeight="1">
      <c r="A371" s="9"/>
      <c r="B371" s="10" t="s">
        <v>944</v>
      </c>
      <c r="C371" s="10" t="s">
        <v>945</v>
      </c>
      <c r="D371" s="10" t="s">
        <v>93</v>
      </c>
      <c r="E371" s="12" t="e">
        <f ca="1">_xludf.IFS(COUNTIF(보류목록!$B$3:$B$1000, B371)&gt;0, "-",COUNTIF(독서목록!$C$2:$C$1091, B371)=0, , COUNTIF(독서목록!$C$2:$C$1091, B371)&gt;0, COUNTIF(독서목록!$C$2:$C$1091, B371))</f>
        <v>#NAME?</v>
      </c>
      <c r="F371" s="12" t="e">
        <f ca="1">_xludf.IFS(COUNTIF(보류목록!$C$3:$C$1000, B371)&gt;0, "-",COUNTIF(독서목록!$D$2:$D$1091, B371)=0, , COUNTIF(독서목록!$D$2:$D$1091, B371)&gt;0, COUNTIF(독서목록!$D$2:$D$1091, B371))</f>
        <v>#NAME?</v>
      </c>
      <c r="G371" s="12" t="s">
        <v>878</v>
      </c>
      <c r="H371" s="14"/>
      <c r="I371" s="14"/>
    </row>
    <row r="372" spans="1:9" ht="16.5" customHeight="1">
      <c r="A372" s="9"/>
      <c r="B372" s="10" t="s">
        <v>946</v>
      </c>
      <c r="C372" s="10" t="s">
        <v>945</v>
      </c>
      <c r="D372" s="10" t="s">
        <v>39</v>
      </c>
      <c r="E372" s="12" t="e">
        <f ca="1">_xludf.IFS(COUNTIF(보류목록!$B$3:$B$1000, B372)&gt;0, "-",COUNTIF(독서목록!$C$2:$C$1091, B372)=0, , COUNTIF(독서목록!$C$2:$C$1091, B372)&gt;0, COUNTIF(독서목록!$C$2:$C$1091, B372))</f>
        <v>#NAME?</v>
      </c>
      <c r="F372" s="12" t="e">
        <f ca="1">_xludf.IFS(COUNTIF(보류목록!$C$3:$C$1000, B372)&gt;0, "-",COUNTIF(독서목록!$D$2:$D$1091, B372)=0, , COUNTIF(독서목록!$D$2:$D$1091, B372)&gt;0, COUNTIF(독서목록!$D$2:$D$1091, B372))</f>
        <v>#NAME?</v>
      </c>
      <c r="G372" s="12" t="s">
        <v>878</v>
      </c>
      <c r="H372" s="14"/>
      <c r="I372" s="14"/>
    </row>
    <row r="373" spans="1:9" ht="16.5" customHeight="1">
      <c r="A373" s="9"/>
      <c r="B373" s="10" t="s">
        <v>947</v>
      </c>
      <c r="C373" s="10" t="s">
        <v>142</v>
      </c>
      <c r="D373" s="10" t="s">
        <v>7</v>
      </c>
      <c r="E373" s="12" t="e">
        <f ca="1">_xludf.IFS(COUNTIF(보류목록!$B$3:$B$1000, B373)&gt;0, "-",COUNTIF(독서목록!$C$2:$C$1091, B373)=0, , COUNTIF(독서목록!$C$2:$C$1091, B373)&gt;0, COUNTIF(독서목록!$C$2:$C$1091, B373))</f>
        <v>#NAME?</v>
      </c>
      <c r="F373" s="12" t="e">
        <f ca="1">_xludf.IFS(COUNTIF(보류목록!$C$3:$C$1000, B373)&gt;0, "-",COUNTIF(독서목록!$D$2:$D$1091, B373)=0, , COUNTIF(독서목록!$D$2:$D$1091, B373)&gt;0, COUNTIF(독서목록!$D$2:$D$1091, B373))</f>
        <v>#NAME?</v>
      </c>
      <c r="G373" s="12" t="s">
        <v>878</v>
      </c>
      <c r="H373" s="14"/>
      <c r="I373" s="14"/>
    </row>
    <row r="374" spans="1:9" ht="16.5" customHeight="1">
      <c r="A374" s="9"/>
      <c r="B374" s="10" t="s">
        <v>948</v>
      </c>
      <c r="C374" s="10" t="s">
        <v>782</v>
      </c>
      <c r="D374" s="10" t="s">
        <v>471</v>
      </c>
      <c r="E374" s="12" t="e">
        <f ca="1">_xludf.IFS(COUNTIF(보류목록!$B$3:$B$1000, B374)&gt;0, "-",COUNTIF(독서목록!$C$2:$C$1091, B374)=0, , COUNTIF(독서목록!$C$2:$C$1091, B374)&gt;0, COUNTIF(독서목록!$C$2:$C$1091, B374))</f>
        <v>#NAME?</v>
      </c>
      <c r="F374" s="12" t="e">
        <f ca="1">_xludf.IFS(COUNTIF(보류목록!$C$3:$C$1000, B374)&gt;0, "-",COUNTIF(독서목록!$D$2:$D$1091, B374)=0, , COUNTIF(독서목록!$D$2:$D$1091, B374)&gt;0, COUNTIF(독서목록!$D$2:$D$1091, B374))</f>
        <v>#NAME?</v>
      </c>
      <c r="G374" s="12" t="s">
        <v>878</v>
      </c>
      <c r="H374" s="14" t="s">
        <v>75</v>
      </c>
      <c r="I374" s="14" t="s">
        <v>75</v>
      </c>
    </row>
    <row r="375" spans="1:9" ht="16.5" customHeight="1">
      <c r="A375" s="9"/>
      <c r="B375" s="10" t="s">
        <v>949</v>
      </c>
      <c r="C375" s="10" t="s">
        <v>950</v>
      </c>
      <c r="D375" s="10" t="s">
        <v>471</v>
      </c>
      <c r="E375" s="12" t="e">
        <f ca="1">_xludf.IFS(COUNTIF(보류목록!$B$3:$B$1000, B375)&gt;0, "-",COUNTIF(독서목록!$C$2:$C$1091, B375)=0, , COUNTIF(독서목록!$C$2:$C$1091, B375)&gt;0, COUNTIF(독서목록!$C$2:$C$1091, B375))</f>
        <v>#NAME?</v>
      </c>
      <c r="F375" s="12" t="e">
        <f ca="1">_xludf.IFS(COUNTIF(보류목록!$C$3:$C$1000, B375)&gt;0, "-",COUNTIF(독서목록!$D$2:$D$1091, B375)=0, , COUNTIF(독서목록!$D$2:$D$1091, B375)&gt;0, COUNTIF(독서목록!$D$2:$D$1091, B375))</f>
        <v>#NAME?</v>
      </c>
      <c r="G375" s="12" t="s">
        <v>878</v>
      </c>
      <c r="H375" s="14" t="s">
        <v>75</v>
      </c>
      <c r="I375" s="14" t="s">
        <v>75</v>
      </c>
    </row>
    <row r="376" spans="1:9" ht="16.5" customHeight="1">
      <c r="A376" s="9"/>
      <c r="B376" s="10" t="s">
        <v>951</v>
      </c>
      <c r="C376" s="10" t="s">
        <v>952</v>
      </c>
      <c r="D376" s="10" t="s">
        <v>471</v>
      </c>
      <c r="E376" s="12" t="e">
        <f ca="1">_xludf.IFS(COUNTIF(보류목록!$B$3:$B$1000, B376)&gt;0, "-",COUNTIF(독서목록!$C$2:$C$1091, B376)=0, , COUNTIF(독서목록!$C$2:$C$1091, B376)&gt;0, COUNTIF(독서목록!$C$2:$C$1091, B376))</f>
        <v>#NAME?</v>
      </c>
      <c r="F376" s="12" t="e">
        <f ca="1">_xludf.IFS(COUNTIF(보류목록!$C$3:$C$1000, B376)&gt;0, "-",COUNTIF(독서목록!$D$2:$D$1091, B376)=0, , COUNTIF(독서목록!$D$2:$D$1091, B376)&gt;0, COUNTIF(독서목록!$D$2:$D$1091, B376))</f>
        <v>#NAME?</v>
      </c>
      <c r="G376" s="12" t="s">
        <v>878</v>
      </c>
      <c r="H376" s="14"/>
      <c r="I376" s="14"/>
    </row>
    <row r="377" spans="1:9" ht="16.5" customHeight="1">
      <c r="A377" s="9"/>
      <c r="B377" s="10" t="s">
        <v>953</v>
      </c>
      <c r="C377" s="10" t="s">
        <v>715</v>
      </c>
      <c r="D377" s="10" t="s">
        <v>471</v>
      </c>
      <c r="E377" s="12" t="e">
        <f ca="1">_xludf.IFS(COUNTIF(보류목록!$B$3:$B$1000, B377)&gt;0, "-",COUNTIF(독서목록!$C$2:$C$1091, B377)=0, , COUNTIF(독서목록!$C$2:$C$1091, B377)&gt;0, COUNTIF(독서목록!$C$2:$C$1091, B377))</f>
        <v>#NAME?</v>
      </c>
      <c r="F377" s="12" t="e">
        <f ca="1">_xludf.IFS(COUNTIF(보류목록!$C$3:$C$1000, B377)&gt;0, "-",COUNTIF(독서목록!$D$2:$D$1091, B377)=0, , COUNTIF(독서목록!$D$2:$D$1091, B377)&gt;0, COUNTIF(독서목록!$D$2:$D$1091, B377))</f>
        <v>#NAME?</v>
      </c>
      <c r="G377" s="12" t="s">
        <v>878</v>
      </c>
      <c r="H377" s="14"/>
      <c r="I377" s="14"/>
    </row>
    <row r="378" spans="1:9" ht="16.5" customHeight="1">
      <c r="A378" s="9"/>
      <c r="B378" s="10" t="s">
        <v>954</v>
      </c>
      <c r="C378" s="10" t="s">
        <v>761</v>
      </c>
      <c r="D378" s="10" t="s">
        <v>471</v>
      </c>
      <c r="E378" s="12" t="e">
        <f ca="1">_xludf.IFS(COUNTIF(보류목록!$B$3:$B$1000, B378)&gt;0, "-",COUNTIF(독서목록!$C$2:$C$1091, B378)=0, , COUNTIF(독서목록!$C$2:$C$1091, B378)&gt;0, COUNTIF(독서목록!$C$2:$C$1091, B378))</f>
        <v>#NAME?</v>
      </c>
      <c r="F378" s="12" t="e">
        <f ca="1">_xludf.IFS(COUNTIF(보류목록!$C$3:$C$1000, B378)&gt;0, "-",COUNTIF(독서목록!$D$2:$D$1091, B378)=0, , COUNTIF(독서목록!$D$2:$D$1091, B378)&gt;0, COUNTIF(독서목록!$D$2:$D$1091, B378))</f>
        <v>#NAME?</v>
      </c>
      <c r="G378" s="12" t="s">
        <v>878</v>
      </c>
      <c r="H378" s="14"/>
      <c r="I378" s="14"/>
    </row>
    <row r="379" spans="1:9" ht="16.5" customHeight="1">
      <c r="A379" s="9"/>
      <c r="B379" s="10" t="s">
        <v>955</v>
      </c>
      <c r="C379" s="10" t="s">
        <v>761</v>
      </c>
      <c r="D379" s="10" t="s">
        <v>471</v>
      </c>
      <c r="E379" s="12" t="e">
        <f ca="1">_xludf.IFS(COUNTIF(보류목록!$B$3:$B$1000, B379)&gt;0, "-",COUNTIF(독서목록!$C$2:$C$1091, B379)=0, , COUNTIF(독서목록!$C$2:$C$1091, B379)&gt;0, COUNTIF(독서목록!$C$2:$C$1091, B379))</f>
        <v>#NAME?</v>
      </c>
      <c r="F379" s="12" t="e">
        <f ca="1">_xludf.IFS(COUNTIF(보류목록!$C$3:$C$1000, B379)&gt;0, "-",COUNTIF(독서목록!$D$2:$D$1091, B379)=0, , COUNTIF(독서목록!$D$2:$D$1091, B379)&gt;0, COUNTIF(독서목록!$D$2:$D$1091, B379))</f>
        <v>#NAME?</v>
      </c>
      <c r="G379" s="12" t="s">
        <v>878</v>
      </c>
      <c r="H379" s="14"/>
      <c r="I379" s="14"/>
    </row>
    <row r="380" spans="1:9" ht="16.5" customHeight="1">
      <c r="A380" s="9"/>
      <c r="B380" s="10" t="s">
        <v>956</v>
      </c>
      <c r="C380" s="10" t="s">
        <v>761</v>
      </c>
      <c r="D380" s="10" t="s">
        <v>471</v>
      </c>
      <c r="E380" s="12" t="e">
        <f ca="1">_xludf.IFS(COUNTIF(보류목록!$B$3:$B$1000, B380)&gt;0, "-",COUNTIF(독서목록!$C$2:$C$1091, B380)=0, , COUNTIF(독서목록!$C$2:$C$1091, B380)&gt;0, COUNTIF(독서목록!$C$2:$C$1091, B380))</f>
        <v>#NAME?</v>
      </c>
      <c r="F380" s="12" t="e">
        <f ca="1">_xludf.IFS(COUNTIF(보류목록!$C$3:$C$1000, B380)&gt;0, "-",COUNTIF(독서목록!$D$2:$D$1091, B380)=0, , COUNTIF(독서목록!$D$2:$D$1091, B380)&gt;0, COUNTIF(독서목록!$D$2:$D$1091, B380))</f>
        <v>#NAME?</v>
      </c>
      <c r="G380" s="12" t="s">
        <v>878</v>
      </c>
      <c r="H380" s="14" t="s">
        <v>75</v>
      </c>
      <c r="I380" s="14" t="s">
        <v>75</v>
      </c>
    </row>
    <row r="381" spans="1:9" ht="16.5" customHeight="1">
      <c r="A381" s="9"/>
      <c r="B381" s="10" t="s">
        <v>957</v>
      </c>
      <c r="C381" s="10" t="s">
        <v>761</v>
      </c>
      <c r="D381" s="10" t="s">
        <v>471</v>
      </c>
      <c r="E381" s="12" t="e">
        <f ca="1">_xludf.IFS(COUNTIF(보류목록!$B$3:$B$1000, B381)&gt;0, "-",COUNTIF(독서목록!$C$2:$C$1091, B381)=0, , COUNTIF(독서목록!$C$2:$C$1091, B381)&gt;0, COUNTIF(독서목록!$C$2:$C$1091, B381))</f>
        <v>#NAME?</v>
      </c>
      <c r="F381" s="12" t="e">
        <f ca="1">_xludf.IFS(COUNTIF(보류목록!$C$3:$C$1000, B381)&gt;0, "-",COUNTIF(독서목록!$D$2:$D$1091, B381)=0, , COUNTIF(독서목록!$D$2:$D$1091, B381)&gt;0, COUNTIF(독서목록!$D$2:$D$1091, B381))</f>
        <v>#NAME?</v>
      </c>
      <c r="G381" s="12" t="s">
        <v>878</v>
      </c>
      <c r="H381" s="14" t="s">
        <v>75</v>
      </c>
      <c r="I381" s="14" t="s">
        <v>75</v>
      </c>
    </row>
    <row r="382" spans="1:9" ht="16.5" customHeight="1">
      <c r="A382" s="9"/>
      <c r="B382" s="10" t="s">
        <v>958</v>
      </c>
      <c r="C382" s="10" t="s">
        <v>761</v>
      </c>
      <c r="D382" s="10" t="s">
        <v>471</v>
      </c>
      <c r="E382" s="12" t="e">
        <f ca="1">_xludf.IFS(COUNTIF(보류목록!$B$3:$B$1000, B382)&gt;0, "-",COUNTIF(독서목록!$C$2:$C$1091, B382)=0, , COUNTIF(독서목록!$C$2:$C$1091, B382)&gt;0, COUNTIF(독서목록!$C$2:$C$1091, B382))</f>
        <v>#NAME?</v>
      </c>
      <c r="F382" s="12" t="e">
        <f ca="1">_xludf.IFS(COUNTIF(보류목록!$C$3:$C$1000, B382)&gt;0, "-",COUNTIF(독서목록!$D$2:$D$1091, B382)=0, , COUNTIF(독서목록!$D$2:$D$1091, B382)&gt;0, COUNTIF(독서목록!$D$2:$D$1091, B382))</f>
        <v>#NAME?</v>
      </c>
      <c r="G382" s="12" t="s">
        <v>878</v>
      </c>
      <c r="H382" s="14" t="s">
        <v>75</v>
      </c>
      <c r="I382" s="14" t="s">
        <v>75</v>
      </c>
    </row>
    <row r="383" spans="1:9" ht="12.75">
      <c r="A383" s="9"/>
      <c r="B383" s="10" t="s">
        <v>959</v>
      </c>
      <c r="C383" s="10" t="s">
        <v>960</v>
      </c>
      <c r="D383" s="10" t="s">
        <v>961</v>
      </c>
      <c r="E383" s="12" t="e">
        <f ca="1">_xludf.IFS(COUNTIF(보류목록!$B$3:$B$1000, B383)&gt;0, "-",COUNTIF(독서목록!$C$2:$C$1091, B383)=0, , COUNTIF(독서목록!$C$2:$C$1091, B383)&gt;0, COUNTIF(독서목록!$C$2:$C$1091, B383))</f>
        <v>#NAME?</v>
      </c>
      <c r="F383" s="12" t="e">
        <f ca="1">_xludf.IFS(COUNTIF(보류목록!$C$3:$C$1000, B383)&gt;0, "-",COUNTIF(독서목록!$D$2:$D$1091, B383)=0, , COUNTIF(독서목록!$D$2:$D$1091, B383)&gt;0, COUNTIF(독서목록!$D$2:$D$1091, B383))</f>
        <v>#NAME?</v>
      </c>
      <c r="G383" s="12" t="s">
        <v>754</v>
      </c>
      <c r="H383" s="13" t="s">
        <v>75</v>
      </c>
      <c r="I383" s="13" t="s">
        <v>75</v>
      </c>
    </row>
    <row r="384" spans="1:9" ht="12.75">
      <c r="A384" s="9"/>
      <c r="B384" s="10" t="s">
        <v>962</v>
      </c>
      <c r="C384" s="10" t="s">
        <v>963</v>
      </c>
      <c r="D384" s="10" t="s">
        <v>256</v>
      </c>
      <c r="E384" s="12" t="e">
        <f ca="1">_xludf.IFS(COUNTIF(보류목록!$B$3:$B$1000, B384)&gt;0, "-",COUNTIF(독서목록!$C$2:$C$1091, B384)=0, , COUNTIF(독서목록!$C$2:$C$1091, B384)&gt;0, COUNTIF(독서목록!$C$2:$C$1091, B384))</f>
        <v>#NAME?</v>
      </c>
      <c r="F384" s="12" t="e">
        <f ca="1">_xludf.IFS(COUNTIF(보류목록!$C$3:$C$1000, B384)&gt;0, "-",COUNTIF(독서목록!$D$2:$D$1091, B384)=0, , COUNTIF(독서목록!$D$2:$D$1091, B384)&gt;0, COUNTIF(독서목록!$D$2:$D$1091, B384))</f>
        <v>#NAME?</v>
      </c>
      <c r="G384" s="12" t="s">
        <v>866</v>
      </c>
      <c r="H384" s="13" t="s">
        <v>75</v>
      </c>
      <c r="I384" s="13" t="s">
        <v>75</v>
      </c>
    </row>
    <row r="385" spans="1:9" ht="12.75">
      <c r="A385" s="9"/>
      <c r="B385" s="10" t="s">
        <v>964</v>
      </c>
      <c r="C385" s="10" t="s">
        <v>965</v>
      </c>
      <c r="D385" s="10" t="s">
        <v>966</v>
      </c>
      <c r="E385" s="12" t="e">
        <f ca="1">_xludf.IFS(COUNTIF(보류목록!$B$3:$B$1000, B385)&gt;0, "-",COUNTIF(독서목록!$C$2:$C$1091, B385)=0, , COUNTIF(독서목록!$C$2:$C$1091, B385)&gt;0, COUNTIF(독서목록!$C$2:$C$1091, B385))</f>
        <v>#NAME?</v>
      </c>
      <c r="F385" s="12" t="e">
        <f ca="1">_xludf.IFS(COUNTIF(보류목록!$C$3:$C$1000, B385)&gt;0, "-",COUNTIF(독서목록!$D$2:$D$1091, B385)=0, , COUNTIF(독서목록!$D$2:$D$1091, B385)&gt;0, COUNTIF(독서목록!$D$2:$D$1091, B385))</f>
        <v>#NAME?</v>
      </c>
      <c r="G385" s="12" t="s">
        <v>730</v>
      </c>
      <c r="H385" s="13" t="s">
        <v>75</v>
      </c>
      <c r="I385" s="13" t="s">
        <v>75</v>
      </c>
    </row>
    <row r="386" spans="1:9" ht="12.75">
      <c r="A386" s="9"/>
      <c r="B386" s="10" t="s">
        <v>967</v>
      </c>
      <c r="C386" s="11" t="s">
        <v>467</v>
      </c>
      <c r="D386" s="11" t="s">
        <v>118</v>
      </c>
      <c r="E386" s="12" t="e">
        <f ca="1">_xludf.IFS(COUNTIF(보류목록!$B$3:$B$1000, B386)&gt;0, "-",COUNTIF(독서목록!$C$2:$C$1091, B386)=0, , COUNTIF(독서목록!$C$2:$C$1091, B386)&gt;0, COUNTIF(독서목록!$C$2:$C$1091, B386))</f>
        <v>#NAME?</v>
      </c>
      <c r="F386" s="12" t="e">
        <f ca="1">_xludf.IFS(COUNTIF(보류목록!$C$3:$C$1000, B386)&gt;0, "-",COUNTIF(독서목록!$D$2:$D$1091, B386)=0, , COUNTIF(독서목록!$D$2:$D$1091, B386)&gt;0, COUNTIF(독서목록!$D$2:$D$1091, B386))</f>
        <v>#NAME?</v>
      </c>
      <c r="G386" s="13" t="s">
        <v>625</v>
      </c>
      <c r="H386" s="13" t="s">
        <v>75</v>
      </c>
      <c r="I386" s="13" t="s">
        <v>75</v>
      </c>
    </row>
    <row r="387" spans="1:9" ht="12.75">
      <c r="A387" s="9"/>
      <c r="B387" s="10" t="s">
        <v>968</v>
      </c>
      <c r="C387" s="11" t="s">
        <v>969</v>
      </c>
      <c r="D387" s="11" t="s">
        <v>970</v>
      </c>
      <c r="E387" s="12" t="e">
        <f ca="1">_xludf.IFS(COUNTIF(보류목록!$B$3:$B$1000, B387)&gt;0, "-",COUNTIF(독서목록!$C$2:$C$1091, B387)=0, , COUNTIF(독서목록!$C$2:$C$1091, B387)&gt;0, COUNTIF(독서목록!$C$2:$C$1091, B387))</f>
        <v>#NAME?</v>
      </c>
      <c r="F387" s="12" t="e">
        <f ca="1">_xludf.IFS(COUNTIF(보류목록!$C$3:$C$1000, B387)&gt;0, "-",COUNTIF(독서목록!$D$2:$D$1091, B387)=0, , COUNTIF(독서목록!$D$2:$D$1091, B387)&gt;0, COUNTIF(독서목록!$D$2:$D$1091, B387))</f>
        <v>#NAME?</v>
      </c>
      <c r="G387" s="13" t="s">
        <v>495</v>
      </c>
      <c r="H387" s="13" t="s">
        <v>971</v>
      </c>
      <c r="I387" s="13" t="s">
        <v>971</v>
      </c>
    </row>
    <row r="388" spans="1:9" ht="12.75">
      <c r="A388" s="9"/>
      <c r="B388" s="10" t="s">
        <v>972</v>
      </c>
      <c r="C388" s="11" t="s">
        <v>973</v>
      </c>
      <c r="D388" s="11" t="s">
        <v>471</v>
      </c>
      <c r="E388" s="12" t="e">
        <f ca="1">_xludf.IFS(COUNTIF(보류목록!$B$3:$B$1000, B388)&gt;0, "-",COUNTIF(독서목록!$C$2:$C$1091, B388)=0, , COUNTIF(독서목록!$C$2:$C$1091, B388)&gt;0, COUNTIF(독서목록!$C$2:$C$1091, B388))</f>
        <v>#NAME?</v>
      </c>
      <c r="F388" s="12" t="e">
        <f ca="1">_xludf.IFS(COUNTIF(보류목록!$C$3:$C$1000, B388)&gt;0, "-",COUNTIF(독서목록!$D$2:$D$1091, B388)=0, , COUNTIF(독서목록!$D$2:$D$1091, B388)&gt;0, COUNTIF(독서목록!$D$2:$D$1091, B388))</f>
        <v>#NAME?</v>
      </c>
      <c r="G388" s="13" t="s">
        <v>499</v>
      </c>
      <c r="H388" s="13" t="s">
        <v>971</v>
      </c>
      <c r="I388" s="13" t="s">
        <v>971</v>
      </c>
    </row>
    <row r="389" spans="1:9" ht="12.75">
      <c r="A389" s="9"/>
      <c r="B389" s="10" t="s">
        <v>974</v>
      </c>
      <c r="C389" s="11" t="s">
        <v>975</v>
      </c>
      <c r="D389" s="11" t="s">
        <v>976</v>
      </c>
      <c r="E389" s="12" t="e">
        <f ca="1">_xludf.IFS(COUNTIF(보류목록!$B$3:$B$1000, B389)&gt;0, "-",COUNTIF(독서목록!$C$2:$C$1091, B389)=0, , COUNTIF(독서목록!$C$2:$C$1091, B389)&gt;0, COUNTIF(독서목록!$C$2:$C$1091, B389))</f>
        <v>#NAME?</v>
      </c>
      <c r="F389" s="12" t="e">
        <f ca="1">_xludf.IFS(COUNTIF(보류목록!$C$3:$C$1000, B389)&gt;0, "-",COUNTIF(독서목록!$D$2:$D$1091, B389)=0, , COUNTIF(독서목록!$D$2:$D$1091, B389)&gt;0, COUNTIF(독서목록!$D$2:$D$1091, B389))</f>
        <v>#NAME?</v>
      </c>
      <c r="G389" s="13" t="s">
        <v>551</v>
      </c>
      <c r="H389" s="13" t="s">
        <v>971</v>
      </c>
      <c r="I389" s="13" t="s">
        <v>971</v>
      </c>
    </row>
    <row r="390" spans="1:9" ht="12.75">
      <c r="A390" s="9"/>
      <c r="B390" s="10" t="s">
        <v>977</v>
      </c>
      <c r="C390" s="11" t="s">
        <v>978</v>
      </c>
      <c r="D390" s="11" t="s">
        <v>471</v>
      </c>
      <c r="E390" s="12" t="e">
        <f ca="1">_xludf.IFS(COUNTIF(보류목록!$B$3:$B$1000, B390)&gt;0, "-",COUNTIF(독서목록!$C$2:$C$1091, B390)=0, , COUNTIF(독서목록!$C$2:$C$1091, B390)&gt;0, COUNTIF(독서목록!$C$2:$C$1091, B390))</f>
        <v>#NAME?</v>
      </c>
      <c r="F390" s="12" t="e">
        <f ca="1">_xludf.IFS(COUNTIF(보류목록!$C$3:$C$1000, B390)&gt;0, "-",COUNTIF(독서목록!$D$2:$D$1091, B390)=0, , COUNTIF(독서목록!$D$2:$D$1091, B390)&gt;0, COUNTIF(독서목록!$D$2:$D$1091, B390))</f>
        <v>#NAME?</v>
      </c>
      <c r="G390" s="13" t="s">
        <v>554</v>
      </c>
      <c r="H390" s="13" t="s">
        <v>75</v>
      </c>
      <c r="I390" s="13" t="s">
        <v>75</v>
      </c>
    </row>
    <row r="391" spans="1:9" ht="12.75">
      <c r="A391" s="9"/>
      <c r="B391" s="10" t="s">
        <v>979</v>
      </c>
      <c r="C391" s="11" t="s">
        <v>980</v>
      </c>
      <c r="D391" s="11" t="s">
        <v>981</v>
      </c>
      <c r="E391" s="12" t="e">
        <f ca="1">_xludf.IFS(COUNTIF(보류목록!$B$3:$B$1000, B391)&gt;0, "-",COUNTIF(독서목록!$C$2:$C$1091, B391)=0, , COUNTIF(독서목록!$C$2:$C$1091, B391)&gt;0, COUNTIF(독서목록!$C$2:$C$1091, B391))</f>
        <v>#NAME?</v>
      </c>
      <c r="F391" s="12" t="e">
        <f ca="1">_xludf.IFS(COUNTIF(보류목록!$C$3:$C$1000, B391)&gt;0, "-",COUNTIF(독서목록!$D$2:$D$1091, B391)=0, , COUNTIF(독서목록!$D$2:$D$1091, B391)&gt;0, COUNTIF(독서목록!$D$2:$D$1091, B391))</f>
        <v>#NAME?</v>
      </c>
      <c r="G391" s="13" t="s">
        <v>982</v>
      </c>
      <c r="H391" s="13" t="s">
        <v>971</v>
      </c>
      <c r="I391" s="13" t="s">
        <v>971</v>
      </c>
    </row>
    <row r="392" spans="1:9" ht="12.75">
      <c r="A392" s="9"/>
      <c r="B392" s="10" t="s">
        <v>983</v>
      </c>
      <c r="C392" s="11" t="s">
        <v>984</v>
      </c>
      <c r="D392" s="11" t="s">
        <v>981</v>
      </c>
      <c r="E392" s="12" t="e">
        <f ca="1">_xludf.IFS(COUNTIF(보류목록!$B$3:$B$1000, B392)&gt;0, "-",COUNTIF(독서목록!$C$2:$C$1091, B392)=0, , COUNTIF(독서목록!$C$2:$C$1091, B392)&gt;0, COUNTIF(독서목록!$C$2:$C$1091, B392))</f>
        <v>#NAME?</v>
      </c>
      <c r="F392" s="12" t="e">
        <f ca="1">_xludf.IFS(COUNTIF(보류목록!$C$3:$C$1000, B392)&gt;0, "-",COUNTIF(독서목록!$D$2:$D$1091, B392)=0, , COUNTIF(독서목록!$D$2:$D$1091, B392)&gt;0, COUNTIF(독서목록!$D$2:$D$1091, B392))</f>
        <v>#NAME?</v>
      </c>
      <c r="G392" s="13" t="s">
        <v>985</v>
      </c>
      <c r="H392" s="13" t="s">
        <v>971</v>
      </c>
      <c r="I392" s="13" t="s">
        <v>971</v>
      </c>
    </row>
    <row r="393" spans="1:9" ht="12.75">
      <c r="A393" s="9"/>
      <c r="B393" s="10" t="s">
        <v>986</v>
      </c>
      <c r="C393" s="11" t="s">
        <v>984</v>
      </c>
      <c r="D393" s="11" t="s">
        <v>981</v>
      </c>
      <c r="E393" s="12" t="e">
        <f ca="1">_xludf.IFS(COUNTIF(보류목록!$B$3:$B$1000, B393)&gt;0, "-",COUNTIF(독서목록!$C$2:$C$1091, B393)=0, , COUNTIF(독서목록!$C$2:$C$1091, B393)&gt;0, COUNTIF(독서목록!$C$2:$C$1091, B393))</f>
        <v>#NAME?</v>
      </c>
      <c r="F393" s="12" t="e">
        <f ca="1">_xludf.IFS(COUNTIF(보류목록!$C$3:$C$1000, B393)&gt;0, "-",COUNTIF(독서목록!$D$2:$D$1091, B393)=0, , COUNTIF(독서목록!$D$2:$D$1091, B393)&gt;0, COUNTIF(독서목록!$D$2:$D$1091, B393))</f>
        <v>#NAME?</v>
      </c>
      <c r="G393" s="13" t="s">
        <v>562</v>
      </c>
      <c r="H393" s="13" t="s">
        <v>971</v>
      </c>
      <c r="I393" s="13" t="s">
        <v>971</v>
      </c>
    </row>
    <row r="394" spans="1:9" ht="12.75">
      <c r="A394" s="9"/>
      <c r="B394" s="10" t="s">
        <v>987</v>
      </c>
      <c r="C394" s="10" t="s">
        <v>988</v>
      </c>
      <c r="D394" s="11" t="s">
        <v>211</v>
      </c>
      <c r="E394" s="12" t="e">
        <f ca="1">_xludf.IFS(COUNTIF(보류목록!$B$3:$B$1000, B394)&gt;0, "-",COUNTIF(독서목록!$C$2:$C$1091, B394)=0, , COUNTIF(독서목록!$C$2:$C$1091, B394)&gt;0, COUNTIF(독서목록!$C$2:$C$1091, B394))</f>
        <v>#NAME?</v>
      </c>
      <c r="F394" s="12" t="e">
        <f ca="1">_xludf.IFS(COUNTIF(보류목록!$C$3:$C$1000, B394)&gt;0, "-",COUNTIF(독서목록!$D$2:$D$1091, B394)=0, , COUNTIF(독서목록!$D$2:$D$1091, B394)&gt;0, COUNTIF(독서목록!$D$2:$D$1091, B394))</f>
        <v>#NAME?</v>
      </c>
      <c r="G394" s="13" t="s">
        <v>683</v>
      </c>
      <c r="H394" s="13" t="s">
        <v>971</v>
      </c>
      <c r="I394" s="13" t="s">
        <v>971</v>
      </c>
    </row>
    <row r="395" spans="1:9" ht="12.75">
      <c r="A395" s="9"/>
      <c r="B395" s="10" t="s">
        <v>989</v>
      </c>
      <c r="C395" s="10" t="s">
        <v>990</v>
      </c>
      <c r="D395" s="10" t="s">
        <v>118</v>
      </c>
      <c r="E395" s="12" t="e">
        <f ca="1">_xludf.IFS(COUNTIF(보류목록!$B$3:$B$1000, B395)&gt;0, "-",COUNTIF(독서목록!$C$2:$C$1091, B395)=0, , COUNTIF(독서목록!$C$2:$C$1091, B395)&gt;0, COUNTIF(독서목록!$C$2:$C$1091, B395))</f>
        <v>#NAME?</v>
      </c>
      <c r="F395" s="12" t="e">
        <f ca="1">_xludf.IFS(COUNTIF(보류목록!$C$3:$C$1000, B395)&gt;0, "-",COUNTIF(독서목록!$D$2:$D$1091, B395)=0, , COUNTIF(독서목록!$D$2:$D$1091, B395)&gt;0, COUNTIF(독서목록!$D$2:$D$1091, B395))</f>
        <v>#NAME?</v>
      </c>
      <c r="G395" s="12" t="s">
        <v>767</v>
      </c>
      <c r="H395" s="13" t="s">
        <v>971</v>
      </c>
      <c r="I395" s="13" t="s">
        <v>971</v>
      </c>
    </row>
    <row r="396" spans="1:9" ht="12.75">
      <c r="A396" s="9"/>
      <c r="B396" s="10" t="s">
        <v>991</v>
      </c>
      <c r="C396" s="10" t="s">
        <v>992</v>
      </c>
      <c r="D396" s="10" t="s">
        <v>993</v>
      </c>
      <c r="E396" s="12" t="e">
        <f ca="1">_xludf.IFS(COUNTIF(보류목록!$B$3:$B$1000, B396)&gt;0, "-",COUNTIF(독서목록!$C$2:$C$1091, B396)=0, , COUNTIF(독서목록!$C$2:$C$1091, B396)&gt;0, COUNTIF(독서목록!$C$2:$C$1091, B396))</f>
        <v>#NAME?</v>
      </c>
      <c r="F396" s="12" t="e">
        <f ca="1">_xludf.IFS(COUNTIF(보류목록!$C$3:$C$1000, B396)&gt;0, "-",COUNTIF(독서목록!$D$2:$D$1091, B396)=0, , COUNTIF(독서목록!$D$2:$D$1091, B396)&gt;0, COUNTIF(독서목록!$D$2:$D$1091, B396))</f>
        <v>#NAME?</v>
      </c>
      <c r="G396" s="12" t="s">
        <v>786</v>
      </c>
      <c r="H396" s="13" t="s">
        <v>971</v>
      </c>
      <c r="I396" s="13" t="s">
        <v>971</v>
      </c>
    </row>
    <row r="397" spans="1:9" ht="12.75">
      <c r="A397" s="9"/>
      <c r="B397" s="10" t="s">
        <v>994</v>
      </c>
      <c r="C397" s="10" t="s">
        <v>995</v>
      </c>
      <c r="D397" s="10" t="s">
        <v>996</v>
      </c>
      <c r="E397" s="12" t="e">
        <f ca="1">_xludf.IFS(COUNTIF(보류목록!$B$3:$B$1000, B397)&gt;0, "-",COUNTIF(독서목록!$C$2:$C$1091, B397)=0, , COUNTIF(독서목록!$C$2:$C$1091, B397)&gt;0, COUNTIF(독서목록!$C$2:$C$1091, B397))</f>
        <v>#NAME?</v>
      </c>
      <c r="F397" s="12" t="e">
        <f ca="1">_xludf.IFS(COUNTIF(보류목록!$C$3:$C$1000, B397)&gt;0, "-",COUNTIF(독서목록!$D$2:$D$1091, B397)=0, , COUNTIF(독서목록!$D$2:$D$1091, B397)&gt;0, COUNTIF(독서목록!$D$2:$D$1091, B397))</f>
        <v>#NAME?</v>
      </c>
      <c r="G397" s="12" t="s">
        <v>855</v>
      </c>
      <c r="H397" s="13" t="s">
        <v>971</v>
      </c>
      <c r="I397" s="13" t="s">
        <v>971</v>
      </c>
    </row>
    <row r="398" spans="1:9" ht="12.75">
      <c r="A398" s="9"/>
      <c r="B398" s="10" t="s">
        <v>997</v>
      </c>
      <c r="C398" s="10" t="s">
        <v>998</v>
      </c>
      <c r="D398" s="10" t="s">
        <v>999</v>
      </c>
      <c r="E398" s="12" t="e">
        <f ca="1">_xludf.IFS(COUNTIF(보류목록!$B$3:$B$1000, B398)&gt;0, "-",COUNTIF(독서목록!$C$2:$C$1091, B398)=0, , COUNTIF(독서목록!$C$2:$C$1091, B398)&gt;0, COUNTIF(독서목록!$C$2:$C$1091, B398))</f>
        <v>#NAME?</v>
      </c>
      <c r="F398" s="12" t="e">
        <f ca="1">_xludf.IFS(COUNTIF(보류목록!$C$3:$C$1000, B398)&gt;0, "-",COUNTIF(독서목록!$D$2:$D$1091, B398)=0, , COUNTIF(독서목록!$D$2:$D$1091, B398)&gt;0, COUNTIF(독서목록!$D$2:$D$1091, B398))</f>
        <v>#NAME?</v>
      </c>
      <c r="G398" s="12" t="s">
        <v>878</v>
      </c>
      <c r="H398" s="12" t="s">
        <v>75</v>
      </c>
      <c r="I398" s="12" t="s">
        <v>75</v>
      </c>
    </row>
    <row r="399" spans="1:9" ht="12.75">
      <c r="A399" s="9"/>
      <c r="B399" s="10" t="s">
        <v>1000</v>
      </c>
      <c r="C399" s="10" t="s">
        <v>1001</v>
      </c>
      <c r="D399" s="10" t="s">
        <v>1002</v>
      </c>
      <c r="E399" s="12" t="e">
        <f ca="1">_xludf.IFS(COUNTIF(보류목록!$B$3:$B$1000, B399)&gt;0, "-",COUNTIF(독서목록!$C$2:$C$1091, B399)=0, , COUNTIF(독서목록!$C$2:$C$1091, B399)&gt;0, COUNTIF(독서목록!$C$2:$C$1091, B399))</f>
        <v>#NAME?</v>
      </c>
      <c r="F399" s="12" t="e">
        <f ca="1">_xludf.IFS(COUNTIF(보류목록!$C$3:$C$1000, B399)&gt;0, "-",COUNTIF(독서목록!$D$2:$D$1091, B399)=0, , COUNTIF(독서목록!$D$2:$D$1091, B399)&gt;0, COUNTIF(독서목록!$D$2:$D$1091, B399))</f>
        <v>#NAME?</v>
      </c>
      <c r="G399" s="12" t="s">
        <v>878</v>
      </c>
      <c r="H399" s="12" t="s">
        <v>75</v>
      </c>
      <c r="I399" s="12" t="s">
        <v>75</v>
      </c>
    </row>
    <row r="400" spans="1:9" ht="12.75">
      <c r="A400" s="9"/>
      <c r="B400" s="10" t="s">
        <v>1003</v>
      </c>
      <c r="C400" s="10" t="s">
        <v>1004</v>
      </c>
      <c r="D400" s="10" t="s">
        <v>1005</v>
      </c>
      <c r="E400" s="12" t="e">
        <f ca="1">_xludf.IFS(COUNTIF(보류목록!$B$3:$B$1000, B400)&gt;0, "-",COUNTIF(독서목록!$C$2:$C$1091, B400)=0, , COUNTIF(독서목록!$C$2:$C$1091, B400)&gt;0, COUNTIF(독서목록!$C$2:$C$1091, B400))</f>
        <v>#NAME?</v>
      </c>
      <c r="F400" s="12" t="e">
        <f ca="1">_xludf.IFS(COUNTIF(보류목록!$C$3:$C$1000, B400)&gt;0, "-",COUNTIF(독서목록!$D$2:$D$1091, B400)=0, , COUNTIF(독서목록!$D$2:$D$1091, B400)&gt;0, COUNTIF(독서목록!$D$2:$D$1091, B400))</f>
        <v>#NAME?</v>
      </c>
      <c r="G400" s="12" t="s">
        <v>878</v>
      </c>
      <c r="H400" s="12" t="s">
        <v>75</v>
      </c>
      <c r="I400" s="12" t="s">
        <v>75</v>
      </c>
    </row>
    <row r="401" spans="1:9" ht="12.75">
      <c r="A401" s="9"/>
      <c r="B401" s="10" t="s">
        <v>1006</v>
      </c>
      <c r="C401" s="10" t="s">
        <v>1007</v>
      </c>
      <c r="D401" s="10" t="s">
        <v>471</v>
      </c>
      <c r="E401" s="12" t="e">
        <f ca="1">_xludf.IFS(COUNTIF(보류목록!$B$3:$B$1000, B401)&gt;0, "-",COUNTIF(독서목록!$C$2:$C$1091, B401)=0, , COUNTIF(독서목록!$C$2:$C$1091, B401)&gt;0, COUNTIF(독서목록!$C$2:$C$1091, B401))</f>
        <v>#NAME?</v>
      </c>
      <c r="F401" s="12" t="e">
        <f ca="1">_xludf.IFS(COUNTIF(보류목록!$C$3:$C$1000, B401)&gt;0, "-",COUNTIF(독서목록!$D$2:$D$1091, B401)=0, , COUNTIF(독서목록!$D$2:$D$1091, B401)&gt;0, COUNTIF(독서목록!$D$2:$D$1091, B401))</f>
        <v>#NAME?</v>
      </c>
      <c r="G401" s="12" t="s">
        <v>878</v>
      </c>
      <c r="H401" s="12" t="s">
        <v>75</v>
      </c>
      <c r="I401" s="12" t="s">
        <v>75</v>
      </c>
    </row>
    <row r="402" spans="1:9" ht="12.75">
      <c r="A402" s="9"/>
      <c r="B402" s="10" t="s">
        <v>1008</v>
      </c>
      <c r="C402" s="10" t="s">
        <v>1007</v>
      </c>
      <c r="D402" s="10" t="s">
        <v>471</v>
      </c>
      <c r="E402" s="12" t="e">
        <f ca="1">_xludf.IFS(COUNTIF(보류목록!$B$3:$B$1000, B402)&gt;0, "-",COUNTIF(독서목록!$C$2:$C$1091, B402)=0, , COUNTIF(독서목록!$C$2:$C$1091, B402)&gt;0, COUNTIF(독서목록!$C$2:$C$1091, B402))</f>
        <v>#NAME?</v>
      </c>
      <c r="F402" s="12" t="e">
        <f ca="1">_xludf.IFS(COUNTIF(보류목록!$C$3:$C$1000, B402)&gt;0, "-",COUNTIF(독서목록!$D$2:$D$1091, B402)=0, , COUNTIF(독서목록!$D$2:$D$1091, B402)&gt;0, COUNTIF(독서목록!$D$2:$D$1091, B402))</f>
        <v>#NAME?</v>
      </c>
      <c r="G402" s="12" t="s">
        <v>878</v>
      </c>
      <c r="H402" s="12" t="s">
        <v>75</v>
      </c>
      <c r="I402" s="12" t="s">
        <v>75</v>
      </c>
    </row>
    <row r="403" spans="1:9" ht="12.75">
      <c r="A403" s="9"/>
      <c r="B403" s="10" t="s">
        <v>1009</v>
      </c>
      <c r="C403" s="10" t="s">
        <v>1007</v>
      </c>
      <c r="D403" s="10" t="s">
        <v>471</v>
      </c>
      <c r="E403" s="12" t="e">
        <f ca="1">_xludf.IFS(COUNTIF(보류목록!$B$3:$B$1000, B403)&gt;0, "-",COUNTIF(독서목록!$C$2:$C$1091, B403)=0, , COUNTIF(독서목록!$C$2:$C$1091, B403)&gt;0, COUNTIF(독서목록!$C$2:$C$1091, B403))</f>
        <v>#NAME?</v>
      </c>
      <c r="F403" s="12" t="e">
        <f ca="1">_xludf.IFS(COUNTIF(보류목록!$C$3:$C$1000, B403)&gt;0, "-",COUNTIF(독서목록!$D$2:$D$1091, B403)=0, , COUNTIF(독서목록!$D$2:$D$1091, B403)&gt;0, COUNTIF(독서목록!$D$2:$D$1091, B403))</f>
        <v>#NAME?</v>
      </c>
      <c r="G403" s="12" t="s">
        <v>878</v>
      </c>
      <c r="H403" s="12" t="s">
        <v>75</v>
      </c>
      <c r="I403" s="12" t="s">
        <v>75</v>
      </c>
    </row>
    <row r="404" spans="1:9" ht="12.75">
      <c r="A404" s="9"/>
      <c r="B404" s="10" t="s">
        <v>1010</v>
      </c>
      <c r="C404" s="10" t="s">
        <v>1007</v>
      </c>
      <c r="D404" s="10" t="s">
        <v>471</v>
      </c>
      <c r="E404" s="12" t="e">
        <f ca="1">_xludf.IFS(COUNTIF(보류목록!$B$3:$B$1000, B404)&gt;0, "-",COUNTIF(독서목록!$C$2:$C$1091, B404)=0, , COUNTIF(독서목록!$C$2:$C$1091, B404)&gt;0, COUNTIF(독서목록!$C$2:$C$1091, B404))</f>
        <v>#NAME?</v>
      </c>
      <c r="F404" s="12" t="e">
        <f ca="1">_xludf.IFS(COUNTIF(보류목록!$C$3:$C$1000, B404)&gt;0, "-",COUNTIF(독서목록!$D$2:$D$1091, B404)=0, , COUNTIF(독서목록!$D$2:$D$1091, B404)&gt;0, COUNTIF(독서목록!$D$2:$D$1091, B404))</f>
        <v>#NAME?</v>
      </c>
      <c r="G404" s="12" t="s">
        <v>878</v>
      </c>
      <c r="H404" s="12" t="s">
        <v>75</v>
      </c>
      <c r="I404" s="12" t="s">
        <v>75</v>
      </c>
    </row>
    <row r="405" spans="1:9" ht="12.75">
      <c r="A405" s="9"/>
      <c r="B405" s="10" t="s">
        <v>1011</v>
      </c>
      <c r="C405" s="10" t="s">
        <v>1007</v>
      </c>
      <c r="D405" s="10" t="s">
        <v>471</v>
      </c>
      <c r="E405" s="12" t="e">
        <f ca="1">_xludf.IFS(COUNTIF(보류목록!$B$3:$B$1000, B405)&gt;0, "-",COUNTIF(독서목록!$C$2:$C$1091, B405)=0, , COUNTIF(독서목록!$C$2:$C$1091, B405)&gt;0, COUNTIF(독서목록!$C$2:$C$1091, B405))</f>
        <v>#NAME?</v>
      </c>
      <c r="F405" s="12" t="e">
        <f ca="1">_xludf.IFS(COUNTIF(보류목록!$C$3:$C$1000, B405)&gt;0, "-",COUNTIF(독서목록!$D$2:$D$1091, B405)=0, , COUNTIF(독서목록!$D$2:$D$1091, B405)&gt;0, COUNTIF(독서목록!$D$2:$D$1091, B405))</f>
        <v>#NAME?</v>
      </c>
      <c r="G405" s="12" t="s">
        <v>878</v>
      </c>
      <c r="H405" s="12" t="s">
        <v>75</v>
      </c>
      <c r="I405" s="12" t="s">
        <v>75</v>
      </c>
    </row>
    <row r="406" spans="1:9" ht="12.75">
      <c r="A406" s="9"/>
      <c r="B406" s="10" t="s">
        <v>1012</v>
      </c>
      <c r="C406" s="10" t="s">
        <v>988</v>
      </c>
      <c r="D406" s="11" t="s">
        <v>211</v>
      </c>
      <c r="E406" s="12" t="e">
        <f ca="1">_xludf.IFS(COUNTIF(보류목록!$B$3:$B$1000, B406)&gt;0, "-",COUNTIF(독서목록!$C$2:$C$1091, B406)=0, , COUNTIF(독서목록!$C$2:$C$1091, B406)&gt;0, COUNTIF(독서목록!$C$2:$C$1091, B406))</f>
        <v>#NAME?</v>
      </c>
      <c r="F406" s="12" t="e">
        <f ca="1">_xludf.IFS(COUNTIF(보류목록!$C$3:$C$1000, B406)&gt;0, "-",COUNTIF(독서목록!$D$2:$D$1091, B406)=0, , COUNTIF(독서목록!$D$2:$D$1091, B406)&gt;0, COUNTIF(독서목록!$D$2:$D$1091, B406))</f>
        <v>#NAME?</v>
      </c>
      <c r="G406" s="12" t="s">
        <v>878</v>
      </c>
      <c r="H406" s="12" t="s">
        <v>75</v>
      </c>
      <c r="I406" s="12" t="s">
        <v>75</v>
      </c>
    </row>
    <row r="407" spans="1:9" ht="12.75">
      <c r="A407" s="9"/>
      <c r="B407" s="10" t="s">
        <v>1013</v>
      </c>
      <c r="C407" s="10" t="s">
        <v>988</v>
      </c>
      <c r="D407" s="11" t="s">
        <v>211</v>
      </c>
      <c r="E407" s="12" t="e">
        <f ca="1">_xludf.IFS(COUNTIF(보류목록!$B$3:$B$1000, B407)&gt;0, "-",COUNTIF(독서목록!$C$2:$C$1091, B407)=0, , COUNTIF(독서목록!$C$2:$C$1091, B407)&gt;0, COUNTIF(독서목록!$C$2:$C$1091, B407))</f>
        <v>#NAME?</v>
      </c>
      <c r="F407" s="12" t="e">
        <f ca="1">_xludf.IFS(COUNTIF(보류목록!$C$3:$C$1000, B407)&gt;0, "-",COUNTIF(독서목록!$D$2:$D$1091, B407)=0, , COUNTIF(독서목록!$D$2:$D$1091, B407)&gt;0, COUNTIF(독서목록!$D$2:$D$1091, B407))</f>
        <v>#NAME?</v>
      </c>
      <c r="G407" s="12" t="s">
        <v>878</v>
      </c>
      <c r="H407" s="12" t="s">
        <v>75</v>
      </c>
      <c r="I407" s="12" t="s">
        <v>75</v>
      </c>
    </row>
    <row r="408" spans="1:9" ht="12.75">
      <c r="A408" s="9"/>
      <c r="B408" s="10" t="s">
        <v>1014</v>
      </c>
      <c r="C408" s="28" t="s">
        <v>1015</v>
      </c>
      <c r="D408" s="10" t="s">
        <v>118</v>
      </c>
      <c r="E408" s="12" t="e">
        <f ca="1">_xludf.IFS(COUNTIF(보류목록!$B$3:$B$1000, B408)&gt;0, "-",COUNTIF(독서목록!$C$2:$C$1091, B408)=0, , COUNTIF(독서목록!$C$2:$C$1091, B408)&gt;0, COUNTIF(독서목록!$C$2:$C$1091, B408))</f>
        <v>#NAME?</v>
      </c>
      <c r="F408" s="12" t="e">
        <f ca="1">_xludf.IFS(COUNTIF(보류목록!$C$3:$C$1000, B408)&gt;0, "-",COUNTIF(독서목록!$D$2:$D$1091, B408)=0, , COUNTIF(독서목록!$D$2:$D$1091, B408)&gt;0, COUNTIF(독서목록!$D$2:$D$1091, B408))</f>
        <v>#NAME?</v>
      </c>
      <c r="G408" s="12" t="s">
        <v>878</v>
      </c>
      <c r="H408" s="12" t="s">
        <v>75</v>
      </c>
      <c r="I408" s="12" t="s">
        <v>75</v>
      </c>
    </row>
    <row r="409" spans="1:9" ht="12.75">
      <c r="A409" s="9"/>
      <c r="B409" s="10" t="s">
        <v>1016</v>
      </c>
      <c r="C409" s="10" t="s">
        <v>1017</v>
      </c>
      <c r="D409" s="10" t="s">
        <v>15</v>
      </c>
      <c r="E409" s="12" t="e">
        <f ca="1">_xludf.IFS(COUNTIF(보류목록!$B$3:$B$1000, B409)&gt;0, "-",COUNTIF(독서목록!$C$2:$C$1091, B409)=0, , COUNTIF(독서목록!$C$2:$C$1091, B409)&gt;0, COUNTIF(독서목록!$C$2:$C$1091, B409))</f>
        <v>#NAME?</v>
      </c>
      <c r="F409" s="12" t="e">
        <f ca="1">_xludf.IFS(COUNTIF(보류목록!$C$3:$C$1000, B409)&gt;0, "-",COUNTIF(독서목록!$D$2:$D$1091, B409)=0, , COUNTIF(독서목록!$D$2:$D$1091, B409)&gt;0, COUNTIF(독서목록!$D$2:$D$1091, B409))</f>
        <v>#NAME?</v>
      </c>
      <c r="G409" s="12" t="s">
        <v>878</v>
      </c>
      <c r="H409" s="12" t="s">
        <v>75</v>
      </c>
      <c r="I409" s="12" t="s">
        <v>75</v>
      </c>
    </row>
    <row r="410" spans="1:9" ht="12.75">
      <c r="A410" s="9"/>
      <c r="B410" s="10" t="s">
        <v>1018</v>
      </c>
      <c r="C410" s="10" t="s">
        <v>1017</v>
      </c>
      <c r="D410" s="10" t="s">
        <v>15</v>
      </c>
      <c r="E410" s="12" t="e">
        <f ca="1">_xludf.IFS(COUNTIF(보류목록!$B$3:$B$1000, B410)&gt;0, "-",COUNTIF(독서목록!$C$2:$C$1091, B410)=0, , COUNTIF(독서목록!$C$2:$C$1091, B410)&gt;0, COUNTIF(독서목록!$C$2:$C$1091, B410))</f>
        <v>#NAME?</v>
      </c>
      <c r="F410" s="12" t="e">
        <f ca="1">_xludf.IFS(COUNTIF(보류목록!$C$3:$C$1000, B410)&gt;0, "-",COUNTIF(독서목록!$D$2:$D$1091, B410)=0, , COUNTIF(독서목록!$D$2:$D$1091, B410)&gt;0, COUNTIF(독서목록!$D$2:$D$1091, B410))</f>
        <v>#NAME?</v>
      </c>
      <c r="G410" s="12" t="s">
        <v>878</v>
      </c>
      <c r="H410" s="12" t="s">
        <v>75</v>
      </c>
      <c r="I410" s="12" t="s">
        <v>75</v>
      </c>
    </row>
    <row r="411" spans="1:9" ht="12.75">
      <c r="A411" s="9"/>
      <c r="B411" s="10" t="s">
        <v>1019</v>
      </c>
      <c r="C411" s="10" t="s">
        <v>1017</v>
      </c>
      <c r="D411" s="10" t="s">
        <v>15</v>
      </c>
      <c r="E411" s="12" t="e">
        <f ca="1">_xludf.IFS(COUNTIF(보류목록!$B$3:$B$1000, B411)&gt;0, "-",COUNTIF(독서목록!$C$2:$C$1091, B411)=0, , COUNTIF(독서목록!$C$2:$C$1091, B411)&gt;0, COUNTIF(독서목록!$C$2:$C$1091, B411))</f>
        <v>#NAME?</v>
      </c>
      <c r="F411" s="12" t="e">
        <f ca="1">_xludf.IFS(COUNTIF(보류목록!$C$3:$C$1000, B411)&gt;0, "-",COUNTIF(독서목록!$D$2:$D$1091, B411)=0, , COUNTIF(독서목록!$D$2:$D$1091, B411)&gt;0, COUNTIF(독서목록!$D$2:$D$1091, B411))</f>
        <v>#NAME?</v>
      </c>
      <c r="G411" s="12" t="s">
        <v>878</v>
      </c>
      <c r="H411" s="12" t="s">
        <v>75</v>
      </c>
      <c r="I411" s="12" t="s">
        <v>75</v>
      </c>
    </row>
    <row r="412" spans="1:9" ht="12.75">
      <c r="A412" s="9"/>
      <c r="B412" s="10" t="s">
        <v>1020</v>
      </c>
      <c r="C412" s="10" t="s">
        <v>262</v>
      </c>
      <c r="D412" s="10" t="s">
        <v>15</v>
      </c>
      <c r="E412" s="12" t="e">
        <f ca="1">_xludf.IFS(COUNTIF(보류목록!$B$3:$B$1000, B412)&gt;0, "-",COUNTIF(독서목록!$C$2:$C$1091, B412)=0, , COUNTIF(독서목록!$C$2:$C$1091, B412)&gt;0, COUNTIF(독서목록!$C$2:$C$1091, B412))</f>
        <v>#NAME?</v>
      </c>
      <c r="F412" s="12" t="e">
        <f ca="1">_xludf.IFS(COUNTIF(보류목록!$C$3:$C$1000, B412)&gt;0, "-",COUNTIF(독서목록!$D$2:$D$1091, B412)=0, , COUNTIF(독서목록!$D$2:$D$1091, B412)&gt;0, COUNTIF(독서목록!$D$2:$D$1091, B412))</f>
        <v>#NAME?</v>
      </c>
      <c r="G412" s="12" t="s">
        <v>878</v>
      </c>
      <c r="H412" s="12" t="s">
        <v>75</v>
      </c>
      <c r="I412" s="12" t="s">
        <v>75</v>
      </c>
    </row>
    <row r="413" spans="1:9" ht="12.75">
      <c r="A413" s="9"/>
      <c r="B413" s="10" t="s">
        <v>1021</v>
      </c>
      <c r="C413" s="10" t="s">
        <v>262</v>
      </c>
      <c r="D413" s="10" t="s">
        <v>15</v>
      </c>
      <c r="E413" s="12" t="e">
        <f ca="1">_xludf.IFS(COUNTIF(보류목록!$B$3:$B$1000, B413)&gt;0, "-",COUNTIF(독서목록!$C$2:$C$1091, B413)=0, , COUNTIF(독서목록!$C$2:$C$1091, B413)&gt;0, COUNTIF(독서목록!$C$2:$C$1091, B413))</f>
        <v>#NAME?</v>
      </c>
      <c r="F413" s="12" t="e">
        <f ca="1">_xludf.IFS(COUNTIF(보류목록!$C$3:$C$1000, B413)&gt;0, "-",COUNTIF(독서목록!$D$2:$D$1091, B413)=0, , COUNTIF(독서목록!$D$2:$D$1091, B413)&gt;0, COUNTIF(독서목록!$D$2:$D$1091, B413))</f>
        <v>#NAME?</v>
      </c>
      <c r="G413" s="12" t="s">
        <v>878</v>
      </c>
      <c r="H413" s="12" t="s">
        <v>75</v>
      </c>
      <c r="I413" s="12" t="s">
        <v>75</v>
      </c>
    </row>
    <row r="414" spans="1:9" ht="12.75">
      <c r="A414" s="9"/>
      <c r="B414" s="10" t="s">
        <v>1022</v>
      </c>
      <c r="C414" s="10" t="s">
        <v>262</v>
      </c>
      <c r="D414" s="10" t="s">
        <v>15</v>
      </c>
      <c r="E414" s="12" t="e">
        <f ca="1">_xludf.IFS(COUNTIF(보류목록!$B$3:$B$1000, B414)&gt;0, "-",COUNTIF(독서목록!$C$2:$C$1091, B414)=0, , COUNTIF(독서목록!$C$2:$C$1091, B414)&gt;0, COUNTIF(독서목록!$C$2:$C$1091, B414))</f>
        <v>#NAME?</v>
      </c>
      <c r="F414" s="12" t="e">
        <f ca="1">_xludf.IFS(COUNTIF(보류목록!$C$3:$C$1000, B414)&gt;0, "-",COUNTIF(독서목록!$D$2:$D$1091, B414)=0, , COUNTIF(독서목록!$D$2:$D$1091, B414)&gt;0, COUNTIF(독서목록!$D$2:$D$1091, B414))</f>
        <v>#NAME?</v>
      </c>
      <c r="G414" s="12" t="s">
        <v>878</v>
      </c>
      <c r="H414" s="12" t="s">
        <v>75</v>
      </c>
      <c r="I414" s="12" t="s">
        <v>75</v>
      </c>
    </row>
    <row r="415" spans="1:9" ht="12.75">
      <c r="A415" s="9"/>
      <c r="B415" s="10" t="s">
        <v>1023</v>
      </c>
      <c r="C415" s="10" t="s">
        <v>992</v>
      </c>
      <c r="D415" s="10" t="s">
        <v>993</v>
      </c>
      <c r="E415" s="12" t="e">
        <f ca="1">_xludf.IFS(COUNTIF(보류목록!$B$3:$B$1000, B415)&gt;0, "-",COUNTIF(독서목록!$C$2:$C$1091, B415)=0, , COUNTIF(독서목록!$C$2:$C$1091, B415)&gt;0, COUNTIF(독서목록!$C$2:$C$1091, B415))</f>
        <v>#NAME?</v>
      </c>
      <c r="F415" s="12" t="e">
        <f ca="1">_xludf.IFS(COUNTIF(보류목록!$C$3:$C$1000, B415)&gt;0, "-",COUNTIF(독서목록!$D$2:$D$1091, B415)=0, , COUNTIF(독서목록!$D$2:$D$1091, B415)&gt;0, COUNTIF(독서목록!$D$2:$D$1091, B415))</f>
        <v>#NAME?</v>
      </c>
      <c r="G415" s="12" t="s">
        <v>878</v>
      </c>
      <c r="H415" s="12" t="s">
        <v>75</v>
      </c>
      <c r="I415" s="12" t="s">
        <v>75</v>
      </c>
    </row>
    <row r="416" spans="1:9" ht="12.75">
      <c r="A416" s="9"/>
      <c r="B416" s="10" t="s">
        <v>1024</v>
      </c>
      <c r="C416" s="11" t="s">
        <v>1025</v>
      </c>
      <c r="D416" s="11" t="s">
        <v>1026</v>
      </c>
      <c r="E416" s="12" t="e">
        <f ca="1">_xludf.IFS(COUNTIF(보류목록!$B$3:$B$1000, B416)&gt;0, "-",COUNTIF(독서목록!$C$2:$C$1091, B416)=0, , COUNTIF(독서목록!$C$2:$C$1091, B416)&gt;0, COUNTIF(독서목록!$C$2:$C$1091, B416))</f>
        <v>#NAME?</v>
      </c>
      <c r="F416" s="12" t="e">
        <f ca="1">_xludf.IFS(COUNTIF(보류목록!$C$3:$C$1000, B416)&gt;0, "-",COUNTIF(독서목록!$D$2:$D$1091, B416)=0, , COUNTIF(독서목록!$D$2:$D$1091, B416)&gt;0, COUNTIF(독서목록!$D$2:$D$1091, B416))</f>
        <v>#NAME?</v>
      </c>
      <c r="G416" s="13" t="s">
        <v>1027</v>
      </c>
      <c r="H416" s="13" t="s">
        <v>971</v>
      </c>
      <c r="I416" s="13" t="s">
        <v>971</v>
      </c>
    </row>
    <row r="417" spans="1:9" ht="12.75">
      <c r="A417" s="9"/>
      <c r="B417" s="10" t="s">
        <v>1028</v>
      </c>
      <c r="C417" s="11" t="s">
        <v>1029</v>
      </c>
      <c r="D417" s="11" t="s">
        <v>1030</v>
      </c>
      <c r="E417" s="12" t="e">
        <f ca="1">_xludf.IFS(COUNTIF(보류목록!$B$3:$B$1000, B417)&gt;0, "-",COUNTIF(독서목록!$C$2:$C$1091, B417)=0, , COUNTIF(독서목록!$C$2:$C$1091, B417)&gt;0, COUNTIF(독서목록!$C$2:$C$1091, B417))</f>
        <v>#NAME?</v>
      </c>
      <c r="F417" s="12" t="e">
        <f ca="1">_xludf.IFS(COUNTIF(보류목록!$C$3:$C$1000, B417)&gt;0, "-",COUNTIF(독서목록!$D$2:$D$1091, B417)=0, , COUNTIF(독서목록!$D$2:$D$1091, B417)&gt;0, COUNTIF(독서목록!$D$2:$D$1091, B417))</f>
        <v>#NAME?</v>
      </c>
      <c r="G417" s="13" t="s">
        <v>403</v>
      </c>
      <c r="H417" s="13" t="s">
        <v>971</v>
      </c>
      <c r="I417" s="13" t="s">
        <v>971</v>
      </c>
    </row>
    <row r="418" spans="1:9" ht="12.75">
      <c r="A418" s="9"/>
      <c r="B418" s="10" t="s">
        <v>1031</v>
      </c>
      <c r="C418" s="11" t="s">
        <v>984</v>
      </c>
      <c r="D418" s="11" t="s">
        <v>981</v>
      </c>
      <c r="E418" s="12" t="e">
        <f ca="1">_xludf.IFS(COUNTIF(보류목록!$B$3:$B$1000, B418)&gt;0, "-",COUNTIF(독서목록!$C$2:$C$1091, B418)=0, , COUNTIF(독서목록!$C$2:$C$1091, B418)&gt;0, COUNTIF(독서목록!$C$2:$C$1091, B418))</f>
        <v>#NAME?</v>
      </c>
      <c r="F418" s="12" t="e">
        <f ca="1">_xludf.IFS(COUNTIF(보류목록!$C$3:$C$1000, B418)&gt;0, "-",COUNTIF(독서목록!$D$2:$D$1091, B418)=0, , COUNTIF(독서목록!$D$2:$D$1091, B418)&gt;0, COUNTIF(독서목록!$D$2:$D$1091, B418))</f>
        <v>#NAME?</v>
      </c>
      <c r="G418" s="13" t="s">
        <v>447</v>
      </c>
      <c r="H418" s="13" t="s">
        <v>971</v>
      </c>
      <c r="I418" s="13" t="s">
        <v>971</v>
      </c>
    </row>
    <row r="419" spans="1:9" ht="12.75">
      <c r="A419" s="9"/>
      <c r="B419" s="10" t="s">
        <v>1032</v>
      </c>
      <c r="C419" s="11" t="s">
        <v>1033</v>
      </c>
      <c r="D419" s="11" t="s">
        <v>981</v>
      </c>
      <c r="E419" s="12" t="e">
        <f ca="1">_xludf.IFS(COUNTIF(보류목록!$B$3:$B$1000, B419)&gt;0, "-",COUNTIF(독서목록!$C$2:$C$1091, B419)=0, , COUNTIF(독서목록!$C$2:$C$1091, B419)&gt;0, COUNTIF(독서목록!$C$2:$C$1091, B419))</f>
        <v>#NAME?</v>
      </c>
      <c r="F419" s="12" t="e">
        <f ca="1">_xludf.IFS(COUNTIF(보류목록!$C$3:$C$1000, B419)&gt;0, "-",COUNTIF(독서목록!$D$2:$D$1091, B419)=0, , COUNTIF(독서목록!$D$2:$D$1091, B419)&gt;0, COUNTIF(독서목록!$D$2:$D$1091, B419))</f>
        <v>#NAME?</v>
      </c>
      <c r="G419" s="13" t="s">
        <v>493</v>
      </c>
      <c r="H419" s="13" t="s">
        <v>971</v>
      </c>
      <c r="I419" s="13" t="s">
        <v>971</v>
      </c>
    </row>
    <row r="420" spans="1:9" ht="12.75">
      <c r="A420" s="9"/>
      <c r="B420" s="10" t="s">
        <v>1034</v>
      </c>
      <c r="C420" s="11" t="s">
        <v>984</v>
      </c>
      <c r="D420" s="11" t="s">
        <v>981</v>
      </c>
      <c r="E420" s="12" t="e">
        <f ca="1">_xludf.IFS(COUNTIF(보류목록!$B$3:$B$1000, B420)&gt;0, "-",COUNTIF(독서목록!$C$2:$C$1091, B420)=0, , COUNTIF(독서목록!$C$2:$C$1091, B420)&gt;0, COUNTIF(독서목록!$C$2:$C$1091, B420))</f>
        <v>#NAME?</v>
      </c>
      <c r="F420" s="12" t="e">
        <f ca="1">_xludf.IFS(COUNTIF(보류목록!$C$3:$C$1000, B420)&gt;0, "-",COUNTIF(독서목록!$D$2:$D$1091, B420)=0, , COUNTIF(독서목록!$D$2:$D$1091, B420)&gt;0, COUNTIF(독서목록!$D$2:$D$1091, B420))</f>
        <v>#NAME?</v>
      </c>
      <c r="G420" s="13" t="s">
        <v>985</v>
      </c>
      <c r="H420" s="13" t="s">
        <v>971</v>
      </c>
      <c r="I420" s="13" t="s">
        <v>971</v>
      </c>
    </row>
    <row r="421" spans="1:9" ht="12.75">
      <c r="A421" s="9"/>
      <c r="B421" s="10" t="s">
        <v>1035</v>
      </c>
      <c r="C421" s="11" t="s">
        <v>984</v>
      </c>
      <c r="D421" s="11" t="s">
        <v>981</v>
      </c>
      <c r="E421" s="12" t="e">
        <f ca="1">_xludf.IFS(COUNTIF(보류목록!$B$3:$B$1000, B421)&gt;0, "-",COUNTIF(독서목록!$C$2:$C$1091, B421)=0, , COUNTIF(독서목록!$C$2:$C$1091, B421)&gt;0, COUNTIF(독서목록!$C$2:$C$1091, B421))</f>
        <v>#NAME?</v>
      </c>
      <c r="F421" s="12" t="e">
        <f ca="1">_xludf.IFS(COUNTIF(보류목록!$C$3:$C$1000, B421)&gt;0, "-",COUNTIF(독서목록!$D$2:$D$1091, B421)=0, , COUNTIF(독서목록!$D$2:$D$1091, B421)&gt;0, COUNTIF(독서목록!$D$2:$D$1091, B421))</f>
        <v>#NAME?</v>
      </c>
      <c r="G421" s="13" t="s">
        <v>562</v>
      </c>
      <c r="H421" s="13" t="s">
        <v>971</v>
      </c>
      <c r="I421" s="13" t="s">
        <v>971</v>
      </c>
    </row>
    <row r="422" spans="1:9" ht="12.75">
      <c r="A422" s="29"/>
      <c r="B422" s="11" t="s">
        <v>1036</v>
      </c>
      <c r="C422" s="10" t="s">
        <v>1037</v>
      </c>
      <c r="D422" s="11" t="s">
        <v>1038</v>
      </c>
      <c r="E422" s="12" t="e">
        <f ca="1">_xludf.IFS(COUNTIF(보류목록!$B$3:$B$1000, B422)&gt;0, "-",COUNTIF(독서목록!$C$2:$C$1091, B422)=0, , COUNTIF(독서목록!$C$2:$C$1091, B422)&gt;0, COUNTIF(독서목록!$C$2:$C$1091, B422))</f>
        <v>#NAME?</v>
      </c>
      <c r="F422" s="12" t="e">
        <f ca="1">_xludf.IFS(COUNTIF(보류목록!$C$3:$C$1000, B422)&gt;0, "-",COUNTIF(독서목록!$D$2:$D$1091, B422)=0, , COUNTIF(독서목록!$D$2:$D$1091, B422)&gt;0, COUNTIF(독서목록!$D$2:$D$1091, B422))</f>
        <v>#NAME?</v>
      </c>
      <c r="G422" s="13" t="s">
        <v>689</v>
      </c>
      <c r="H422" s="13" t="s">
        <v>971</v>
      </c>
      <c r="I422" s="13" t="s">
        <v>971</v>
      </c>
    </row>
    <row r="423" spans="1:9" ht="12.75">
      <c r="A423" s="9"/>
      <c r="B423" s="10" t="s">
        <v>1039</v>
      </c>
      <c r="C423" s="10" t="s">
        <v>1040</v>
      </c>
      <c r="D423" s="10" t="s">
        <v>1041</v>
      </c>
      <c r="E423" s="12" t="e">
        <f ca="1">_xludf.IFS(COUNTIF(보류목록!$B$3:$B$1000, B423)&gt;0, "-",COUNTIF(독서목록!$C$2:$C$1091, B423)=0, , COUNTIF(독서목록!$C$2:$C$1091, B423)&gt;0, COUNTIF(독서목록!$C$2:$C$1091, B423))</f>
        <v>#NAME?</v>
      </c>
      <c r="F423" s="12" t="e">
        <f ca="1">_xludf.IFS(COUNTIF(보류목록!$C$3:$C$1000, B423)&gt;0, "-",COUNTIF(독서목록!$D$2:$D$1091, B423)=0, , COUNTIF(독서목록!$D$2:$D$1091, B423)&gt;0, COUNTIF(독서목록!$D$2:$D$1091, B423))</f>
        <v>#NAME?</v>
      </c>
      <c r="G423" s="12" t="s">
        <v>801</v>
      </c>
      <c r="H423" s="13" t="s">
        <v>971</v>
      </c>
      <c r="I423" s="13" t="s">
        <v>971</v>
      </c>
    </row>
    <row r="424" spans="1:9" ht="12.75">
      <c r="A424" s="9"/>
      <c r="B424" s="10" t="s">
        <v>1042</v>
      </c>
      <c r="C424" s="11" t="s">
        <v>1043</v>
      </c>
      <c r="D424" s="11" t="s">
        <v>1044</v>
      </c>
      <c r="E424" s="12" t="e">
        <f ca="1">_xludf.IFS(COUNTIF(보류목록!$B$3:$B$1000, B424)&gt;0, "-",COUNTIF(독서목록!$C$2:$C$1091, B424)=0, , COUNTIF(독서목록!$C$2:$C$1091, B424)&gt;0, COUNTIF(독서목록!$C$2:$C$1091, B424))</f>
        <v>#NAME?</v>
      </c>
      <c r="F424" s="12" t="e">
        <f ca="1">_xludf.IFS(COUNTIF(보류목록!$C$3:$C$1000, B424)&gt;0, "-",COUNTIF(독서목록!$D$2:$D$1091, B424)=0, , COUNTIF(독서목록!$D$2:$D$1091, B424)&gt;0, COUNTIF(독서목록!$D$2:$D$1091, B424))</f>
        <v>#NAME?</v>
      </c>
      <c r="G424" s="13" t="s">
        <v>436</v>
      </c>
      <c r="H424" s="13" t="s">
        <v>971</v>
      </c>
      <c r="I424" s="13" t="s">
        <v>971</v>
      </c>
    </row>
    <row r="425" spans="1:9" ht="12.75">
      <c r="A425" s="9"/>
      <c r="B425" s="10" t="s">
        <v>1045</v>
      </c>
      <c r="C425" s="11" t="s">
        <v>1046</v>
      </c>
      <c r="D425" s="11" t="s">
        <v>1047</v>
      </c>
      <c r="E425" s="12" t="e">
        <f ca="1">_xludf.IFS(COUNTIF(보류목록!$B$3:$B$1000, B425)&gt;0, "-",COUNTIF(독서목록!$C$2:$C$1091, B425)=0, , COUNTIF(독서목록!$C$2:$C$1091, B425)&gt;0, COUNTIF(독서목록!$C$2:$C$1091, B425))</f>
        <v>#NAME?</v>
      </c>
      <c r="F425" s="12" t="e">
        <f ca="1">_xludf.IFS(COUNTIF(보류목록!$C$3:$C$1000, B425)&gt;0, "-",COUNTIF(독서목록!$D$2:$D$1091, B425)=0, , COUNTIF(독서목록!$D$2:$D$1091, B425)&gt;0, COUNTIF(독서목록!$D$2:$D$1091, B425))</f>
        <v>#NAME?</v>
      </c>
      <c r="G425" s="13" t="s">
        <v>1048</v>
      </c>
      <c r="H425" s="13" t="s">
        <v>971</v>
      </c>
      <c r="I425" s="13" t="s">
        <v>971</v>
      </c>
    </row>
    <row r="426" spans="1:9" ht="12.75">
      <c r="A426" s="9"/>
      <c r="B426" s="10" t="s">
        <v>1049</v>
      </c>
      <c r="C426" s="11" t="s">
        <v>1017</v>
      </c>
      <c r="D426" s="11" t="s">
        <v>1050</v>
      </c>
      <c r="E426" s="12" t="e">
        <f ca="1">_xludf.IFS(COUNTIF(보류목록!$B$3:$B$1000, B426)&gt;0, "-",COUNTIF(독서목록!$C$2:$C$1091, B426)=0, , COUNTIF(독서목록!$C$2:$C$1091, B426)&gt;0, COUNTIF(독서목록!$C$2:$C$1091, B426))</f>
        <v>#NAME?</v>
      </c>
      <c r="F426" s="12" t="e">
        <f ca="1">_xludf.IFS(COUNTIF(보류목록!$C$3:$C$1000, B426)&gt;0, "-",COUNTIF(독서목록!$D$2:$D$1091, B426)=0, , COUNTIF(독서목록!$D$2:$D$1091, B426)&gt;0, COUNTIF(독서목록!$D$2:$D$1091, B426))</f>
        <v>#NAME?</v>
      </c>
      <c r="G426" s="13" t="s">
        <v>478</v>
      </c>
      <c r="H426" s="13" t="s">
        <v>971</v>
      </c>
      <c r="I426" s="13" t="s">
        <v>971</v>
      </c>
    </row>
    <row r="427" spans="1:9" ht="12.75">
      <c r="A427" s="9"/>
      <c r="B427" s="10" t="s">
        <v>1051</v>
      </c>
      <c r="C427" s="11" t="s">
        <v>1052</v>
      </c>
      <c r="D427" s="11" t="s">
        <v>1053</v>
      </c>
      <c r="E427" s="12" t="e">
        <f ca="1">_xludf.IFS(COUNTIF(보류목록!$B$3:$B$1000, B427)&gt;0, "-",COUNTIF(독서목록!$C$2:$C$1091, B427)=0, , COUNTIF(독서목록!$C$2:$C$1091, B427)&gt;0, COUNTIF(독서목록!$C$2:$C$1091, B427))</f>
        <v>#NAME?</v>
      </c>
      <c r="F427" s="12" t="e">
        <f ca="1">_xludf.IFS(COUNTIF(보류목록!$C$3:$C$1000, B427)&gt;0, "-",COUNTIF(독서목록!$D$2:$D$1091, B427)=0, , COUNTIF(독서목록!$D$2:$D$1091, B427)&gt;0, COUNTIF(독서목록!$D$2:$D$1091, B427))</f>
        <v>#NAME?</v>
      </c>
      <c r="G427" s="13" t="s">
        <v>485</v>
      </c>
      <c r="H427" s="13" t="s">
        <v>971</v>
      </c>
      <c r="I427" s="13" t="s">
        <v>971</v>
      </c>
    </row>
    <row r="428" spans="1:9" ht="12.75">
      <c r="A428" s="9"/>
      <c r="B428" s="10" t="s">
        <v>1054</v>
      </c>
      <c r="C428" s="11" t="s">
        <v>1055</v>
      </c>
      <c r="D428" s="11" t="s">
        <v>1056</v>
      </c>
      <c r="E428" s="12" t="e">
        <f ca="1">_xludf.IFS(COUNTIF(보류목록!$B$3:$B$1000, B428)&gt;0, "-",COUNTIF(독서목록!$C$2:$C$1091, B428)=0, , COUNTIF(독서목록!$C$2:$C$1091, B428)&gt;0, COUNTIF(독서목록!$C$2:$C$1091, B428))</f>
        <v>#NAME?</v>
      </c>
      <c r="F428" s="12" t="e">
        <f ca="1">_xludf.IFS(COUNTIF(보류목록!$C$3:$C$1000, B428)&gt;0, "-",COUNTIF(독서목록!$D$2:$D$1091, B428)=0, , COUNTIF(독서목록!$D$2:$D$1091, B428)&gt;0, COUNTIF(독서목록!$D$2:$D$1091, B428))</f>
        <v>#NAME?</v>
      </c>
      <c r="G428" s="13" t="s">
        <v>495</v>
      </c>
      <c r="H428" s="13" t="s">
        <v>971</v>
      </c>
      <c r="I428" s="13" t="s">
        <v>971</v>
      </c>
    </row>
    <row r="429" spans="1:9" ht="12.75">
      <c r="A429" s="9"/>
      <c r="B429" s="10" t="s">
        <v>1057</v>
      </c>
      <c r="C429" s="11" t="s">
        <v>1058</v>
      </c>
      <c r="D429" s="11" t="s">
        <v>1059</v>
      </c>
      <c r="E429" s="12" t="e">
        <f ca="1">_xludf.IFS(COUNTIF(보류목록!$B$3:$B$1000, B429)&gt;0, "-",COUNTIF(독서목록!$C$2:$C$1091, B429)=0, , COUNTIF(독서목록!$C$2:$C$1091, B429)&gt;0, COUNTIF(독서목록!$C$2:$C$1091, B429))</f>
        <v>#NAME?</v>
      </c>
      <c r="F429" s="12" t="e">
        <f ca="1">_xludf.IFS(COUNTIF(보류목록!$C$3:$C$1000, B429)&gt;0, "-",COUNTIF(독서목록!$D$2:$D$1091, B429)=0, , COUNTIF(독서목록!$D$2:$D$1091, B429)&gt;0, COUNTIF(독서목록!$D$2:$D$1091, B429))</f>
        <v>#NAME?</v>
      </c>
      <c r="G429" s="13" t="s">
        <v>528</v>
      </c>
      <c r="H429" s="13" t="s">
        <v>971</v>
      </c>
      <c r="I429" s="13" t="s">
        <v>971</v>
      </c>
    </row>
    <row r="430" spans="1:9" ht="12.75">
      <c r="A430" s="9"/>
      <c r="B430" s="10" t="s">
        <v>1060</v>
      </c>
      <c r="C430" s="11" t="s">
        <v>969</v>
      </c>
      <c r="D430" s="11" t="s">
        <v>970</v>
      </c>
      <c r="E430" s="12" t="e">
        <f ca="1">_xludf.IFS(COUNTIF(보류목록!$B$3:$B$1000, B430)&gt;0, "-",COUNTIF(독서목록!$C$2:$C$1091, B430)=0, , COUNTIF(독서목록!$C$2:$C$1091, B430)&gt;0, COUNTIF(독서목록!$C$2:$C$1091, B430))</f>
        <v>#NAME?</v>
      </c>
      <c r="F430" s="12" t="e">
        <f ca="1">_xludf.IFS(COUNTIF(보류목록!$C$3:$C$1000, B430)&gt;0, "-",COUNTIF(독서목록!$D$2:$D$1091, B430)=0, , COUNTIF(독서목록!$D$2:$D$1091, B430)&gt;0, COUNTIF(독서목록!$D$2:$D$1091, B430))</f>
        <v>#NAME?</v>
      </c>
      <c r="G430" s="13" t="s">
        <v>551</v>
      </c>
      <c r="H430" s="13" t="s">
        <v>971</v>
      </c>
      <c r="I430" s="13" t="s">
        <v>971</v>
      </c>
    </row>
    <row r="431" spans="1:9" ht="12.75">
      <c r="A431" s="9"/>
      <c r="B431" s="10" t="s">
        <v>1061</v>
      </c>
      <c r="C431" s="11" t="s">
        <v>1062</v>
      </c>
      <c r="D431" s="11" t="s">
        <v>55</v>
      </c>
      <c r="E431" s="12" t="e">
        <f ca="1">_xludf.IFS(COUNTIF(보류목록!$B$3:$B$1000, B431)&gt;0, "-",COUNTIF(독서목록!$C$2:$C$1091, B431)=0, , COUNTIF(독서목록!$C$2:$C$1091, B431)&gt;0, COUNTIF(독서목록!$C$2:$C$1091, B431))</f>
        <v>#NAME?</v>
      </c>
      <c r="F431" s="12" t="e">
        <f ca="1">_xludf.IFS(COUNTIF(보류목록!$C$3:$C$1000, B431)&gt;0, "-",COUNTIF(독서목록!$D$2:$D$1091, B431)=0, , COUNTIF(독서목록!$D$2:$D$1091, B431)&gt;0, COUNTIF(독서목록!$D$2:$D$1091, B431))</f>
        <v>#NAME?</v>
      </c>
      <c r="G431" s="13" t="s">
        <v>982</v>
      </c>
      <c r="H431" s="13" t="s">
        <v>971</v>
      </c>
      <c r="I431" s="13" t="s">
        <v>971</v>
      </c>
    </row>
    <row r="432" spans="1:9" ht="12.75">
      <c r="A432" s="9"/>
      <c r="B432" s="10" t="s">
        <v>1063</v>
      </c>
      <c r="C432" s="11" t="s">
        <v>1064</v>
      </c>
      <c r="D432" s="11" t="s">
        <v>599</v>
      </c>
      <c r="E432" s="12" t="e">
        <f ca="1">_xludf.IFS(COUNTIF(보류목록!$B$3:$B$1000, B432)&gt;0, "-",COUNTIF(독서목록!$C$2:$C$1091, B432)=0, , COUNTIF(독서목록!$C$2:$C$1091, B432)&gt;0, COUNTIF(독서목록!$C$2:$C$1091, B432))</f>
        <v>#NAME?</v>
      </c>
      <c r="F432" s="12" t="e">
        <f ca="1">_xludf.IFS(COUNTIF(보류목록!$C$3:$C$1000, B432)&gt;0, "-",COUNTIF(독서목록!$D$2:$D$1091, B432)=0, , COUNTIF(독서목록!$D$2:$D$1091, B432)&gt;0, COUNTIF(독서목록!$D$2:$D$1091, B432))</f>
        <v>#NAME?</v>
      </c>
      <c r="G432" s="13" t="s">
        <v>554</v>
      </c>
      <c r="H432" s="13" t="s">
        <v>971</v>
      </c>
      <c r="I432" s="13" t="s">
        <v>971</v>
      </c>
    </row>
    <row r="433" spans="1:9" ht="12.75">
      <c r="A433" s="9"/>
      <c r="B433" s="10" t="s">
        <v>1065</v>
      </c>
      <c r="C433" s="11" t="s">
        <v>1066</v>
      </c>
      <c r="D433" s="11" t="s">
        <v>1059</v>
      </c>
      <c r="E433" s="12" t="e">
        <f ca="1">_xludf.IFS(COUNTIF(보류목록!$B$3:$B$1000, B433)&gt;0, "-",COUNTIF(독서목록!$C$2:$C$1091, B433)=0, , COUNTIF(독서목록!$C$2:$C$1091, B433)&gt;0, COUNTIF(독서목록!$C$2:$C$1091, B433))</f>
        <v>#NAME?</v>
      </c>
      <c r="F433" s="12" t="e">
        <f ca="1">_xludf.IFS(COUNTIF(보류목록!$C$3:$C$1000, B433)&gt;0, "-",COUNTIF(독서목록!$D$2:$D$1091, B433)=0, , COUNTIF(독서목록!$D$2:$D$1091, B433)&gt;0, COUNTIF(독서목록!$D$2:$D$1091, B433))</f>
        <v>#NAME?</v>
      </c>
      <c r="G433" s="13" t="s">
        <v>554</v>
      </c>
      <c r="H433" s="13" t="s">
        <v>971</v>
      </c>
      <c r="I433" s="13" t="s">
        <v>971</v>
      </c>
    </row>
    <row r="434" spans="1:9" ht="12.75">
      <c r="A434" s="9"/>
      <c r="B434" s="10" t="s">
        <v>1067</v>
      </c>
      <c r="C434" s="11" t="s">
        <v>1058</v>
      </c>
      <c r="D434" s="11" t="s">
        <v>471</v>
      </c>
      <c r="E434" s="12" t="e">
        <f ca="1">_xludf.IFS(COUNTIF(보류목록!$B$3:$B$1000, B434)&gt;0, "-",COUNTIF(독서목록!$C$2:$C$1091, B434)=0, , COUNTIF(독서목록!$C$2:$C$1091, B434)&gt;0, COUNTIF(독서목록!$C$2:$C$1091, B434))</f>
        <v>#NAME?</v>
      </c>
      <c r="F434" s="12" t="e">
        <f ca="1">_xludf.IFS(COUNTIF(보류목록!$C$3:$C$1000, B434)&gt;0, "-",COUNTIF(독서목록!$D$2:$D$1091, B434)=0, , COUNTIF(독서목록!$D$2:$D$1091, B434)&gt;0, COUNTIF(독서목록!$D$2:$D$1091, B434))</f>
        <v>#NAME?</v>
      </c>
      <c r="G434" s="13" t="s">
        <v>554</v>
      </c>
      <c r="H434" s="13" t="s">
        <v>971</v>
      </c>
      <c r="I434" s="13" t="s">
        <v>971</v>
      </c>
    </row>
    <row r="435" spans="1:9" ht="12.75">
      <c r="A435" s="9"/>
      <c r="B435" s="10" t="s">
        <v>1068</v>
      </c>
      <c r="C435" s="11" t="s">
        <v>1069</v>
      </c>
      <c r="D435" s="11" t="s">
        <v>422</v>
      </c>
      <c r="E435" s="12" t="e">
        <f ca="1">_xludf.IFS(COUNTIF(보류목록!$B$3:$B$1000, B435)&gt;0, "-",COUNTIF(독서목록!$C$2:$C$1091, B435)=0, , COUNTIF(독서목록!$C$2:$C$1091, B435)&gt;0, COUNTIF(독서목록!$C$2:$C$1091, B435))</f>
        <v>#NAME?</v>
      </c>
      <c r="F435" s="12" t="e">
        <f ca="1">_xludf.IFS(COUNTIF(보류목록!$C$3:$C$1000, B435)&gt;0, "-",COUNTIF(독서목록!$D$2:$D$1091, B435)=0, , COUNTIF(독서목록!$D$2:$D$1091, B435)&gt;0, COUNTIF(독서목록!$D$2:$D$1091, B435))</f>
        <v>#NAME?</v>
      </c>
      <c r="G435" s="13" t="s">
        <v>573</v>
      </c>
      <c r="H435" s="13" t="s">
        <v>971</v>
      </c>
      <c r="I435" s="13" t="s">
        <v>971</v>
      </c>
    </row>
    <row r="436" spans="1:9" ht="12.75">
      <c r="A436" s="9"/>
      <c r="B436" s="10" t="s">
        <v>1070</v>
      </c>
      <c r="C436" s="11" t="s">
        <v>1071</v>
      </c>
      <c r="D436" s="11" t="s">
        <v>115</v>
      </c>
      <c r="E436" s="12" t="e">
        <f ca="1">_xludf.IFS(COUNTIF(보류목록!$B$3:$B$1000, B436)&gt;0, "-",COUNTIF(독서목록!$C$2:$C$1091, B436)=0, , COUNTIF(독서목록!$C$2:$C$1091, B436)&gt;0, COUNTIF(독서목록!$C$2:$C$1091, B436))</f>
        <v>#NAME?</v>
      </c>
      <c r="F436" s="12" t="e">
        <f ca="1">_xludf.IFS(COUNTIF(보류목록!$C$3:$C$1000, B436)&gt;0, "-",COUNTIF(독서목록!$D$2:$D$1091, B436)=0, , COUNTIF(독서목록!$D$2:$D$1091, B436)&gt;0, COUNTIF(독서목록!$D$2:$D$1091, B436))</f>
        <v>#NAME?</v>
      </c>
      <c r="G436" s="13" t="s">
        <v>606</v>
      </c>
      <c r="H436" s="13" t="s">
        <v>971</v>
      </c>
      <c r="I436" s="13" t="s">
        <v>971</v>
      </c>
    </row>
    <row r="437" spans="1:9" ht="12.75">
      <c r="A437" s="9"/>
      <c r="B437" s="10" t="s">
        <v>1072</v>
      </c>
      <c r="C437" s="11" t="s">
        <v>1062</v>
      </c>
      <c r="D437" s="11" t="s">
        <v>55</v>
      </c>
      <c r="E437" s="12" t="e">
        <f ca="1">_xludf.IFS(COUNTIF(보류목록!$B$3:$B$1000, B437)&gt;0, "-",COUNTIF(독서목록!$C$2:$C$1091, B437)=0, , COUNTIF(독서목록!$C$2:$C$1091, B437)&gt;0, COUNTIF(독서목록!$C$2:$C$1091, B437))</f>
        <v>#NAME?</v>
      </c>
      <c r="F437" s="12" t="e">
        <f ca="1">_xludf.IFS(COUNTIF(보류목록!$C$3:$C$1000, B437)&gt;0, "-",COUNTIF(독서목록!$D$2:$D$1091, B437)=0, , COUNTIF(독서목록!$D$2:$D$1091, B437)&gt;0, COUNTIF(독서목록!$D$2:$D$1091, B437))</f>
        <v>#NAME?</v>
      </c>
      <c r="G437" s="13" t="s">
        <v>606</v>
      </c>
      <c r="H437" s="13" t="s">
        <v>971</v>
      </c>
      <c r="I437" s="13" t="s">
        <v>971</v>
      </c>
    </row>
    <row r="438" spans="1:9" ht="12.75">
      <c r="A438" s="9"/>
      <c r="B438" s="10" t="s">
        <v>1073</v>
      </c>
      <c r="C438" s="11" t="s">
        <v>1074</v>
      </c>
      <c r="D438" s="11" t="s">
        <v>229</v>
      </c>
      <c r="E438" s="12" t="e">
        <f ca="1">_xludf.IFS(COUNTIF(보류목록!$B$3:$B$1000, B438)&gt;0, "-",COUNTIF(독서목록!$C$2:$C$1091, B438)=0, , COUNTIF(독서목록!$C$2:$C$1091, B438)&gt;0, COUNTIF(독서목록!$C$2:$C$1091, B438))</f>
        <v>#NAME?</v>
      </c>
      <c r="F438" s="12" t="e">
        <f ca="1">_xludf.IFS(COUNTIF(보류목록!$C$3:$C$1000, B438)&gt;0, "-",COUNTIF(독서목록!$D$2:$D$1091, B438)=0, , COUNTIF(독서목록!$D$2:$D$1091, B438)&gt;0, COUNTIF(독서목록!$D$2:$D$1091, B438))</f>
        <v>#NAME?</v>
      </c>
      <c r="G438" s="13" t="s">
        <v>606</v>
      </c>
      <c r="H438" s="13" t="s">
        <v>971</v>
      </c>
      <c r="I438" s="13" t="s">
        <v>971</v>
      </c>
    </row>
    <row r="439" spans="1:9" ht="12.75">
      <c r="A439" s="9"/>
      <c r="B439" s="10" t="s">
        <v>1075</v>
      </c>
      <c r="C439" s="11" t="s">
        <v>120</v>
      </c>
      <c r="D439" s="11" t="s">
        <v>306</v>
      </c>
      <c r="E439" s="12" t="e">
        <f ca="1">_xludf.IFS(COUNTIF(보류목록!$B$3:$B$1000, B439)&gt;0, "-",COUNTIF(독서목록!$C$2:$C$1091, B439)=0, , COUNTIF(독서목록!$C$2:$C$1091, B439)&gt;0, COUNTIF(독서목록!$C$2:$C$1091, B439))</f>
        <v>#NAME?</v>
      </c>
      <c r="F439" s="12" t="e">
        <f ca="1">_xludf.IFS(COUNTIF(보류목록!$C$3:$C$1000, B439)&gt;0, "-",COUNTIF(독서목록!$D$2:$D$1091, B439)=0, , COUNTIF(독서목록!$D$2:$D$1091, B439)&gt;0, COUNTIF(독서목록!$D$2:$D$1091, B439))</f>
        <v>#NAME?</v>
      </c>
      <c r="G439" s="13" t="s">
        <v>625</v>
      </c>
      <c r="H439" s="13" t="s">
        <v>971</v>
      </c>
      <c r="I439" s="13" t="s">
        <v>971</v>
      </c>
    </row>
    <row r="440" spans="1:9" ht="12.75">
      <c r="A440" s="9"/>
      <c r="B440" s="10" t="s">
        <v>1076</v>
      </c>
      <c r="C440" s="11" t="s">
        <v>120</v>
      </c>
      <c r="D440" s="11" t="s">
        <v>306</v>
      </c>
      <c r="E440" s="12" t="e">
        <f ca="1">_xludf.IFS(COUNTIF(보류목록!$B$3:$B$1000, B440)&gt;0, "-",COUNTIF(독서목록!$C$2:$C$1091, B440)=0, , COUNTIF(독서목록!$C$2:$C$1091, B440)&gt;0, COUNTIF(독서목록!$C$2:$C$1091, B440))</f>
        <v>#NAME?</v>
      </c>
      <c r="F440" s="12" t="e">
        <f ca="1">_xludf.IFS(COUNTIF(보류목록!$C$3:$C$1000, B440)&gt;0, "-",COUNTIF(독서목록!$D$2:$D$1091, B440)=0, , COUNTIF(독서목록!$D$2:$D$1091, B440)&gt;0, COUNTIF(독서목록!$D$2:$D$1091, B440))</f>
        <v>#NAME?</v>
      </c>
      <c r="G440" s="13" t="s">
        <v>625</v>
      </c>
      <c r="H440" s="13" t="s">
        <v>971</v>
      </c>
      <c r="I440" s="13" t="s">
        <v>971</v>
      </c>
    </row>
    <row r="441" spans="1:9" ht="13.5">
      <c r="A441" s="9"/>
      <c r="B441" s="10" t="s">
        <v>1077</v>
      </c>
      <c r="C441" s="11" t="s">
        <v>1078</v>
      </c>
      <c r="D441" s="11" t="s">
        <v>115</v>
      </c>
      <c r="E441" s="12" t="e">
        <f ca="1">_xludf.IFS(COUNTIF(보류목록!$B$3:$B$1000, B441)&gt;0, "-",COUNTIF(독서목록!$C$2:$C$1091, B441)=0, , COUNTIF(독서목록!$C$2:$C$1091, B441)&gt;0, COUNTIF(독서목록!$C$2:$C$1091, B441))</f>
        <v>#NAME?</v>
      </c>
      <c r="F441" s="12" t="e">
        <f ca="1">_xludf.IFS(COUNTIF(보류목록!$C$3:$C$1000, B441)&gt;0, "-",COUNTIF(독서목록!$D$2:$D$1091, B441)=0, , COUNTIF(독서목록!$D$2:$D$1091, B441)&gt;0, COUNTIF(독서목록!$D$2:$D$1091, B441))</f>
        <v>#NAME?</v>
      </c>
      <c r="G441" s="13" t="s">
        <v>651</v>
      </c>
      <c r="H441" s="13" t="s">
        <v>971</v>
      </c>
      <c r="I441" s="13" t="s">
        <v>971</v>
      </c>
    </row>
    <row r="442" spans="1:9" ht="13.5">
      <c r="A442" s="9"/>
      <c r="B442" s="10" t="s">
        <v>1079</v>
      </c>
      <c r="C442" s="10" t="s">
        <v>1080</v>
      </c>
      <c r="D442" s="20" t="s">
        <v>89</v>
      </c>
      <c r="E442" s="12" t="e">
        <f ca="1">_xludf.IFS(COUNTIF(보류목록!$B$3:$B$1000, B442)&gt;0, "-",COUNTIF(독서목록!$C$2:$C$1091, B442)=0, , COUNTIF(독서목록!$C$2:$C$1091, B442)&gt;0, COUNTIF(독서목록!$C$2:$C$1091, B442))</f>
        <v>#NAME?</v>
      </c>
      <c r="F442" s="12" t="e">
        <f ca="1">_xludf.IFS(COUNTIF(보류목록!$C$3:$C$1000, B442)&gt;0, "-",COUNTIF(독서목록!$D$2:$D$1091, B442)=0, , COUNTIF(독서목록!$D$2:$D$1091, B442)&gt;0, COUNTIF(독서목록!$D$2:$D$1091, B442))</f>
        <v>#NAME?</v>
      </c>
      <c r="G442" s="21" t="s">
        <v>689</v>
      </c>
      <c r="H442" s="13" t="s">
        <v>971</v>
      </c>
      <c r="I442" s="13" t="s">
        <v>971</v>
      </c>
    </row>
    <row r="443" spans="1:9" ht="12.75">
      <c r="A443" s="9"/>
      <c r="B443" s="10" t="s">
        <v>1081</v>
      </c>
      <c r="C443" s="10" t="s">
        <v>1082</v>
      </c>
      <c r="D443" s="11" t="s">
        <v>306</v>
      </c>
      <c r="E443" s="12" t="e">
        <f ca="1">_xludf.IFS(COUNTIF(보류목록!$B$3:$B$1000, B443)&gt;0, "-",COUNTIF(독서목록!$C$2:$C$1091, B443)=0, , COUNTIF(독서목록!$C$2:$C$1091, B443)&gt;0, COUNTIF(독서목록!$C$2:$C$1091, B443))</f>
        <v>#NAME?</v>
      </c>
      <c r="F443" s="12" t="e">
        <f ca="1">_xludf.IFS(COUNTIF(보류목록!$C$3:$C$1000, B443)&gt;0, "-",COUNTIF(독서목록!$D$2:$D$1091, B443)=0, , COUNTIF(독서목록!$D$2:$D$1091, B443)&gt;0, COUNTIF(독서목록!$D$2:$D$1091, B443))</f>
        <v>#NAME?</v>
      </c>
      <c r="G443" s="13" t="s">
        <v>697</v>
      </c>
      <c r="H443" s="13" t="s">
        <v>971</v>
      </c>
      <c r="I443" s="13" t="s">
        <v>971</v>
      </c>
    </row>
    <row r="444" spans="1:9" ht="12.75">
      <c r="A444" s="9"/>
      <c r="B444" s="10" t="s">
        <v>1083</v>
      </c>
      <c r="C444" s="10" t="s">
        <v>1084</v>
      </c>
      <c r="D444" s="11" t="s">
        <v>1085</v>
      </c>
      <c r="E444" s="12" t="e">
        <f ca="1">_xludf.IFS(COUNTIF(보류목록!$B$3:$B$1000, B444)&gt;0, "-",COUNTIF(독서목록!$C$2:$C$1091, B444)=0, , COUNTIF(독서목록!$C$2:$C$1091, B444)&gt;0, COUNTIF(독서목록!$C$2:$C$1091, B444))</f>
        <v>#NAME?</v>
      </c>
      <c r="F444" s="12" t="e">
        <f ca="1">_xludf.IFS(COUNTIF(보류목록!$C$3:$C$1000, B444)&gt;0, "-",COUNTIF(독서목록!$D$2:$D$1091, B444)=0, , COUNTIF(독서목록!$D$2:$D$1091, B444)&gt;0, COUNTIF(독서목록!$D$2:$D$1091, B444))</f>
        <v>#NAME?</v>
      </c>
      <c r="G444" s="13" t="s">
        <v>1086</v>
      </c>
      <c r="H444" s="13" t="s">
        <v>971</v>
      </c>
      <c r="I444" s="13" t="s">
        <v>971</v>
      </c>
    </row>
    <row r="445" spans="1:9" ht="12.75">
      <c r="A445" s="9"/>
      <c r="B445" s="10" t="s">
        <v>1087</v>
      </c>
      <c r="C445" s="10" t="s">
        <v>1088</v>
      </c>
      <c r="D445" s="10" t="s">
        <v>118</v>
      </c>
      <c r="E445" s="12" t="e">
        <f ca="1">_xludf.IFS(COUNTIF(보류목록!$B$3:$B$1000, B445)&gt;0, "-",COUNTIF(독서목록!$C$2:$C$1091, B445)=0, , COUNTIF(독서목록!$C$2:$C$1091, B445)&gt;0, COUNTIF(독서목록!$C$2:$C$1091, B445))</f>
        <v>#NAME?</v>
      </c>
      <c r="F445" s="12" t="e">
        <f ca="1">_xludf.IFS(COUNTIF(보류목록!$C$3:$C$1000, B445)&gt;0, "-",COUNTIF(독서목록!$D$2:$D$1091, B445)=0, , COUNTIF(독서목록!$D$2:$D$1091, B445)&gt;0, COUNTIF(독서목록!$D$2:$D$1091, B445))</f>
        <v>#NAME?</v>
      </c>
      <c r="G445" s="12" t="s">
        <v>733</v>
      </c>
      <c r="H445" s="13" t="s">
        <v>971</v>
      </c>
      <c r="I445" s="13" t="s">
        <v>971</v>
      </c>
    </row>
    <row r="446" spans="1:9" ht="12.75">
      <c r="A446" s="9"/>
      <c r="B446" s="10" t="s">
        <v>1089</v>
      </c>
      <c r="C446" s="10" t="s">
        <v>766</v>
      </c>
      <c r="D446" s="10" t="s">
        <v>506</v>
      </c>
      <c r="E446" s="12" t="e">
        <f ca="1">_xludf.IFS(COUNTIF(보류목록!$B$3:$B$1000, B446)&gt;0, "-",COUNTIF(독서목록!$C$2:$C$1091, B446)=0, , COUNTIF(독서목록!$C$2:$C$1091, B446)&gt;0, COUNTIF(독서목록!$C$2:$C$1091, B446))</f>
        <v>#NAME?</v>
      </c>
      <c r="F446" s="12" t="e">
        <f ca="1">_xludf.IFS(COUNTIF(보류목록!$C$3:$C$1000, B446)&gt;0, "-",COUNTIF(독서목록!$D$2:$D$1091, B446)=0, , COUNTIF(독서목록!$D$2:$D$1091, B446)&gt;0, COUNTIF(독서목록!$D$2:$D$1091, B446))</f>
        <v>#NAME?</v>
      </c>
      <c r="G446" s="12" t="s">
        <v>733</v>
      </c>
      <c r="H446" s="13" t="s">
        <v>971</v>
      </c>
      <c r="I446" s="13" t="s">
        <v>971</v>
      </c>
    </row>
    <row r="447" spans="1:9" ht="12.75">
      <c r="A447" s="9"/>
      <c r="B447" s="10" t="s">
        <v>1090</v>
      </c>
      <c r="C447" s="10" t="s">
        <v>1091</v>
      </c>
      <c r="D447" s="10" t="s">
        <v>1092</v>
      </c>
      <c r="E447" s="12" t="e">
        <f ca="1">_xludf.IFS(COUNTIF(보류목록!$B$3:$B$1000, B447)&gt;0, "-",COUNTIF(독서목록!$C$2:$C$1091, B447)=0, , COUNTIF(독서목록!$C$2:$C$1091, B447)&gt;0, COUNTIF(독서목록!$C$2:$C$1091, B447))</f>
        <v>#NAME?</v>
      </c>
      <c r="F447" s="12" t="e">
        <f ca="1">_xludf.IFS(COUNTIF(보류목록!$C$3:$C$1000, B447)&gt;0, "-",COUNTIF(독서목록!$D$2:$D$1091, B447)=0, , COUNTIF(독서목록!$D$2:$D$1091, B447)&gt;0, COUNTIF(독서목록!$D$2:$D$1091, B447))</f>
        <v>#NAME?</v>
      </c>
      <c r="G447" s="12" t="s">
        <v>733</v>
      </c>
      <c r="H447" s="13" t="s">
        <v>971</v>
      </c>
      <c r="I447" s="13" t="s">
        <v>971</v>
      </c>
    </row>
    <row r="448" spans="1:9" ht="12.75">
      <c r="A448" s="9"/>
      <c r="B448" s="10" t="s">
        <v>1093</v>
      </c>
      <c r="C448" s="10" t="s">
        <v>1094</v>
      </c>
      <c r="D448" s="10" t="s">
        <v>471</v>
      </c>
      <c r="E448" s="12" t="e">
        <f ca="1">_xludf.IFS(COUNTIF(보류목록!$B$3:$B$1000, B448)&gt;0, "-",COUNTIF(독서목록!$C$2:$C$1091, B448)=0, , COUNTIF(독서목록!$C$2:$C$1091, B448)&gt;0, COUNTIF(독서목록!$C$2:$C$1091, B448))</f>
        <v>#NAME?</v>
      </c>
      <c r="F448" s="12" t="e">
        <f ca="1">_xludf.IFS(COUNTIF(보류목록!$C$3:$C$1000, B448)&gt;0, "-",COUNTIF(독서목록!$D$2:$D$1091, B448)=0, , COUNTIF(독서목록!$D$2:$D$1091, B448)&gt;0, COUNTIF(독서목록!$D$2:$D$1091, B448))</f>
        <v>#NAME?</v>
      </c>
      <c r="G448" s="12" t="s">
        <v>754</v>
      </c>
      <c r="H448" s="13" t="s">
        <v>971</v>
      </c>
      <c r="I448" s="13" t="s">
        <v>971</v>
      </c>
    </row>
    <row r="449" spans="1:9" ht="12.75">
      <c r="A449" s="9"/>
      <c r="B449" s="10" t="s">
        <v>1095</v>
      </c>
      <c r="C449" s="10" t="s">
        <v>1096</v>
      </c>
      <c r="D449" s="10" t="s">
        <v>7</v>
      </c>
      <c r="E449" s="12" t="e">
        <f ca="1">_xludf.IFS(COUNTIF(보류목록!$B$3:$B$1000, B449)&gt;0, "-",COUNTIF(독서목록!$C$2:$C$1091, B449)=0, , COUNTIF(독서목록!$C$2:$C$1091, B449)&gt;0, COUNTIF(독서목록!$C$2:$C$1091, B449))</f>
        <v>#NAME?</v>
      </c>
      <c r="F449" s="12" t="e">
        <f ca="1">_xludf.IFS(COUNTIF(보류목록!$C$3:$C$1000, B449)&gt;0, "-",COUNTIF(독서목록!$D$2:$D$1091, B449)=0, , COUNTIF(독서목록!$D$2:$D$1091, B449)&gt;0, COUNTIF(독서목록!$D$2:$D$1091, B449))</f>
        <v>#NAME?</v>
      </c>
      <c r="G449" s="12" t="s">
        <v>758</v>
      </c>
      <c r="H449" s="13" t="s">
        <v>971</v>
      </c>
      <c r="I449" s="13" t="s">
        <v>971</v>
      </c>
    </row>
    <row r="450" spans="1:9" ht="12.75">
      <c r="A450" s="9"/>
      <c r="B450" s="10" t="s">
        <v>1097</v>
      </c>
      <c r="C450" s="10" t="s">
        <v>1098</v>
      </c>
      <c r="D450" s="10" t="s">
        <v>1099</v>
      </c>
      <c r="E450" s="12" t="e">
        <f ca="1">_xludf.IFS(COUNTIF(보류목록!$B$3:$B$1000, B450)&gt;0, "-",COUNTIF(독서목록!$C$2:$C$1091, B450)=0, , COUNTIF(독서목록!$C$2:$C$1091, B450)&gt;0, COUNTIF(독서목록!$C$2:$C$1091, B450))</f>
        <v>#NAME?</v>
      </c>
      <c r="F450" s="12" t="e">
        <f ca="1">_xludf.IFS(COUNTIF(보류목록!$C$3:$C$1000, B450)&gt;0, "-",COUNTIF(독서목록!$D$2:$D$1091, B450)=0, , COUNTIF(독서목록!$D$2:$D$1091, B450)&gt;0, COUNTIF(독서목록!$D$2:$D$1091, B450))</f>
        <v>#NAME?</v>
      </c>
      <c r="G450" s="12" t="s">
        <v>767</v>
      </c>
      <c r="H450" s="13" t="s">
        <v>971</v>
      </c>
      <c r="I450" s="13" t="s">
        <v>971</v>
      </c>
    </row>
    <row r="451" spans="1:9" ht="12.75">
      <c r="A451" s="9"/>
      <c r="B451" s="10" t="s">
        <v>1100</v>
      </c>
      <c r="C451" s="10" t="s">
        <v>988</v>
      </c>
      <c r="D451" s="10" t="s">
        <v>211</v>
      </c>
      <c r="E451" s="12" t="e">
        <f ca="1">_xludf.IFS(COUNTIF(보류목록!$B$3:$B$1000, B451)&gt;0, "-",COUNTIF(독서목록!$C$2:$C$1091, B451)=0, , COUNTIF(독서목록!$C$2:$C$1091, B451)&gt;0, COUNTIF(독서목록!$C$2:$C$1091, B451))</f>
        <v>#NAME?</v>
      </c>
      <c r="F451" s="12" t="e">
        <f ca="1">_xludf.IFS(COUNTIF(보류목록!$C$3:$C$1000, B451)&gt;0, "-",COUNTIF(독서목록!$D$2:$D$1091, B451)=0, , COUNTIF(독서목록!$D$2:$D$1091, B451)&gt;0, COUNTIF(독서목록!$D$2:$D$1091, B451))</f>
        <v>#NAME?</v>
      </c>
      <c r="G451" s="12" t="s">
        <v>767</v>
      </c>
      <c r="H451" s="13" t="s">
        <v>971</v>
      </c>
      <c r="I451" s="13" t="s">
        <v>971</v>
      </c>
    </row>
    <row r="452" spans="1:9" ht="12.75">
      <c r="A452" s="9"/>
      <c r="B452" s="10" t="s">
        <v>1101</v>
      </c>
      <c r="C452" s="10" t="s">
        <v>1102</v>
      </c>
      <c r="D452" s="10" t="s">
        <v>1103</v>
      </c>
      <c r="E452" s="12" t="e">
        <f ca="1">_xludf.IFS(COUNTIF(보류목록!$B$3:$B$1000, B452)&gt;0, "-",COUNTIF(독서목록!$C$2:$C$1091, B452)=0, , COUNTIF(독서목록!$C$2:$C$1091, B452)&gt;0, COUNTIF(독서목록!$C$2:$C$1091, B452))</f>
        <v>#NAME?</v>
      </c>
      <c r="F452" s="12" t="e">
        <f ca="1">_xludf.IFS(COUNTIF(보류목록!$C$3:$C$1000, B452)&gt;0, "-",COUNTIF(독서목록!$D$2:$D$1091, B452)=0, , COUNTIF(독서목록!$D$2:$D$1091, B452)&gt;0, COUNTIF(독서목록!$D$2:$D$1091, B452))</f>
        <v>#NAME?</v>
      </c>
      <c r="G452" s="12" t="s">
        <v>777</v>
      </c>
      <c r="H452" s="13" t="s">
        <v>971</v>
      </c>
      <c r="I452" s="13" t="s">
        <v>971</v>
      </c>
    </row>
    <row r="453" spans="1:9" ht="12.75">
      <c r="A453" s="9"/>
      <c r="B453" s="10" t="s">
        <v>1104</v>
      </c>
      <c r="C453" s="10" t="s">
        <v>1102</v>
      </c>
      <c r="D453" s="10" t="s">
        <v>1103</v>
      </c>
      <c r="E453" s="12" t="e">
        <f ca="1">_xludf.IFS(COUNTIF(보류목록!$B$3:$B$1000, B453)&gt;0, "-",COUNTIF(독서목록!$C$2:$C$1091, B453)=0, , COUNTIF(독서목록!$C$2:$C$1091, B453)&gt;0, COUNTIF(독서목록!$C$2:$C$1091, B453))</f>
        <v>#NAME?</v>
      </c>
      <c r="F453" s="12" t="e">
        <f ca="1">_xludf.IFS(COUNTIF(보류목록!$C$3:$C$1000, B453)&gt;0, "-",COUNTIF(독서목록!$D$2:$D$1091, B453)=0, , COUNTIF(독서목록!$D$2:$D$1091, B453)&gt;0, COUNTIF(독서목록!$D$2:$D$1091, B453))</f>
        <v>#NAME?</v>
      </c>
      <c r="G453" s="12" t="s">
        <v>777</v>
      </c>
      <c r="H453" s="13" t="s">
        <v>971</v>
      </c>
      <c r="I453" s="13" t="s">
        <v>971</v>
      </c>
    </row>
    <row r="454" spans="1:9" ht="12.75">
      <c r="A454" s="9"/>
      <c r="B454" s="10" t="s">
        <v>1105</v>
      </c>
      <c r="C454" s="10" t="s">
        <v>1106</v>
      </c>
      <c r="D454" s="10" t="s">
        <v>1107</v>
      </c>
      <c r="E454" s="12" t="e">
        <f ca="1">_xludf.IFS(COUNTIF(보류목록!$B$3:$B$1000, B454)&gt;0, "-",COUNTIF(독서목록!$C$2:$C$1091, B454)=0, , COUNTIF(독서목록!$C$2:$C$1091, B454)&gt;0, COUNTIF(독서목록!$C$2:$C$1091, B454))</f>
        <v>#NAME?</v>
      </c>
      <c r="F454" s="12" t="e">
        <f ca="1">_xludf.IFS(COUNTIF(보류목록!$C$3:$C$1000, B454)&gt;0, "-",COUNTIF(독서목록!$D$2:$D$1091, B454)=0, , COUNTIF(독서목록!$D$2:$D$1091, B454)&gt;0, COUNTIF(독서목록!$D$2:$D$1091, B454))</f>
        <v>#NAME?</v>
      </c>
      <c r="G454" s="12" t="s">
        <v>786</v>
      </c>
      <c r="H454" s="13" t="s">
        <v>971</v>
      </c>
      <c r="I454" s="13" t="s">
        <v>971</v>
      </c>
    </row>
    <row r="455" spans="1:9" ht="12.75">
      <c r="A455" s="9"/>
      <c r="B455" s="10" t="s">
        <v>1108</v>
      </c>
      <c r="C455" s="10" t="s">
        <v>1109</v>
      </c>
      <c r="D455" s="10" t="s">
        <v>791</v>
      </c>
      <c r="E455" s="12" t="e">
        <f ca="1">_xludf.IFS(COUNTIF(보류목록!$B$3:$B$1000, B455)&gt;0, "-",COUNTIF(독서목록!$C$2:$C$1091, B455)=0, , COUNTIF(독서목록!$C$2:$C$1091, B455)&gt;0, COUNTIF(독서목록!$C$2:$C$1091, B455))</f>
        <v>#NAME?</v>
      </c>
      <c r="F455" s="12" t="e">
        <f ca="1">_xludf.IFS(COUNTIF(보류목록!$C$3:$C$1000, B455)&gt;0, "-",COUNTIF(독서목록!$D$2:$D$1091, B455)=0, , COUNTIF(독서목록!$D$2:$D$1091, B455)&gt;0, COUNTIF(독서목록!$D$2:$D$1091, B455))</f>
        <v>#NAME?</v>
      </c>
      <c r="G455" s="12" t="s">
        <v>786</v>
      </c>
      <c r="H455" s="13" t="s">
        <v>971</v>
      </c>
      <c r="I455" s="13" t="s">
        <v>971</v>
      </c>
    </row>
    <row r="456" spans="1:9" ht="12.75">
      <c r="A456" s="9"/>
      <c r="B456" s="10" t="s">
        <v>1110</v>
      </c>
      <c r="C456" s="10" t="s">
        <v>796</v>
      </c>
      <c r="D456" s="10" t="s">
        <v>15</v>
      </c>
      <c r="E456" s="12" t="e">
        <f ca="1">_xludf.IFS(COUNTIF(보류목록!$B$3:$B$1000, B456)&gt;0, "-",COUNTIF(독서목록!$C$2:$C$1091, B456)=0, , COUNTIF(독서목록!$C$2:$C$1091, B456)&gt;0, COUNTIF(독서목록!$C$2:$C$1091, B456))</f>
        <v>#NAME?</v>
      </c>
      <c r="F456" s="12" t="e">
        <f ca="1">_xludf.IFS(COUNTIF(보류목록!$C$3:$C$1000, B456)&gt;0, "-",COUNTIF(독서목록!$D$2:$D$1091, B456)=0, , COUNTIF(독서목록!$D$2:$D$1091, B456)&gt;0, COUNTIF(독서목록!$D$2:$D$1091, B456))</f>
        <v>#NAME?</v>
      </c>
      <c r="G456" s="12" t="s">
        <v>797</v>
      </c>
      <c r="H456" s="13" t="s">
        <v>971</v>
      </c>
      <c r="I456" s="13" t="s">
        <v>971</v>
      </c>
    </row>
    <row r="457" spans="1:9" ht="12.75">
      <c r="A457" s="9"/>
      <c r="B457" s="10" t="s">
        <v>1111</v>
      </c>
      <c r="C457" s="10" t="s">
        <v>796</v>
      </c>
      <c r="D457" s="10" t="s">
        <v>15</v>
      </c>
      <c r="E457" s="12" t="e">
        <f ca="1">_xludf.IFS(COUNTIF(보류목록!$B$3:$B$1000, B457)&gt;0, "-",COUNTIF(독서목록!$C$2:$C$1091, B457)=0, , COUNTIF(독서목록!$C$2:$C$1091, B457)&gt;0, COUNTIF(독서목록!$C$2:$C$1091, B457))</f>
        <v>#NAME?</v>
      </c>
      <c r="F457" s="12" t="e">
        <f ca="1">_xludf.IFS(COUNTIF(보류목록!$C$3:$C$1000, B457)&gt;0, "-",COUNTIF(독서목록!$D$2:$D$1091, B457)=0, , COUNTIF(독서목록!$D$2:$D$1091, B457)&gt;0, COUNTIF(독서목록!$D$2:$D$1091, B457))</f>
        <v>#NAME?</v>
      </c>
      <c r="G457" s="12" t="s">
        <v>797</v>
      </c>
      <c r="H457" s="13" t="s">
        <v>971</v>
      </c>
      <c r="I457" s="13" t="s">
        <v>971</v>
      </c>
    </row>
    <row r="458" spans="1:9" ht="12.75">
      <c r="A458" s="9"/>
      <c r="B458" s="10" t="s">
        <v>1112</v>
      </c>
      <c r="C458" s="10" t="s">
        <v>796</v>
      </c>
      <c r="D458" s="10" t="s">
        <v>15</v>
      </c>
      <c r="E458" s="12" t="e">
        <f ca="1">_xludf.IFS(COUNTIF(보류목록!$B$3:$B$1000, B458)&gt;0, "-",COUNTIF(독서목록!$C$2:$C$1091, B458)=0, , COUNTIF(독서목록!$C$2:$C$1091, B458)&gt;0, COUNTIF(독서목록!$C$2:$C$1091, B458))</f>
        <v>#NAME?</v>
      </c>
      <c r="F458" s="12" t="e">
        <f ca="1">_xludf.IFS(COUNTIF(보류목록!$C$3:$C$1000, B458)&gt;0, "-",COUNTIF(독서목록!$D$2:$D$1091, B458)=0, , COUNTIF(독서목록!$D$2:$D$1091, B458)&gt;0, COUNTIF(독서목록!$D$2:$D$1091, B458))</f>
        <v>#NAME?</v>
      </c>
      <c r="G458" s="12" t="s">
        <v>797</v>
      </c>
      <c r="H458" s="13" t="s">
        <v>971</v>
      </c>
      <c r="I458" s="13" t="s">
        <v>971</v>
      </c>
    </row>
    <row r="459" spans="1:9" ht="12.75">
      <c r="A459" s="9"/>
      <c r="B459" s="10" t="s">
        <v>1113</v>
      </c>
      <c r="C459" s="10" t="s">
        <v>796</v>
      </c>
      <c r="D459" s="10" t="s">
        <v>15</v>
      </c>
      <c r="E459" s="12" t="e">
        <f ca="1">_xludf.IFS(COUNTIF(보류목록!$B$3:$B$1000, B459)&gt;0, "-",COUNTIF(독서목록!$C$2:$C$1091, B459)=0, , COUNTIF(독서목록!$C$2:$C$1091, B459)&gt;0, COUNTIF(독서목록!$C$2:$C$1091, B459))</f>
        <v>#NAME?</v>
      </c>
      <c r="F459" s="12" t="e">
        <f ca="1">_xludf.IFS(COUNTIF(보류목록!$C$3:$C$1000, B459)&gt;0, "-",COUNTIF(독서목록!$D$2:$D$1091, B459)=0, , COUNTIF(독서목록!$D$2:$D$1091, B459)&gt;0, COUNTIF(독서목록!$D$2:$D$1091, B459))</f>
        <v>#NAME?</v>
      </c>
      <c r="G459" s="12" t="s">
        <v>797</v>
      </c>
      <c r="H459" s="13" t="s">
        <v>971</v>
      </c>
      <c r="I459" s="13" t="s">
        <v>971</v>
      </c>
    </row>
    <row r="460" spans="1:9" ht="12.75">
      <c r="A460" s="9"/>
      <c r="B460" s="10" t="s">
        <v>1114</v>
      </c>
      <c r="C460" s="10" t="s">
        <v>796</v>
      </c>
      <c r="D460" s="10" t="s">
        <v>15</v>
      </c>
      <c r="E460" s="12" t="e">
        <f ca="1">_xludf.IFS(COUNTIF(보류목록!$B$3:$B$1000, B460)&gt;0, "-",COUNTIF(독서목록!$C$2:$C$1091, B460)=0, , COUNTIF(독서목록!$C$2:$C$1091, B460)&gt;0, COUNTIF(독서목록!$C$2:$C$1091, B460))</f>
        <v>#NAME?</v>
      </c>
      <c r="F460" s="12" t="e">
        <f ca="1">_xludf.IFS(COUNTIF(보류목록!$C$3:$C$1000, B460)&gt;0, "-",COUNTIF(독서목록!$D$2:$D$1091, B460)=0, , COUNTIF(독서목록!$D$2:$D$1091, B460)&gt;0, COUNTIF(독서목록!$D$2:$D$1091, B460))</f>
        <v>#NAME?</v>
      </c>
      <c r="G460" s="12" t="s">
        <v>797</v>
      </c>
      <c r="H460" s="13" t="s">
        <v>971</v>
      </c>
      <c r="I460" s="13" t="s">
        <v>971</v>
      </c>
    </row>
    <row r="461" spans="1:9" ht="12.75">
      <c r="A461" s="9"/>
      <c r="B461" s="10" t="s">
        <v>1115</v>
      </c>
      <c r="C461" s="10" t="s">
        <v>796</v>
      </c>
      <c r="D461" s="10" t="s">
        <v>15</v>
      </c>
      <c r="E461" s="12" t="e">
        <f ca="1">_xludf.IFS(COUNTIF(보류목록!$B$3:$B$1000, B461)&gt;0, "-",COUNTIF(독서목록!$C$2:$C$1091, B461)=0, , COUNTIF(독서목록!$C$2:$C$1091, B461)&gt;0, COUNTIF(독서목록!$C$2:$C$1091, B461))</f>
        <v>#NAME?</v>
      </c>
      <c r="F461" s="12" t="e">
        <f ca="1">_xludf.IFS(COUNTIF(보류목록!$C$3:$C$1000, B461)&gt;0, "-",COUNTIF(독서목록!$D$2:$D$1091, B461)=0, , COUNTIF(독서목록!$D$2:$D$1091, B461)&gt;0, COUNTIF(독서목록!$D$2:$D$1091, B461))</f>
        <v>#NAME?</v>
      </c>
      <c r="G461" s="12" t="s">
        <v>797</v>
      </c>
      <c r="H461" s="13" t="s">
        <v>971</v>
      </c>
      <c r="I461" s="13" t="s">
        <v>971</v>
      </c>
    </row>
    <row r="462" spans="1:9" ht="12.75">
      <c r="A462" s="9"/>
      <c r="B462" s="10" t="s">
        <v>1116</v>
      </c>
      <c r="C462" s="10" t="s">
        <v>796</v>
      </c>
      <c r="D462" s="10" t="s">
        <v>15</v>
      </c>
      <c r="E462" s="12" t="e">
        <f ca="1">_xludf.IFS(COUNTIF(보류목록!$B$3:$B$1000, B462)&gt;0, "-",COUNTIF(독서목록!$C$2:$C$1091, B462)=0, , COUNTIF(독서목록!$C$2:$C$1091, B462)&gt;0, COUNTIF(독서목록!$C$2:$C$1091, B462))</f>
        <v>#NAME?</v>
      </c>
      <c r="F462" s="12" t="e">
        <f ca="1">_xludf.IFS(COUNTIF(보류목록!$C$3:$C$1000, B462)&gt;0, "-",COUNTIF(독서목록!$D$2:$D$1091, B462)=0, , COUNTIF(독서목록!$D$2:$D$1091, B462)&gt;0, COUNTIF(독서목록!$D$2:$D$1091, B462))</f>
        <v>#NAME?</v>
      </c>
      <c r="G462" s="12" t="s">
        <v>797</v>
      </c>
      <c r="H462" s="13" t="s">
        <v>971</v>
      </c>
      <c r="I462" s="13" t="s">
        <v>971</v>
      </c>
    </row>
    <row r="463" spans="1:9" ht="12.75">
      <c r="A463" s="9"/>
      <c r="B463" s="10" t="s">
        <v>1117</v>
      </c>
      <c r="C463" s="10" t="s">
        <v>796</v>
      </c>
      <c r="D463" s="10" t="s">
        <v>15</v>
      </c>
      <c r="E463" s="12" t="e">
        <f ca="1">_xludf.IFS(COUNTIF(보류목록!$B$3:$B$1000, B463)&gt;0, "-",COUNTIF(독서목록!$C$2:$C$1091, B463)=0, , COUNTIF(독서목록!$C$2:$C$1091, B463)&gt;0, COUNTIF(독서목록!$C$2:$C$1091, B463))</f>
        <v>#NAME?</v>
      </c>
      <c r="F463" s="12" t="e">
        <f ca="1">_xludf.IFS(COUNTIF(보류목록!$C$3:$C$1000, B463)&gt;0, "-",COUNTIF(독서목록!$D$2:$D$1091, B463)=0, , COUNTIF(독서목록!$D$2:$D$1091, B463)&gt;0, COUNTIF(독서목록!$D$2:$D$1091, B463))</f>
        <v>#NAME?</v>
      </c>
      <c r="G463" s="12" t="s">
        <v>797</v>
      </c>
      <c r="H463" s="13" t="s">
        <v>971</v>
      </c>
      <c r="I463" s="13" t="s">
        <v>971</v>
      </c>
    </row>
    <row r="464" spans="1:9" ht="12.75">
      <c r="A464" s="9"/>
      <c r="B464" s="10" t="s">
        <v>1118</v>
      </c>
      <c r="C464" s="10" t="s">
        <v>1017</v>
      </c>
      <c r="D464" s="10" t="s">
        <v>509</v>
      </c>
      <c r="E464" s="12" t="e">
        <f ca="1">_xludf.IFS(COUNTIF(보류목록!$B$3:$B$1000, B464)&gt;0, "-",COUNTIF(독서목록!$C$2:$C$1091, B464)=0, , COUNTIF(독서목록!$C$2:$C$1091, B464)&gt;0, COUNTIF(독서목록!$C$2:$C$1091, B464))</f>
        <v>#NAME?</v>
      </c>
      <c r="F464" s="12" t="e">
        <f ca="1">_xludf.IFS(COUNTIF(보류목록!$C$3:$C$1000, B464)&gt;0, "-",COUNTIF(독서목록!$D$2:$D$1091, B464)=0, , COUNTIF(독서목록!$D$2:$D$1091, B464)&gt;0, COUNTIF(독서목록!$D$2:$D$1091, B464))</f>
        <v>#NAME?</v>
      </c>
      <c r="G464" s="12" t="s">
        <v>1119</v>
      </c>
      <c r="H464" s="13" t="s">
        <v>971</v>
      </c>
      <c r="I464" s="13" t="s">
        <v>971</v>
      </c>
    </row>
    <row r="465" spans="1:9" ht="12.75">
      <c r="A465" s="9"/>
      <c r="B465" s="10" t="s">
        <v>1120</v>
      </c>
      <c r="C465" s="10" t="s">
        <v>1017</v>
      </c>
      <c r="D465" s="10" t="s">
        <v>1050</v>
      </c>
      <c r="E465" s="12" t="e">
        <f ca="1">_xludf.IFS(COUNTIF(보류목록!$B$3:$B$1000, B465)&gt;0, "-",COUNTIF(독서목록!$C$2:$C$1091, B465)=0, , COUNTIF(독서목록!$C$2:$C$1091, B465)&gt;0, COUNTIF(독서목록!$C$2:$C$1091, B465))</f>
        <v>#NAME?</v>
      </c>
      <c r="F465" s="12" t="e">
        <f ca="1">_xludf.IFS(COUNTIF(보류목록!$C$3:$C$1000, B465)&gt;0, "-",COUNTIF(독서목록!$D$2:$D$1091, B465)=0, , COUNTIF(독서목록!$D$2:$D$1091, B465)&gt;0, COUNTIF(독서목록!$D$2:$D$1091, B465))</f>
        <v>#NAME?</v>
      </c>
      <c r="G465" s="12" t="s">
        <v>1119</v>
      </c>
      <c r="H465" s="13" t="s">
        <v>971</v>
      </c>
      <c r="I465" s="13" t="s">
        <v>971</v>
      </c>
    </row>
    <row r="466" spans="1:9" ht="12.75">
      <c r="A466" s="9"/>
      <c r="B466" s="10" t="s">
        <v>1121</v>
      </c>
      <c r="C466" s="10" t="s">
        <v>1122</v>
      </c>
      <c r="D466" s="10" t="s">
        <v>105</v>
      </c>
      <c r="E466" s="12" t="e">
        <f ca="1">_xludf.IFS(COUNTIF(보류목록!$B$3:$B$1000, B466)&gt;0, "-",COUNTIF(독서목록!$C$2:$C$1091, B466)=0, , COUNTIF(독서목록!$C$2:$C$1091, B466)&gt;0, COUNTIF(독서목록!$C$2:$C$1091, B466))</f>
        <v>#NAME?</v>
      </c>
      <c r="F466" s="12" t="e">
        <f ca="1">_xludf.IFS(COUNTIF(보류목록!$C$3:$C$1000, B466)&gt;0, "-",COUNTIF(독서목록!$D$2:$D$1091, B466)=0, , COUNTIF(독서목록!$D$2:$D$1091, B466)&gt;0, COUNTIF(독서목록!$D$2:$D$1091, B466))</f>
        <v>#NAME?</v>
      </c>
      <c r="G466" s="12" t="s">
        <v>808</v>
      </c>
      <c r="H466" s="13" t="s">
        <v>971</v>
      </c>
      <c r="I466" s="13" t="s">
        <v>971</v>
      </c>
    </row>
    <row r="467" spans="1:9" ht="12.75">
      <c r="A467" s="9"/>
      <c r="B467" s="10" t="s">
        <v>1123</v>
      </c>
      <c r="C467" s="10" t="s">
        <v>1124</v>
      </c>
      <c r="D467" s="10" t="s">
        <v>435</v>
      </c>
      <c r="E467" s="12" t="e">
        <f ca="1">_xludf.IFS(COUNTIF(보류목록!$B$3:$B$1000, B467)&gt;0, "-",COUNTIF(독서목록!$C$2:$C$1091, B467)=0, , COUNTIF(독서목록!$C$2:$C$1091, B467)&gt;0, COUNTIF(독서목록!$C$2:$C$1091, B467))</f>
        <v>#NAME?</v>
      </c>
      <c r="F467" s="12" t="e">
        <f ca="1">_xludf.IFS(COUNTIF(보류목록!$C$3:$C$1000, B467)&gt;0, "-",COUNTIF(독서목록!$D$2:$D$1091, B467)=0, , COUNTIF(독서목록!$D$2:$D$1091, B467)&gt;0, COUNTIF(독서목록!$D$2:$D$1091, B467))</f>
        <v>#NAME?</v>
      </c>
      <c r="G467" s="12" t="s">
        <v>808</v>
      </c>
      <c r="H467" s="13" t="s">
        <v>971</v>
      </c>
      <c r="I467" s="13" t="s">
        <v>971</v>
      </c>
    </row>
    <row r="468" spans="1:9" ht="12.75">
      <c r="A468" s="9"/>
      <c r="B468" s="10" t="s">
        <v>1125</v>
      </c>
      <c r="C468" s="10" t="s">
        <v>179</v>
      </c>
      <c r="D468" s="10" t="s">
        <v>791</v>
      </c>
      <c r="E468" s="12" t="e">
        <f ca="1">_xludf.IFS(COUNTIF(보류목록!$B$3:$B$1000, B468)&gt;0, "-",COUNTIF(독서목록!$C$2:$C$1091, B468)=0, , COUNTIF(독서목록!$C$2:$C$1091, B468)&gt;0, COUNTIF(독서목록!$C$2:$C$1091, B468))</f>
        <v>#NAME?</v>
      </c>
      <c r="F468" s="12" t="e">
        <f ca="1">_xludf.IFS(COUNTIF(보류목록!$C$3:$C$1000, B468)&gt;0, "-",COUNTIF(독서목록!$D$2:$D$1091, B468)=0, , COUNTIF(독서목록!$D$2:$D$1091, B468)&gt;0, COUNTIF(독서목록!$D$2:$D$1091, B468))</f>
        <v>#NAME?</v>
      </c>
      <c r="G468" s="12" t="s">
        <v>808</v>
      </c>
      <c r="H468" s="13" t="s">
        <v>971</v>
      </c>
      <c r="I468" s="13" t="s">
        <v>971</v>
      </c>
    </row>
    <row r="469" spans="1:9" ht="12.75">
      <c r="A469" s="9"/>
      <c r="B469" s="10" t="s">
        <v>1126</v>
      </c>
      <c r="C469" s="10" t="s">
        <v>1127</v>
      </c>
      <c r="D469" s="10" t="s">
        <v>1128</v>
      </c>
      <c r="E469" s="12" t="e">
        <f ca="1">_xludf.IFS(COUNTIF(보류목록!$B$3:$B$1000, B469)&gt;0, "-",COUNTIF(독서목록!$C$2:$C$1091, B469)=0, , COUNTIF(독서목록!$C$2:$C$1091, B469)&gt;0, COUNTIF(독서목록!$C$2:$C$1091, B469))</f>
        <v>#NAME?</v>
      </c>
      <c r="F469" s="12" t="e">
        <f ca="1">_xludf.IFS(COUNTIF(보류목록!$C$3:$C$1000, B469)&gt;0, "-",COUNTIF(독서목록!$D$2:$D$1091, B469)=0, , COUNTIF(독서목록!$D$2:$D$1091, B469)&gt;0, COUNTIF(독서목록!$D$2:$D$1091, B469))</f>
        <v>#NAME?</v>
      </c>
      <c r="G469" s="12" t="s">
        <v>1129</v>
      </c>
      <c r="H469" s="13" t="s">
        <v>971</v>
      </c>
      <c r="I469" s="13" t="s">
        <v>971</v>
      </c>
    </row>
    <row r="470" spans="1:9" ht="24">
      <c r="A470" s="9"/>
      <c r="B470" s="10" t="s">
        <v>1130</v>
      </c>
      <c r="C470" s="10" t="s">
        <v>1131</v>
      </c>
      <c r="D470" s="10" t="s">
        <v>1132</v>
      </c>
      <c r="E470" s="12" t="e">
        <f ca="1">_xludf.IFS(COUNTIF(보류목록!$B$3:$B$1000, B470)&gt;0, "-",COUNTIF(독서목록!$C$2:$C$1091, B470)=0, , COUNTIF(독서목록!$C$2:$C$1091, B470)&gt;0, COUNTIF(독서목록!$C$2:$C$1091, B470))</f>
        <v>#NAME?</v>
      </c>
      <c r="F470" s="12" t="e">
        <f ca="1">_xludf.IFS(COUNTIF(보류목록!$C$3:$C$1000, B470)&gt;0, "-",COUNTIF(독서목록!$D$2:$D$1091, B470)=0, , COUNTIF(독서목록!$D$2:$D$1091, B470)&gt;0, COUNTIF(독서목록!$D$2:$D$1091, B470))</f>
        <v>#NAME?</v>
      </c>
      <c r="G470" s="12" t="s">
        <v>813</v>
      </c>
      <c r="H470" s="13" t="s">
        <v>971</v>
      </c>
      <c r="I470" s="13" t="s">
        <v>971</v>
      </c>
    </row>
    <row r="471" spans="1:9" ht="12.75">
      <c r="A471" s="9"/>
      <c r="B471" s="10" t="s">
        <v>1133</v>
      </c>
      <c r="C471" s="10" t="s">
        <v>530</v>
      </c>
      <c r="D471" s="10" t="s">
        <v>1134</v>
      </c>
      <c r="E471" s="12" t="e">
        <f ca="1">_xludf.IFS(COUNTIF(보류목록!$B$3:$B$1000, B471)&gt;0, "-",COUNTIF(독서목록!$C$2:$C$1091, B471)=0, , COUNTIF(독서목록!$C$2:$C$1091, B471)&gt;0, COUNTIF(독서목록!$C$2:$C$1091, B471))</f>
        <v>#NAME?</v>
      </c>
      <c r="F471" s="12" t="e">
        <f ca="1">_xludf.IFS(COUNTIF(보류목록!$C$3:$C$1000, B471)&gt;0, "-",COUNTIF(독서목록!$D$2:$D$1091, B471)=0, , COUNTIF(독서목록!$D$2:$D$1091, B471)&gt;0, COUNTIF(독서목록!$D$2:$D$1091, B471))</f>
        <v>#NAME?</v>
      </c>
      <c r="G471" s="12" t="s">
        <v>813</v>
      </c>
      <c r="H471" s="13" t="s">
        <v>971</v>
      </c>
      <c r="I471" s="13" t="s">
        <v>971</v>
      </c>
    </row>
    <row r="472" spans="1:9" ht="12.75">
      <c r="A472" s="9"/>
      <c r="B472" s="10" t="s">
        <v>1135</v>
      </c>
      <c r="C472" s="10" t="s">
        <v>1136</v>
      </c>
      <c r="D472" s="10" t="s">
        <v>527</v>
      </c>
      <c r="E472" s="12" t="e">
        <f ca="1">_xludf.IFS(COUNTIF(보류목록!$B$3:$B$1000, B472)&gt;0, "-",COUNTIF(독서목록!$C$2:$C$1091, B472)=0, , COUNTIF(독서목록!$C$2:$C$1091, B472)&gt;0, COUNTIF(독서목록!$C$2:$C$1091, B472))</f>
        <v>#NAME?</v>
      </c>
      <c r="F472" s="12" t="e">
        <f ca="1">_xludf.IFS(COUNTIF(보류목록!$C$3:$C$1000, B472)&gt;0, "-",COUNTIF(독서목록!$D$2:$D$1091, B472)=0, , COUNTIF(독서목록!$D$2:$D$1091, B472)&gt;0, COUNTIF(독서목록!$D$2:$D$1091, B472))</f>
        <v>#NAME?</v>
      </c>
      <c r="G472" s="12" t="s">
        <v>813</v>
      </c>
      <c r="H472" s="13" t="s">
        <v>971</v>
      </c>
      <c r="I472" s="13" t="s">
        <v>971</v>
      </c>
    </row>
    <row r="473" spans="1:9" ht="24">
      <c r="A473" s="9"/>
      <c r="B473" s="10" t="s">
        <v>1137</v>
      </c>
      <c r="C473" s="10" t="s">
        <v>1138</v>
      </c>
      <c r="D473" s="10" t="s">
        <v>1138</v>
      </c>
      <c r="E473" s="12" t="e">
        <f ca="1">_xludf.IFS(COUNTIF(보류목록!$B$3:$B$1000, B473)&gt;0, "-",COUNTIF(독서목록!$C$2:$C$1091, B473)=0, , COUNTIF(독서목록!$C$2:$C$1091, B473)&gt;0, COUNTIF(독서목록!$C$2:$C$1091, B473))</f>
        <v>#NAME?</v>
      </c>
      <c r="F473" s="12" t="e">
        <f ca="1">_xludf.IFS(COUNTIF(보류목록!$C$3:$C$1000, B473)&gt;0, "-",COUNTIF(독서목록!$D$2:$D$1091, B473)=0, , COUNTIF(독서목록!$D$2:$D$1091, B473)&gt;0, COUNTIF(독서목록!$D$2:$D$1091, B473))</f>
        <v>#NAME?</v>
      </c>
      <c r="G473" s="12" t="s">
        <v>1139</v>
      </c>
      <c r="H473" s="13" t="s">
        <v>971</v>
      </c>
      <c r="I473" s="13" t="s">
        <v>971</v>
      </c>
    </row>
    <row r="474" spans="1:9" ht="24">
      <c r="A474" s="9"/>
      <c r="B474" s="10" t="s">
        <v>1140</v>
      </c>
      <c r="C474" s="10" t="s">
        <v>1138</v>
      </c>
      <c r="D474" s="10" t="s">
        <v>1138</v>
      </c>
      <c r="E474" s="12" t="e">
        <f ca="1">_xludf.IFS(COUNTIF(보류목록!$B$3:$B$1000, B474)&gt;0, "-",COUNTIF(독서목록!$C$2:$C$1091, B474)=0, , COUNTIF(독서목록!$C$2:$C$1091, B474)&gt;0, COUNTIF(독서목록!$C$2:$C$1091, B474))</f>
        <v>#NAME?</v>
      </c>
      <c r="F474" s="12" t="e">
        <f ca="1">_xludf.IFS(COUNTIF(보류목록!$C$3:$C$1000, B474)&gt;0, "-",COUNTIF(독서목록!$D$2:$D$1091, B474)=0, , COUNTIF(독서목록!$D$2:$D$1091, B474)&gt;0, COUNTIF(독서목록!$D$2:$D$1091, B474))</f>
        <v>#NAME?</v>
      </c>
      <c r="G474" s="12" t="s">
        <v>1139</v>
      </c>
      <c r="H474" s="13" t="s">
        <v>971</v>
      </c>
      <c r="I474" s="13" t="s">
        <v>971</v>
      </c>
    </row>
    <row r="475" spans="1:9" ht="24">
      <c r="A475" s="9"/>
      <c r="B475" s="10" t="s">
        <v>1141</v>
      </c>
      <c r="C475" s="10" t="s">
        <v>1138</v>
      </c>
      <c r="D475" s="10" t="s">
        <v>1138</v>
      </c>
      <c r="E475" s="12" t="e">
        <f ca="1">_xludf.IFS(COUNTIF(보류목록!$B$3:$B$1000, B475)&gt;0, "-",COUNTIF(독서목록!$C$2:$C$1091, B475)=0, , COUNTIF(독서목록!$C$2:$C$1091, B475)&gt;0, COUNTIF(독서목록!$C$2:$C$1091, B475))</f>
        <v>#NAME?</v>
      </c>
      <c r="F475" s="12" t="e">
        <f ca="1">_xludf.IFS(COUNTIF(보류목록!$C$3:$C$1000, B475)&gt;0, "-",COUNTIF(독서목록!$D$2:$D$1091, B475)=0, , COUNTIF(독서목록!$D$2:$D$1091, B475)&gt;0, COUNTIF(독서목록!$D$2:$D$1091, B475))</f>
        <v>#NAME?</v>
      </c>
      <c r="G475" s="12" t="s">
        <v>1139</v>
      </c>
      <c r="H475" s="13" t="s">
        <v>971</v>
      </c>
      <c r="I475" s="13" t="s">
        <v>971</v>
      </c>
    </row>
    <row r="476" spans="1:9" ht="12.75">
      <c r="A476" s="9"/>
      <c r="B476" s="10" t="s">
        <v>1142</v>
      </c>
      <c r="C476" s="10" t="s">
        <v>1143</v>
      </c>
      <c r="D476" s="10" t="s">
        <v>1128</v>
      </c>
      <c r="E476" s="12" t="e">
        <f ca="1">_xludf.IFS(COUNTIF(보류목록!$B$3:$B$1000, B476)&gt;0, "-",COUNTIF(독서목록!$C$2:$C$1091, B476)=0, , COUNTIF(독서목록!$C$2:$C$1091, B476)&gt;0, COUNTIF(독서목록!$C$2:$C$1091, B476))</f>
        <v>#NAME?</v>
      </c>
      <c r="F476" s="12" t="e">
        <f ca="1">_xludf.IFS(COUNTIF(보류목록!$C$3:$C$1000, B476)&gt;0, "-",COUNTIF(독서목록!$D$2:$D$1091, B476)=0, , COUNTIF(독서목록!$D$2:$D$1091, B476)&gt;0, COUNTIF(독서목록!$D$2:$D$1091, B476))</f>
        <v>#NAME?</v>
      </c>
      <c r="G476" s="12" t="s">
        <v>846</v>
      </c>
      <c r="H476" s="13" t="s">
        <v>971</v>
      </c>
      <c r="I476" s="13" t="s">
        <v>971</v>
      </c>
    </row>
    <row r="477" spans="1:9" ht="12.75">
      <c r="A477" s="9"/>
      <c r="B477" s="10" t="s">
        <v>1144</v>
      </c>
      <c r="C477" s="10" t="s">
        <v>1145</v>
      </c>
      <c r="D477" s="10" t="s">
        <v>15</v>
      </c>
      <c r="E477" s="12" t="e">
        <f ca="1">_xludf.IFS(COUNTIF(보류목록!$B$3:$B$1000, B477)&gt;0, "-",COUNTIF(독서목록!$C$2:$C$1091, B477)=0, , COUNTIF(독서목록!$C$2:$C$1091, B477)&gt;0, COUNTIF(독서목록!$C$2:$C$1091, B477))</f>
        <v>#NAME?</v>
      </c>
      <c r="F477" s="12" t="e">
        <f ca="1">_xludf.IFS(COUNTIF(보류목록!$C$3:$C$1000, B477)&gt;0, "-",COUNTIF(독서목록!$D$2:$D$1091, B477)=0, , COUNTIF(독서목록!$D$2:$D$1091, B477)&gt;0, COUNTIF(독서목록!$D$2:$D$1091, B477))</f>
        <v>#NAME?</v>
      </c>
      <c r="G477" s="12" t="s">
        <v>846</v>
      </c>
      <c r="H477" s="13" t="s">
        <v>971</v>
      </c>
      <c r="I477" s="13" t="s">
        <v>971</v>
      </c>
    </row>
    <row r="478" spans="1:9" ht="12.75">
      <c r="A478" s="9"/>
      <c r="B478" s="10" t="s">
        <v>1146</v>
      </c>
      <c r="C478" s="10" t="s">
        <v>1147</v>
      </c>
      <c r="D478" s="10" t="s">
        <v>1148</v>
      </c>
      <c r="E478" s="12" t="e">
        <f ca="1">_xludf.IFS(COUNTIF(보류목록!$B$3:$B$1000, B478)&gt;0, "-",COUNTIF(독서목록!$C$2:$C$1091, B478)=0, , COUNTIF(독서목록!$C$2:$C$1091, B478)&gt;0, COUNTIF(독서목록!$C$2:$C$1091, B478))</f>
        <v>#NAME?</v>
      </c>
      <c r="F478" s="12" t="e">
        <f ca="1">_xludf.IFS(COUNTIF(보류목록!$C$3:$C$1000, B478)&gt;0, "-",COUNTIF(독서목록!$D$2:$D$1091, B478)=0, , COUNTIF(독서목록!$D$2:$D$1091, B478)&gt;0, COUNTIF(독서목록!$D$2:$D$1091, B478))</f>
        <v>#NAME?</v>
      </c>
      <c r="G478" s="12" t="s">
        <v>846</v>
      </c>
      <c r="H478" s="13" t="s">
        <v>971</v>
      </c>
      <c r="I478" s="13" t="s">
        <v>971</v>
      </c>
    </row>
    <row r="479" spans="1:9" ht="12.75">
      <c r="A479" s="9"/>
      <c r="B479" s="10" t="s">
        <v>1149</v>
      </c>
      <c r="C479" s="10" t="s">
        <v>1150</v>
      </c>
      <c r="D479" s="10" t="s">
        <v>1151</v>
      </c>
      <c r="E479" s="12" t="e">
        <f ca="1">_xludf.IFS(COUNTIF(보류목록!$B$3:$B$1000, B479)&gt;0, "-",COUNTIF(독서목록!$C$2:$C$1091, B479)=0, , COUNTIF(독서목록!$C$2:$C$1091, B479)&gt;0, COUNTIF(독서목록!$C$2:$C$1091, B479))</f>
        <v>#NAME?</v>
      </c>
      <c r="F479" s="12" t="e">
        <f ca="1">_xludf.IFS(COUNTIF(보류목록!$C$3:$C$1000, B479)&gt;0, "-",COUNTIF(독서목록!$D$2:$D$1091, B479)=0, , COUNTIF(독서목록!$D$2:$D$1091, B479)&gt;0, COUNTIF(독서목록!$D$2:$D$1091, B479))</f>
        <v>#NAME?</v>
      </c>
      <c r="G479" s="12" t="s">
        <v>852</v>
      </c>
      <c r="H479" s="12" t="s">
        <v>75</v>
      </c>
      <c r="I479" s="12" t="s">
        <v>75</v>
      </c>
    </row>
    <row r="480" spans="1:9" ht="12.75">
      <c r="A480" s="9"/>
      <c r="B480" s="10" t="s">
        <v>1152</v>
      </c>
      <c r="C480" s="10" t="s">
        <v>1150</v>
      </c>
      <c r="D480" s="10" t="s">
        <v>1151</v>
      </c>
      <c r="E480" s="12" t="e">
        <f ca="1">_xludf.IFS(COUNTIF(보류목록!$B$3:$B$1000, B480)&gt;0, "-",COUNTIF(독서목록!$C$2:$C$1091, B480)=0, , COUNTIF(독서목록!$C$2:$C$1091, B480)&gt;0, COUNTIF(독서목록!$C$2:$C$1091, B480))</f>
        <v>#NAME?</v>
      </c>
      <c r="F480" s="12" t="e">
        <f ca="1">_xludf.IFS(COUNTIF(보류목록!$C$3:$C$1000, B480)&gt;0, "-",COUNTIF(독서목록!$D$2:$D$1091, B480)=0, , COUNTIF(독서목록!$D$2:$D$1091, B480)&gt;0, COUNTIF(독서목록!$D$2:$D$1091, B480))</f>
        <v>#NAME?</v>
      </c>
      <c r="G480" s="12" t="s">
        <v>852</v>
      </c>
      <c r="H480" s="12" t="s">
        <v>75</v>
      </c>
      <c r="I480" s="12" t="s">
        <v>75</v>
      </c>
    </row>
    <row r="481" spans="1:9" ht="12.75">
      <c r="A481" s="9"/>
      <c r="B481" s="10" t="s">
        <v>1153</v>
      </c>
      <c r="C481" s="10" t="s">
        <v>1150</v>
      </c>
      <c r="D481" s="10" t="s">
        <v>1151</v>
      </c>
      <c r="E481" s="12" t="e">
        <f ca="1">_xludf.IFS(COUNTIF(보류목록!$B$3:$B$1000, B481)&gt;0, "-",COUNTIF(독서목록!$C$2:$C$1091, B481)=0, , COUNTIF(독서목록!$C$2:$C$1091, B481)&gt;0, COUNTIF(독서목록!$C$2:$C$1091, B481))</f>
        <v>#NAME?</v>
      </c>
      <c r="F481" s="12" t="e">
        <f ca="1">_xludf.IFS(COUNTIF(보류목록!$C$3:$C$1000, B481)&gt;0, "-",COUNTIF(독서목록!$D$2:$D$1091, B481)=0, , COUNTIF(독서목록!$D$2:$D$1091, B481)&gt;0, COUNTIF(독서목록!$D$2:$D$1091, B481))</f>
        <v>#NAME?</v>
      </c>
      <c r="G481" s="12" t="s">
        <v>852</v>
      </c>
      <c r="H481" s="12" t="s">
        <v>75</v>
      </c>
      <c r="I481" s="12" t="s">
        <v>75</v>
      </c>
    </row>
    <row r="482" spans="1:9" ht="12.75">
      <c r="A482" s="9"/>
      <c r="B482" s="10" t="s">
        <v>1154</v>
      </c>
      <c r="C482" s="10" t="s">
        <v>1150</v>
      </c>
      <c r="D482" s="10" t="s">
        <v>1151</v>
      </c>
      <c r="E482" s="12" t="e">
        <f ca="1">_xludf.IFS(COUNTIF(보류목록!$B$3:$B$1000, B482)&gt;0, "-",COUNTIF(독서목록!$C$2:$C$1091, B482)=0, , COUNTIF(독서목록!$C$2:$C$1091, B482)&gt;0, COUNTIF(독서목록!$C$2:$C$1091, B482))</f>
        <v>#NAME?</v>
      </c>
      <c r="F482" s="12" t="e">
        <f ca="1">_xludf.IFS(COUNTIF(보류목록!$C$3:$C$1000, B482)&gt;0, "-",COUNTIF(독서목록!$D$2:$D$1091, B482)=0, , COUNTIF(독서목록!$D$2:$D$1091, B482)&gt;0, COUNTIF(독서목록!$D$2:$D$1091, B482))</f>
        <v>#NAME?</v>
      </c>
      <c r="G482" s="12" t="s">
        <v>852</v>
      </c>
      <c r="H482" s="12" t="s">
        <v>75</v>
      </c>
      <c r="I482" s="12" t="s">
        <v>75</v>
      </c>
    </row>
    <row r="483" spans="1:9" ht="12.75">
      <c r="A483" s="9"/>
      <c r="B483" s="10" t="s">
        <v>1155</v>
      </c>
      <c r="C483" s="10" t="s">
        <v>1150</v>
      </c>
      <c r="D483" s="10" t="s">
        <v>1151</v>
      </c>
      <c r="E483" s="12" t="e">
        <f ca="1">_xludf.IFS(COUNTIF(보류목록!$B$3:$B$1000, B483)&gt;0, "-",COUNTIF(독서목록!$C$2:$C$1091, B483)=0, , COUNTIF(독서목록!$C$2:$C$1091, B483)&gt;0, COUNTIF(독서목록!$C$2:$C$1091, B483))</f>
        <v>#NAME?</v>
      </c>
      <c r="F483" s="12" t="e">
        <f ca="1">_xludf.IFS(COUNTIF(보류목록!$C$3:$C$1000, B483)&gt;0, "-",COUNTIF(독서목록!$D$2:$D$1091, B483)=0, , COUNTIF(독서목록!$D$2:$D$1091, B483)&gt;0, COUNTIF(독서목록!$D$2:$D$1091, B483))</f>
        <v>#NAME?</v>
      </c>
      <c r="G483" s="12" t="s">
        <v>852</v>
      </c>
      <c r="H483" s="12" t="s">
        <v>75</v>
      </c>
      <c r="I483" s="12" t="s">
        <v>75</v>
      </c>
    </row>
    <row r="484" spans="1:9" ht="12.75">
      <c r="A484" s="9"/>
      <c r="B484" s="10" t="s">
        <v>1156</v>
      </c>
      <c r="C484" s="10" t="s">
        <v>1150</v>
      </c>
      <c r="D484" s="10" t="s">
        <v>1151</v>
      </c>
      <c r="E484" s="12" t="e">
        <f ca="1">_xludf.IFS(COUNTIF(보류목록!$B$3:$B$1000, B484)&gt;0, "-",COUNTIF(독서목록!$C$2:$C$1091, B484)=0, , COUNTIF(독서목록!$C$2:$C$1091, B484)&gt;0, COUNTIF(독서목록!$C$2:$C$1091, B484))</f>
        <v>#NAME?</v>
      </c>
      <c r="F484" s="12" t="e">
        <f ca="1">_xludf.IFS(COUNTIF(보류목록!$C$3:$C$1000, B484)&gt;0, "-",COUNTIF(독서목록!$D$2:$D$1091, B484)=0, , COUNTIF(독서목록!$D$2:$D$1091, B484)&gt;0, COUNTIF(독서목록!$D$2:$D$1091, B484))</f>
        <v>#NAME?</v>
      </c>
      <c r="G484" s="12" t="s">
        <v>852</v>
      </c>
      <c r="H484" s="12" t="s">
        <v>75</v>
      </c>
      <c r="I484" s="12" t="s">
        <v>75</v>
      </c>
    </row>
    <row r="485" spans="1:9" ht="12.75">
      <c r="A485" s="9"/>
      <c r="B485" s="10" t="s">
        <v>1157</v>
      </c>
      <c r="C485" s="10" t="s">
        <v>1150</v>
      </c>
      <c r="D485" s="10" t="s">
        <v>1151</v>
      </c>
      <c r="E485" s="12" t="e">
        <f ca="1">_xludf.IFS(COUNTIF(보류목록!$B$3:$B$1000, B485)&gt;0, "-",COUNTIF(독서목록!$C$2:$C$1091, B485)=0, , COUNTIF(독서목록!$C$2:$C$1091, B485)&gt;0, COUNTIF(독서목록!$C$2:$C$1091, B485))</f>
        <v>#NAME?</v>
      </c>
      <c r="F485" s="12" t="e">
        <f ca="1">_xludf.IFS(COUNTIF(보류목록!$C$3:$C$1000, B485)&gt;0, "-",COUNTIF(독서목록!$D$2:$D$1091, B485)=0, , COUNTIF(독서목록!$D$2:$D$1091, B485)&gt;0, COUNTIF(독서목록!$D$2:$D$1091, B485))</f>
        <v>#NAME?</v>
      </c>
      <c r="G485" s="12" t="s">
        <v>852</v>
      </c>
      <c r="H485" s="12" t="s">
        <v>75</v>
      </c>
      <c r="I485" s="12" t="s">
        <v>75</v>
      </c>
    </row>
    <row r="486" spans="1:9" ht="12.75">
      <c r="A486" s="9"/>
      <c r="B486" s="10" t="s">
        <v>1158</v>
      </c>
      <c r="C486" s="10" t="s">
        <v>1150</v>
      </c>
      <c r="D486" s="10" t="s">
        <v>1151</v>
      </c>
      <c r="E486" s="12" t="e">
        <f ca="1">_xludf.IFS(COUNTIF(보류목록!$B$3:$B$1000, B486)&gt;0, "-",COUNTIF(독서목록!$C$2:$C$1091, B486)=0, , COUNTIF(독서목록!$C$2:$C$1091, B486)&gt;0, COUNTIF(독서목록!$C$2:$C$1091, B486))</f>
        <v>#NAME?</v>
      </c>
      <c r="F486" s="12" t="e">
        <f ca="1">_xludf.IFS(COUNTIF(보류목록!$C$3:$C$1000, B486)&gt;0, "-",COUNTIF(독서목록!$D$2:$D$1091, B486)=0, , COUNTIF(독서목록!$D$2:$D$1091, B486)&gt;0, COUNTIF(독서목록!$D$2:$D$1091, B486))</f>
        <v>#NAME?</v>
      </c>
      <c r="G486" s="12" t="s">
        <v>852</v>
      </c>
      <c r="H486" s="12" t="s">
        <v>75</v>
      </c>
      <c r="I486" s="12" t="s">
        <v>75</v>
      </c>
    </row>
    <row r="487" spans="1:9" ht="12.75">
      <c r="A487" s="9"/>
      <c r="B487" s="10" t="s">
        <v>1159</v>
      </c>
      <c r="C487" s="10" t="s">
        <v>1150</v>
      </c>
      <c r="D487" s="10" t="s">
        <v>1151</v>
      </c>
      <c r="E487" s="12" t="e">
        <f ca="1">_xludf.IFS(COUNTIF(보류목록!$B$3:$B$1000, B487)&gt;0, "-",COUNTIF(독서목록!$C$2:$C$1091, B487)=0, , COUNTIF(독서목록!$C$2:$C$1091, B487)&gt;0, COUNTIF(독서목록!$C$2:$C$1091, B487))</f>
        <v>#NAME?</v>
      </c>
      <c r="F487" s="12" t="e">
        <f ca="1">_xludf.IFS(COUNTIF(보류목록!$C$3:$C$1000, B487)&gt;0, "-",COUNTIF(독서목록!$D$2:$D$1091, B487)=0, , COUNTIF(독서목록!$D$2:$D$1091, B487)&gt;0, COUNTIF(독서목록!$D$2:$D$1091, B487))</f>
        <v>#NAME?</v>
      </c>
      <c r="G487" s="12" t="s">
        <v>852</v>
      </c>
      <c r="H487" s="12" t="s">
        <v>75</v>
      </c>
      <c r="I487" s="12" t="s">
        <v>75</v>
      </c>
    </row>
    <row r="488" spans="1:9" ht="12.75">
      <c r="A488" s="9"/>
      <c r="B488" s="10" t="s">
        <v>1160</v>
      </c>
      <c r="C488" s="10" t="s">
        <v>1150</v>
      </c>
      <c r="D488" s="10" t="s">
        <v>1151</v>
      </c>
      <c r="E488" s="12" t="e">
        <f ca="1">_xludf.IFS(COUNTIF(보류목록!$B$3:$B$1000, B488)&gt;0, "-",COUNTIF(독서목록!$C$2:$C$1091, B488)=0, , COUNTIF(독서목록!$C$2:$C$1091, B488)&gt;0, COUNTIF(독서목록!$C$2:$C$1091, B488))</f>
        <v>#NAME?</v>
      </c>
      <c r="F488" s="12" t="e">
        <f ca="1">_xludf.IFS(COUNTIF(보류목록!$C$3:$C$1000, B488)&gt;0, "-",COUNTIF(독서목록!$D$2:$D$1091, B488)=0, , COUNTIF(독서목록!$D$2:$D$1091, B488)&gt;0, COUNTIF(독서목록!$D$2:$D$1091, B488))</f>
        <v>#NAME?</v>
      </c>
      <c r="G488" s="12" t="s">
        <v>852</v>
      </c>
      <c r="H488" s="12" t="s">
        <v>75</v>
      </c>
      <c r="I488" s="12" t="s">
        <v>75</v>
      </c>
    </row>
    <row r="489" spans="1:9" ht="12.75">
      <c r="A489" s="9"/>
      <c r="B489" s="10" t="s">
        <v>1161</v>
      </c>
      <c r="C489" s="10" t="s">
        <v>1127</v>
      </c>
      <c r="D489" s="10" t="s">
        <v>1128</v>
      </c>
      <c r="E489" s="12" t="e">
        <f ca="1">_xludf.IFS(COUNTIF(보류목록!$B$3:$B$1000, B489)&gt;0, "-",COUNTIF(독서목록!$C$2:$C$1091, B489)=0, , COUNTIF(독서목록!$C$2:$C$1091, B489)&gt;0, COUNTIF(독서목록!$C$2:$C$1091, B489))</f>
        <v>#NAME?</v>
      </c>
      <c r="F489" s="12" t="e">
        <f ca="1">_xludf.IFS(COUNTIF(보류목록!$C$3:$C$1000, B489)&gt;0, "-",COUNTIF(독서목록!$D$2:$D$1091, B489)=0, , COUNTIF(독서목록!$D$2:$D$1091, B489)&gt;0, COUNTIF(독서목록!$D$2:$D$1091, B489))</f>
        <v>#NAME?</v>
      </c>
      <c r="G489" s="12" t="s">
        <v>855</v>
      </c>
      <c r="H489" s="13" t="s">
        <v>971</v>
      </c>
      <c r="I489" s="13" t="s">
        <v>971</v>
      </c>
    </row>
    <row r="490" spans="1:9" ht="12.75">
      <c r="A490" s="9"/>
      <c r="B490" s="10" t="s">
        <v>1162</v>
      </c>
      <c r="C490" s="10" t="s">
        <v>1163</v>
      </c>
      <c r="D490" s="10" t="s">
        <v>277</v>
      </c>
      <c r="E490" s="12" t="e">
        <f ca="1">_xludf.IFS(COUNTIF(보류목록!$B$3:$B$1000, B490)&gt;0, "-",COUNTIF(독서목록!$C$2:$C$1091, B490)=0, , COUNTIF(독서목록!$C$2:$C$1091, B490)&gt;0, COUNTIF(독서목록!$C$2:$C$1091, B490))</f>
        <v>#NAME?</v>
      </c>
      <c r="F490" s="12" t="e">
        <f ca="1">_xludf.IFS(COUNTIF(보류목록!$C$3:$C$1000, B490)&gt;0, "-",COUNTIF(독서목록!$D$2:$D$1091, B490)=0, , COUNTIF(독서목록!$D$2:$D$1091, B490)&gt;0, COUNTIF(독서목록!$D$2:$D$1091, B490))</f>
        <v>#NAME?</v>
      </c>
      <c r="G490" s="12" t="s">
        <v>866</v>
      </c>
      <c r="H490" s="13" t="s">
        <v>971</v>
      </c>
      <c r="I490" s="13" t="s">
        <v>971</v>
      </c>
    </row>
    <row r="491" spans="1:9" ht="12.75">
      <c r="A491" s="9"/>
      <c r="B491" s="10" t="s">
        <v>1164</v>
      </c>
      <c r="C491" s="10" t="s">
        <v>1165</v>
      </c>
      <c r="D491" s="10" t="s">
        <v>1166</v>
      </c>
      <c r="E491" s="12" t="e">
        <f ca="1">_xludf.IFS(COUNTIF(보류목록!$B$3:$B$1000, B491)&gt;0, "-",COUNTIF(독서목록!$C$2:$C$1091, B491)=0, , COUNTIF(독서목록!$C$2:$C$1091, B491)&gt;0, COUNTIF(독서목록!$C$2:$C$1091, B491))</f>
        <v>#NAME?</v>
      </c>
      <c r="F491" s="12" t="e">
        <f ca="1">_xludf.IFS(COUNTIF(보류목록!$C$3:$C$1000, B491)&gt;0, "-",COUNTIF(독서목록!$D$2:$D$1091, B491)=0, , COUNTIF(독서목록!$D$2:$D$1091, B491)&gt;0, COUNTIF(독서목록!$D$2:$D$1091, B491))</f>
        <v>#NAME?</v>
      </c>
      <c r="G491" s="12" t="s">
        <v>866</v>
      </c>
      <c r="H491" s="13" t="s">
        <v>971</v>
      </c>
      <c r="I491" s="13" t="s">
        <v>971</v>
      </c>
    </row>
    <row r="492" spans="1:9" ht="12.75">
      <c r="A492" s="9"/>
      <c r="B492" s="10" t="s">
        <v>1167</v>
      </c>
      <c r="C492" s="10" t="s">
        <v>1168</v>
      </c>
      <c r="D492" s="10" t="s">
        <v>1169</v>
      </c>
      <c r="E492" s="12" t="e">
        <f ca="1">_xludf.IFS(COUNTIF(보류목록!$B$3:$B$1000, B492)&gt;0, "-",COUNTIF(독서목록!$C$2:$C$1091, B492)=0, , COUNTIF(독서목록!$C$2:$C$1091, B492)&gt;0, COUNTIF(독서목록!$C$2:$C$1091, B492))</f>
        <v>#NAME?</v>
      </c>
      <c r="F492" s="12" t="e">
        <f ca="1">_xludf.IFS(COUNTIF(보류목록!$C$3:$C$1000, B492)&gt;0, "-",COUNTIF(독서목록!$D$2:$D$1091, B492)=0, , COUNTIF(독서목록!$D$2:$D$1091, B492)&gt;0, COUNTIF(독서목록!$D$2:$D$1091, B492))</f>
        <v>#NAME?</v>
      </c>
      <c r="G492" s="12" t="s">
        <v>872</v>
      </c>
      <c r="H492" s="13" t="s">
        <v>971</v>
      </c>
      <c r="I492" s="13" t="s">
        <v>971</v>
      </c>
    </row>
    <row r="493" spans="1:9" ht="12.75">
      <c r="A493" s="9"/>
      <c r="B493" s="10" t="s">
        <v>1170</v>
      </c>
      <c r="C493" s="10" t="s">
        <v>1171</v>
      </c>
      <c r="D493" s="10" t="s">
        <v>1172</v>
      </c>
      <c r="E493" s="12" t="e">
        <f ca="1">_xludf.IFS(COUNTIF(보류목록!$B$3:$B$1000, B493)&gt;0, "-",COUNTIF(독서목록!$C$2:$C$1091, B493)=0, , COUNTIF(독서목록!$C$2:$C$1091, B493)&gt;0, COUNTIF(독서목록!$C$2:$C$1091, B493))</f>
        <v>#NAME?</v>
      </c>
      <c r="F493" s="12" t="e">
        <f ca="1">_xludf.IFS(COUNTIF(보류목록!$C$3:$C$1000, B493)&gt;0, "-",COUNTIF(독서목록!$D$2:$D$1091, B493)=0, , COUNTIF(독서목록!$D$2:$D$1091, B493)&gt;0, COUNTIF(독서목록!$D$2:$D$1091, B493))</f>
        <v>#NAME?</v>
      </c>
      <c r="G493" s="12" t="s">
        <v>1173</v>
      </c>
      <c r="H493" s="13" t="s">
        <v>971</v>
      </c>
      <c r="I493" s="13" t="s">
        <v>971</v>
      </c>
    </row>
    <row r="494" spans="1:9" ht="12.75">
      <c r="A494" s="9"/>
      <c r="B494" s="10" t="s">
        <v>1174</v>
      </c>
      <c r="C494" s="10" t="s">
        <v>1171</v>
      </c>
      <c r="D494" s="10" t="s">
        <v>1172</v>
      </c>
      <c r="E494" s="12" t="e">
        <f ca="1">_xludf.IFS(COUNTIF(보류목록!$B$3:$B$1000, B494)&gt;0, "-",COUNTIF(독서목록!$C$2:$C$1091, B494)=0, , COUNTIF(독서목록!$C$2:$C$1091, B494)&gt;0, COUNTIF(독서목록!$C$2:$C$1091, B494))</f>
        <v>#NAME?</v>
      </c>
      <c r="F494" s="12" t="e">
        <f ca="1">_xludf.IFS(COUNTIF(보류목록!$C$3:$C$1000, B494)&gt;0, "-",COUNTIF(독서목록!$D$2:$D$1091, B494)=0, , COUNTIF(독서목록!$D$2:$D$1091, B494)&gt;0, COUNTIF(독서목록!$D$2:$D$1091, B494))</f>
        <v>#NAME?</v>
      </c>
      <c r="G494" s="12" t="s">
        <v>1173</v>
      </c>
      <c r="H494" s="13" t="s">
        <v>971</v>
      </c>
      <c r="I494" s="13" t="s">
        <v>971</v>
      </c>
    </row>
    <row r="495" spans="1:9" ht="12.75">
      <c r="A495" s="9"/>
      <c r="B495" s="10" t="s">
        <v>1175</v>
      </c>
      <c r="C495" s="10" t="s">
        <v>1171</v>
      </c>
      <c r="D495" s="10" t="s">
        <v>1172</v>
      </c>
      <c r="E495" s="12" t="e">
        <f ca="1">_xludf.IFS(COUNTIF(보류목록!$B$3:$B$1000, B495)&gt;0, "-",COUNTIF(독서목록!$C$2:$C$1091, B495)=0, , COUNTIF(독서목록!$C$2:$C$1091, B495)&gt;0, COUNTIF(독서목록!$C$2:$C$1091, B495))</f>
        <v>#NAME?</v>
      </c>
      <c r="F495" s="12" t="e">
        <f ca="1">_xludf.IFS(COUNTIF(보류목록!$C$3:$C$1000, B495)&gt;0, "-",COUNTIF(독서목록!$D$2:$D$1091, B495)=0, , COUNTIF(독서목록!$D$2:$D$1091, B495)&gt;0, COUNTIF(독서목록!$D$2:$D$1091, B495))</f>
        <v>#NAME?</v>
      </c>
      <c r="G495" s="12" t="s">
        <v>1173</v>
      </c>
      <c r="H495" s="13" t="s">
        <v>971</v>
      </c>
      <c r="I495" s="13" t="s">
        <v>971</v>
      </c>
    </row>
    <row r="496" spans="1:9" ht="12.75">
      <c r="A496" s="9"/>
      <c r="B496" s="10" t="s">
        <v>1176</v>
      </c>
      <c r="C496" s="10" t="s">
        <v>1171</v>
      </c>
      <c r="D496" s="10" t="s">
        <v>1172</v>
      </c>
      <c r="E496" s="12" t="e">
        <f ca="1">_xludf.IFS(COUNTIF(보류목록!$B$3:$B$1000, B496)&gt;0, "-",COUNTIF(독서목록!$C$2:$C$1091, B496)=0, , COUNTIF(독서목록!$C$2:$C$1091, B496)&gt;0, COUNTIF(독서목록!$C$2:$C$1091, B496))</f>
        <v>#NAME?</v>
      </c>
      <c r="F496" s="12" t="e">
        <f ca="1">_xludf.IFS(COUNTIF(보류목록!$C$3:$C$1000, B496)&gt;0, "-",COUNTIF(독서목록!$D$2:$D$1091, B496)=0, , COUNTIF(독서목록!$D$2:$D$1091, B496)&gt;0, COUNTIF(독서목록!$D$2:$D$1091, B496))</f>
        <v>#NAME?</v>
      </c>
      <c r="G496" s="12" t="s">
        <v>1173</v>
      </c>
      <c r="H496" s="13" t="s">
        <v>971</v>
      </c>
      <c r="I496" s="13" t="s">
        <v>971</v>
      </c>
    </row>
    <row r="497" spans="1:9" ht="12.75">
      <c r="A497" s="9"/>
      <c r="B497" s="10" t="s">
        <v>1177</v>
      </c>
      <c r="C497" s="10" t="s">
        <v>1171</v>
      </c>
      <c r="D497" s="10" t="s">
        <v>1172</v>
      </c>
      <c r="E497" s="12" t="e">
        <f ca="1">_xludf.IFS(COUNTIF(보류목록!$B$3:$B$1000, B497)&gt;0, "-",COUNTIF(독서목록!$C$2:$C$1091, B497)=0, , COUNTIF(독서목록!$C$2:$C$1091, B497)&gt;0, COUNTIF(독서목록!$C$2:$C$1091, B497))</f>
        <v>#NAME?</v>
      </c>
      <c r="F497" s="12" t="e">
        <f ca="1">_xludf.IFS(COUNTIF(보류목록!$C$3:$C$1000, B497)&gt;0, "-",COUNTIF(독서목록!$D$2:$D$1091, B497)=0, , COUNTIF(독서목록!$D$2:$D$1091, B497)&gt;0, COUNTIF(독서목록!$D$2:$D$1091, B497))</f>
        <v>#NAME?</v>
      </c>
      <c r="G497" s="12" t="s">
        <v>878</v>
      </c>
      <c r="H497" s="13" t="s">
        <v>971</v>
      </c>
      <c r="I497" s="13" t="s">
        <v>971</v>
      </c>
    </row>
    <row r="498" spans="1:9" ht="12.75">
      <c r="A498" s="9"/>
      <c r="B498" s="10" t="s">
        <v>1178</v>
      </c>
      <c r="C498" s="10" t="s">
        <v>1171</v>
      </c>
      <c r="D498" s="10" t="s">
        <v>1172</v>
      </c>
      <c r="E498" s="12" t="e">
        <f ca="1">_xludf.IFS(COUNTIF(보류목록!$B$3:$B$1000, B498)&gt;0, "-",COUNTIF(독서목록!$C$2:$C$1091, B498)=0, , COUNTIF(독서목록!$C$2:$C$1091, B498)&gt;0, COUNTIF(독서목록!$C$2:$C$1091, B498))</f>
        <v>#NAME?</v>
      </c>
      <c r="F498" s="12" t="e">
        <f ca="1">_xludf.IFS(COUNTIF(보류목록!$C$3:$C$1000, B498)&gt;0, "-",COUNTIF(독서목록!$D$2:$D$1091, B498)=0, , COUNTIF(독서목록!$D$2:$D$1091, B498)&gt;0, COUNTIF(독서목록!$D$2:$D$1091, B498))</f>
        <v>#NAME?</v>
      </c>
      <c r="G498" s="12" t="s">
        <v>878</v>
      </c>
      <c r="H498" s="13" t="s">
        <v>971</v>
      </c>
      <c r="I498" s="13" t="s">
        <v>971</v>
      </c>
    </row>
    <row r="499" spans="1:9" ht="12.75">
      <c r="A499" s="9"/>
      <c r="B499" s="10" t="s">
        <v>1179</v>
      </c>
      <c r="C499" s="10" t="s">
        <v>1171</v>
      </c>
      <c r="D499" s="10" t="s">
        <v>1172</v>
      </c>
      <c r="E499" s="12" t="e">
        <f ca="1">_xludf.IFS(COUNTIF(보류목록!$B$3:$B$1000, B499)&gt;0, "-",COUNTIF(독서목록!$C$2:$C$1091, B499)=0, , COUNTIF(독서목록!$C$2:$C$1091, B499)&gt;0, COUNTIF(독서목록!$C$2:$C$1091, B499))</f>
        <v>#NAME?</v>
      </c>
      <c r="F499" s="12" t="e">
        <f ca="1">_xludf.IFS(COUNTIF(보류목록!$C$3:$C$1000, B499)&gt;0, "-",COUNTIF(독서목록!$D$2:$D$1091, B499)=0, , COUNTIF(독서목록!$D$2:$D$1091, B499)&gt;0, COUNTIF(독서목록!$D$2:$D$1091, B499))</f>
        <v>#NAME?</v>
      </c>
      <c r="G499" s="12" t="s">
        <v>878</v>
      </c>
      <c r="H499" s="13" t="s">
        <v>971</v>
      </c>
      <c r="I499" s="13" t="s">
        <v>971</v>
      </c>
    </row>
    <row r="500" spans="1:9" ht="12.75">
      <c r="A500" s="9"/>
      <c r="B500" s="10" t="s">
        <v>1180</v>
      </c>
      <c r="C500" s="10" t="s">
        <v>1171</v>
      </c>
      <c r="D500" s="10" t="s">
        <v>1172</v>
      </c>
      <c r="E500" s="12" t="e">
        <f ca="1">_xludf.IFS(COUNTIF(보류목록!$B$3:$B$1000, B500)&gt;0, "-",COUNTIF(독서목록!$C$2:$C$1091, B500)=0, , COUNTIF(독서목록!$C$2:$C$1091, B500)&gt;0, COUNTIF(독서목록!$C$2:$C$1091, B500))</f>
        <v>#NAME?</v>
      </c>
      <c r="F500" s="12" t="e">
        <f ca="1">_xludf.IFS(COUNTIF(보류목록!$C$3:$C$1000, B500)&gt;0, "-",COUNTIF(독서목록!$D$2:$D$1091, B500)=0, , COUNTIF(독서목록!$D$2:$D$1091, B500)&gt;0, COUNTIF(독서목록!$D$2:$D$1091, B500))</f>
        <v>#NAME?</v>
      </c>
      <c r="G500" s="12" t="s">
        <v>878</v>
      </c>
      <c r="H500" s="13" t="s">
        <v>971</v>
      </c>
      <c r="I500" s="13" t="s">
        <v>971</v>
      </c>
    </row>
    <row r="501" spans="1:9" ht="12.75">
      <c r="A501" s="9"/>
      <c r="B501" s="10" t="s">
        <v>1181</v>
      </c>
      <c r="C501" s="10" t="s">
        <v>1171</v>
      </c>
      <c r="D501" s="10" t="s">
        <v>1172</v>
      </c>
      <c r="E501" s="12" t="e">
        <f ca="1">_xludf.IFS(COUNTIF(보류목록!$B$3:$B$1000, B501)&gt;0, "-",COUNTIF(독서목록!$C$2:$C$1091, B501)=0, , COUNTIF(독서목록!$C$2:$C$1091, B501)&gt;0, COUNTIF(독서목록!$C$2:$C$1091, B501))</f>
        <v>#NAME?</v>
      </c>
      <c r="F501" s="12" t="e">
        <f ca="1">_xludf.IFS(COUNTIF(보류목록!$C$3:$C$1000, B501)&gt;0, "-",COUNTIF(독서목록!$D$2:$D$1091, B501)=0, , COUNTIF(독서목록!$D$2:$D$1091, B501)&gt;0, COUNTIF(독서목록!$D$2:$D$1091, B501))</f>
        <v>#NAME?</v>
      </c>
      <c r="G501" s="12" t="s">
        <v>878</v>
      </c>
      <c r="H501" s="13" t="s">
        <v>971</v>
      </c>
      <c r="I501" s="13" t="s">
        <v>971</v>
      </c>
    </row>
    <row r="502" spans="1:9" ht="12.75">
      <c r="A502" s="9"/>
      <c r="B502" s="10" t="s">
        <v>1182</v>
      </c>
      <c r="C502" s="10" t="s">
        <v>1171</v>
      </c>
      <c r="D502" s="10" t="s">
        <v>1172</v>
      </c>
      <c r="E502" s="12" t="e">
        <f ca="1">_xludf.IFS(COUNTIF(보류목록!$B$3:$B$1000, B502)&gt;0, "-",COUNTIF(독서목록!$C$2:$C$1091, B502)=0, , COUNTIF(독서목록!$C$2:$C$1091, B502)&gt;0, COUNTIF(독서목록!$C$2:$C$1091, B502))</f>
        <v>#NAME?</v>
      </c>
      <c r="F502" s="12" t="e">
        <f ca="1">_xludf.IFS(COUNTIF(보류목록!$C$3:$C$1000, B502)&gt;0, "-",COUNTIF(독서목록!$D$2:$D$1091, B502)=0, , COUNTIF(독서목록!$D$2:$D$1091, B502)&gt;0, COUNTIF(독서목록!$D$2:$D$1091, B502))</f>
        <v>#NAME?</v>
      </c>
      <c r="G502" s="12" t="s">
        <v>878</v>
      </c>
      <c r="H502" s="13" t="s">
        <v>971</v>
      </c>
      <c r="I502" s="13" t="s">
        <v>971</v>
      </c>
    </row>
    <row r="503" spans="1:9" ht="12.75">
      <c r="A503" s="9"/>
      <c r="B503" s="10" t="s">
        <v>1183</v>
      </c>
      <c r="C503" s="10" t="s">
        <v>1171</v>
      </c>
      <c r="D503" s="10" t="s">
        <v>1172</v>
      </c>
      <c r="E503" s="12" t="e">
        <f ca="1">_xludf.IFS(COUNTIF(보류목록!$B$3:$B$1000, B503)&gt;0, "-",COUNTIF(독서목록!$C$2:$C$1091, B503)=0, , COUNTIF(독서목록!$C$2:$C$1091, B503)&gt;0, COUNTIF(독서목록!$C$2:$C$1091, B503))</f>
        <v>#NAME?</v>
      </c>
      <c r="F503" s="12" t="e">
        <f ca="1">_xludf.IFS(COUNTIF(보류목록!$C$3:$C$1000, B503)&gt;0, "-",COUNTIF(독서목록!$D$2:$D$1091, B503)=0, , COUNTIF(독서목록!$D$2:$D$1091, B503)&gt;0, COUNTIF(독서목록!$D$2:$D$1091, B503))</f>
        <v>#NAME?</v>
      </c>
      <c r="G503" s="12" t="s">
        <v>878</v>
      </c>
      <c r="H503" s="13" t="s">
        <v>971</v>
      </c>
      <c r="I503" s="13" t="s">
        <v>971</v>
      </c>
    </row>
    <row r="504" spans="1:9" ht="12.75">
      <c r="A504" s="9"/>
      <c r="B504" s="10" t="s">
        <v>1184</v>
      </c>
      <c r="C504" s="10" t="s">
        <v>1171</v>
      </c>
      <c r="D504" s="10" t="s">
        <v>1172</v>
      </c>
      <c r="E504" s="12" t="e">
        <f ca="1">_xludf.IFS(COUNTIF(보류목록!$B$3:$B$1000, B504)&gt;0, "-",COUNTIF(독서목록!$C$2:$C$1091, B504)=0, , COUNTIF(독서목록!$C$2:$C$1091, B504)&gt;0, COUNTIF(독서목록!$C$2:$C$1091, B504))</f>
        <v>#NAME?</v>
      </c>
      <c r="F504" s="12" t="e">
        <f ca="1">_xludf.IFS(COUNTIF(보류목록!$C$3:$C$1000, B504)&gt;0, "-",COUNTIF(독서목록!$D$2:$D$1091, B504)=0, , COUNTIF(독서목록!$D$2:$D$1091, B504)&gt;0, COUNTIF(독서목록!$D$2:$D$1091, B504))</f>
        <v>#NAME?</v>
      </c>
      <c r="G504" s="12" t="s">
        <v>878</v>
      </c>
      <c r="H504" s="13" t="s">
        <v>971</v>
      </c>
      <c r="I504" s="13" t="s">
        <v>971</v>
      </c>
    </row>
    <row r="505" spans="1:9" ht="12.75">
      <c r="A505" s="9"/>
      <c r="B505" s="10" t="s">
        <v>1185</v>
      </c>
      <c r="C505" s="10" t="s">
        <v>1171</v>
      </c>
      <c r="D505" s="10" t="s">
        <v>1172</v>
      </c>
      <c r="E505" s="12" t="e">
        <f ca="1">_xludf.IFS(COUNTIF(보류목록!$B$3:$B$1000, B505)&gt;0, "-",COUNTIF(독서목록!$C$2:$C$1091, B505)=0, , COUNTIF(독서목록!$C$2:$C$1091, B505)&gt;0, COUNTIF(독서목록!$C$2:$C$1091, B505))</f>
        <v>#NAME?</v>
      </c>
      <c r="F505" s="12" t="e">
        <f ca="1">_xludf.IFS(COUNTIF(보류목록!$C$3:$C$1000, B505)&gt;0, "-",COUNTIF(독서목록!$D$2:$D$1091, B505)=0, , COUNTIF(독서목록!$D$2:$D$1091, B505)&gt;0, COUNTIF(독서목록!$D$2:$D$1091, B505))</f>
        <v>#NAME?</v>
      </c>
      <c r="G505" s="12" t="s">
        <v>878</v>
      </c>
      <c r="H505" s="13" t="s">
        <v>971</v>
      </c>
      <c r="I505" s="13" t="s">
        <v>971</v>
      </c>
    </row>
    <row r="506" spans="1:9" ht="12.75">
      <c r="A506" s="9"/>
      <c r="B506" s="10" t="s">
        <v>1186</v>
      </c>
      <c r="C506" s="10" t="s">
        <v>1171</v>
      </c>
      <c r="D506" s="10" t="s">
        <v>1172</v>
      </c>
      <c r="E506" s="12" t="e">
        <f ca="1">_xludf.IFS(COUNTIF(보류목록!$B$3:$B$1000, B506)&gt;0, "-",COUNTIF(독서목록!$C$2:$C$1091, B506)=0, , COUNTIF(독서목록!$C$2:$C$1091, B506)&gt;0, COUNTIF(독서목록!$C$2:$C$1091, B506))</f>
        <v>#NAME?</v>
      </c>
      <c r="F506" s="12" t="e">
        <f ca="1">_xludf.IFS(COUNTIF(보류목록!$C$3:$C$1000, B506)&gt;0, "-",COUNTIF(독서목록!$D$2:$D$1091, B506)=0, , COUNTIF(독서목록!$D$2:$D$1091, B506)&gt;0, COUNTIF(독서목록!$D$2:$D$1091, B506))</f>
        <v>#NAME?</v>
      </c>
      <c r="G506" s="12" t="s">
        <v>878</v>
      </c>
      <c r="H506" s="13" t="s">
        <v>971</v>
      </c>
      <c r="I506" s="13" t="s">
        <v>971</v>
      </c>
    </row>
    <row r="507" spans="1:9" ht="12.75">
      <c r="A507" s="9"/>
      <c r="B507" s="10" t="s">
        <v>1187</v>
      </c>
      <c r="C507" s="10" t="s">
        <v>1171</v>
      </c>
      <c r="D507" s="10" t="s">
        <v>1172</v>
      </c>
      <c r="E507" s="12" t="e">
        <f ca="1">_xludf.IFS(COUNTIF(보류목록!$B$3:$B$1000, B507)&gt;0, "-",COUNTIF(독서목록!$C$2:$C$1091, B507)=0, , COUNTIF(독서목록!$C$2:$C$1091, B507)&gt;0, COUNTIF(독서목록!$C$2:$C$1091, B507))</f>
        <v>#NAME?</v>
      </c>
      <c r="F507" s="12" t="e">
        <f ca="1">_xludf.IFS(COUNTIF(보류목록!$C$3:$C$1000, B507)&gt;0, "-",COUNTIF(독서목록!$D$2:$D$1091, B507)=0, , COUNTIF(독서목록!$D$2:$D$1091, B507)&gt;0, COUNTIF(독서목록!$D$2:$D$1091, B507))</f>
        <v>#NAME?</v>
      </c>
      <c r="G507" s="12" t="s">
        <v>878</v>
      </c>
      <c r="H507" s="13" t="s">
        <v>971</v>
      </c>
      <c r="I507" s="13" t="s">
        <v>971</v>
      </c>
    </row>
    <row r="508" spans="1:9" ht="12.75">
      <c r="A508" s="9"/>
      <c r="B508" s="10" t="s">
        <v>1188</v>
      </c>
      <c r="C508" s="10" t="s">
        <v>1171</v>
      </c>
      <c r="D508" s="10" t="s">
        <v>1172</v>
      </c>
      <c r="E508" s="12" t="e">
        <f ca="1">_xludf.IFS(COUNTIF(보류목록!$B$3:$B$1000, B508)&gt;0, "-",COUNTIF(독서목록!$C$2:$C$1091, B508)=0, , COUNTIF(독서목록!$C$2:$C$1091, B508)&gt;0, COUNTIF(독서목록!$C$2:$C$1091, B508))</f>
        <v>#NAME?</v>
      </c>
      <c r="F508" s="12" t="e">
        <f ca="1">_xludf.IFS(COUNTIF(보류목록!$C$3:$C$1000, B508)&gt;0, "-",COUNTIF(독서목록!$D$2:$D$1091, B508)=0, , COUNTIF(독서목록!$D$2:$D$1091, B508)&gt;0, COUNTIF(독서목록!$D$2:$D$1091, B508))</f>
        <v>#NAME?</v>
      </c>
      <c r="G508" s="12" t="s">
        <v>878</v>
      </c>
      <c r="H508" s="13" t="s">
        <v>971</v>
      </c>
      <c r="I508" s="13" t="s">
        <v>971</v>
      </c>
    </row>
    <row r="509" spans="1:9" ht="12.75">
      <c r="A509" s="9"/>
      <c r="B509" s="10" t="s">
        <v>1189</v>
      </c>
      <c r="C509" s="10" t="s">
        <v>1171</v>
      </c>
      <c r="D509" s="10" t="s">
        <v>1172</v>
      </c>
      <c r="E509" s="12" t="e">
        <f ca="1">_xludf.IFS(COUNTIF(보류목록!$B$3:$B$1000, B509)&gt;0, "-",COUNTIF(독서목록!$C$2:$C$1091, B509)=0, , COUNTIF(독서목록!$C$2:$C$1091, B509)&gt;0, COUNTIF(독서목록!$C$2:$C$1091, B509))</f>
        <v>#NAME?</v>
      </c>
      <c r="F509" s="12" t="e">
        <f ca="1">_xludf.IFS(COUNTIF(보류목록!$C$3:$C$1000, B509)&gt;0, "-",COUNTIF(독서목록!$D$2:$D$1091, B509)=0, , COUNTIF(독서목록!$D$2:$D$1091, B509)&gt;0, COUNTIF(독서목록!$D$2:$D$1091, B509))</f>
        <v>#NAME?</v>
      </c>
      <c r="G509" s="12" t="s">
        <v>878</v>
      </c>
      <c r="H509" s="13" t="s">
        <v>971</v>
      </c>
      <c r="I509" s="13" t="s">
        <v>971</v>
      </c>
    </row>
    <row r="510" spans="1:9" ht="12.75">
      <c r="A510" s="9"/>
      <c r="B510" s="10" t="s">
        <v>1190</v>
      </c>
      <c r="C510" s="10" t="s">
        <v>1171</v>
      </c>
      <c r="D510" s="10" t="s">
        <v>1172</v>
      </c>
      <c r="E510" s="12" t="e">
        <f ca="1">_xludf.IFS(COUNTIF(보류목록!$B$3:$B$1000, B510)&gt;0, "-",COUNTIF(독서목록!$C$2:$C$1091, B510)=0, , COUNTIF(독서목록!$C$2:$C$1091, B510)&gt;0, COUNTIF(독서목록!$C$2:$C$1091, B510))</f>
        <v>#NAME?</v>
      </c>
      <c r="F510" s="12" t="e">
        <f ca="1">_xludf.IFS(COUNTIF(보류목록!$C$3:$C$1000, B510)&gt;0, "-",COUNTIF(독서목록!$D$2:$D$1091, B510)=0, , COUNTIF(독서목록!$D$2:$D$1091, B510)&gt;0, COUNTIF(독서목록!$D$2:$D$1091, B510))</f>
        <v>#NAME?</v>
      </c>
      <c r="G510" s="12" t="s">
        <v>878</v>
      </c>
      <c r="H510" s="13" t="s">
        <v>971</v>
      </c>
      <c r="I510" s="13" t="s">
        <v>971</v>
      </c>
    </row>
    <row r="511" spans="1:9" ht="12.75">
      <c r="A511" s="9"/>
      <c r="B511" s="10" t="s">
        <v>1191</v>
      </c>
      <c r="C511" s="10" t="s">
        <v>1171</v>
      </c>
      <c r="D511" s="10" t="s">
        <v>1172</v>
      </c>
      <c r="E511" s="12" t="e">
        <f ca="1">_xludf.IFS(COUNTIF(보류목록!$B$3:$B$1000, B511)&gt;0, "-",COUNTIF(독서목록!$C$2:$C$1091, B511)=0, , COUNTIF(독서목록!$C$2:$C$1091, B511)&gt;0, COUNTIF(독서목록!$C$2:$C$1091, B511))</f>
        <v>#NAME?</v>
      </c>
      <c r="F511" s="12" t="e">
        <f ca="1">_xludf.IFS(COUNTIF(보류목록!$C$3:$C$1000, B511)&gt;0, "-",COUNTIF(독서목록!$D$2:$D$1091, B511)=0, , COUNTIF(독서목록!$D$2:$D$1091, B511)&gt;0, COUNTIF(독서목록!$D$2:$D$1091, B511))</f>
        <v>#NAME?</v>
      </c>
      <c r="G511" s="12" t="s">
        <v>878</v>
      </c>
      <c r="H511" s="13" t="s">
        <v>971</v>
      </c>
      <c r="I511" s="13" t="s">
        <v>971</v>
      </c>
    </row>
    <row r="512" spans="1:9" ht="12.75">
      <c r="A512" s="9"/>
      <c r="B512" s="10" t="s">
        <v>1192</v>
      </c>
      <c r="C512" s="10" t="s">
        <v>1171</v>
      </c>
      <c r="D512" s="10" t="s">
        <v>1172</v>
      </c>
      <c r="E512" s="12" t="e">
        <f ca="1">_xludf.IFS(COUNTIF(보류목록!$B$3:$B$1000, B512)&gt;0, "-",COUNTIF(독서목록!$C$2:$C$1091, B512)=0, , COUNTIF(독서목록!$C$2:$C$1091, B512)&gt;0, COUNTIF(독서목록!$C$2:$C$1091, B512))</f>
        <v>#NAME?</v>
      </c>
      <c r="F512" s="12" t="e">
        <f ca="1">_xludf.IFS(COUNTIF(보류목록!$C$3:$C$1000, B512)&gt;0, "-",COUNTIF(독서목록!$D$2:$D$1091, B512)=0, , COUNTIF(독서목록!$D$2:$D$1091, B512)&gt;0, COUNTIF(독서목록!$D$2:$D$1091, B512))</f>
        <v>#NAME?</v>
      </c>
      <c r="G512" s="12" t="s">
        <v>878</v>
      </c>
      <c r="H512" s="13" t="s">
        <v>971</v>
      </c>
      <c r="I512" s="13" t="s">
        <v>971</v>
      </c>
    </row>
    <row r="513" spans="1:9" ht="12.75">
      <c r="A513" s="9"/>
      <c r="B513" s="10" t="s">
        <v>1193</v>
      </c>
      <c r="C513" s="10" t="s">
        <v>1171</v>
      </c>
      <c r="D513" s="10" t="s">
        <v>1172</v>
      </c>
      <c r="E513" s="12" t="e">
        <f ca="1">_xludf.IFS(COUNTIF(보류목록!$B$3:$B$1000, B513)&gt;0, "-",COUNTIF(독서목록!$C$2:$C$1091, B513)=0, , COUNTIF(독서목록!$C$2:$C$1091, B513)&gt;0, COUNTIF(독서목록!$C$2:$C$1091, B513))</f>
        <v>#NAME?</v>
      </c>
      <c r="F513" s="12" t="e">
        <f ca="1">_xludf.IFS(COUNTIF(보류목록!$C$3:$C$1000, B513)&gt;0, "-",COUNTIF(독서목록!$D$2:$D$1091, B513)=0, , COUNTIF(독서목록!$D$2:$D$1091, B513)&gt;0, COUNTIF(독서목록!$D$2:$D$1091, B513))</f>
        <v>#NAME?</v>
      </c>
      <c r="G513" s="12" t="s">
        <v>878</v>
      </c>
      <c r="H513" s="13" t="s">
        <v>971</v>
      </c>
      <c r="I513" s="13" t="s">
        <v>971</v>
      </c>
    </row>
    <row r="514" spans="1:9" ht="12.75">
      <c r="A514" s="9"/>
      <c r="B514" s="10" t="s">
        <v>1194</v>
      </c>
      <c r="C514" s="10" t="s">
        <v>1171</v>
      </c>
      <c r="D514" s="10" t="s">
        <v>1172</v>
      </c>
      <c r="E514" s="12" t="e">
        <f ca="1">_xludf.IFS(COUNTIF(보류목록!$B$3:$B$1000, B514)&gt;0, "-",COUNTIF(독서목록!$C$2:$C$1091, B514)=0, , COUNTIF(독서목록!$C$2:$C$1091, B514)&gt;0, COUNTIF(독서목록!$C$2:$C$1091, B514))</f>
        <v>#NAME?</v>
      </c>
      <c r="F514" s="12" t="e">
        <f ca="1">_xludf.IFS(COUNTIF(보류목록!$C$3:$C$1000, B514)&gt;0, "-",COUNTIF(독서목록!$D$2:$D$1091, B514)=0, , COUNTIF(독서목록!$D$2:$D$1091, B514)&gt;0, COUNTIF(독서목록!$D$2:$D$1091, B514))</f>
        <v>#NAME?</v>
      </c>
      <c r="G514" s="12" t="s">
        <v>878</v>
      </c>
      <c r="H514" s="13" t="s">
        <v>971</v>
      </c>
      <c r="I514" s="13" t="s">
        <v>971</v>
      </c>
    </row>
    <row r="515" spans="1:9" ht="12.75">
      <c r="A515" s="9"/>
      <c r="B515" s="10" t="s">
        <v>1195</v>
      </c>
      <c r="C515" s="10" t="s">
        <v>1171</v>
      </c>
      <c r="D515" s="10" t="s">
        <v>1172</v>
      </c>
      <c r="E515" s="12" t="e">
        <f ca="1">_xludf.IFS(COUNTIF(보류목록!$B$3:$B$1000, B515)&gt;0, "-",COUNTIF(독서목록!$C$2:$C$1091, B515)=0, , COUNTIF(독서목록!$C$2:$C$1091, B515)&gt;0, COUNTIF(독서목록!$C$2:$C$1091, B515))</f>
        <v>#NAME?</v>
      </c>
      <c r="F515" s="12" t="e">
        <f ca="1">_xludf.IFS(COUNTIF(보류목록!$C$3:$C$1000, B515)&gt;0, "-",COUNTIF(독서목록!$D$2:$D$1091, B515)=0, , COUNTIF(독서목록!$D$2:$D$1091, B515)&gt;0, COUNTIF(독서목록!$D$2:$D$1091, B515))</f>
        <v>#NAME?</v>
      </c>
      <c r="G515" s="12" t="s">
        <v>878</v>
      </c>
      <c r="H515" s="13" t="s">
        <v>971</v>
      </c>
      <c r="I515" s="13" t="s">
        <v>971</v>
      </c>
    </row>
    <row r="516" spans="1:9" ht="12.75">
      <c r="A516" s="9"/>
      <c r="B516" s="10" t="s">
        <v>1196</v>
      </c>
      <c r="C516" s="10" t="s">
        <v>1197</v>
      </c>
      <c r="D516" s="10" t="s">
        <v>1198</v>
      </c>
      <c r="E516" s="12" t="e">
        <f ca="1">_xludf.IFS(COUNTIF(보류목록!$B$3:$B$1000, B516)&gt;0, "-",COUNTIF(독서목록!$C$2:$C$1091, B516)=0, , COUNTIF(독서목록!$C$2:$C$1091, B516)&gt;0, COUNTIF(독서목록!$C$2:$C$1091, B516))</f>
        <v>#NAME?</v>
      </c>
      <c r="F516" s="12" t="e">
        <f ca="1">_xludf.IFS(COUNTIF(보류목록!$C$3:$C$1000, B516)&gt;0, "-",COUNTIF(독서목록!$D$2:$D$1091, B516)=0, , COUNTIF(독서목록!$D$2:$D$1091, B516)&gt;0, COUNTIF(독서목록!$D$2:$D$1091, B516))</f>
        <v>#NAME?</v>
      </c>
      <c r="G516" s="12" t="s">
        <v>878</v>
      </c>
      <c r="H516" s="13" t="s">
        <v>971</v>
      </c>
      <c r="I516" s="13" t="s">
        <v>971</v>
      </c>
    </row>
    <row r="517" spans="1:9" ht="12.75">
      <c r="A517" s="9"/>
      <c r="B517" s="10" t="s">
        <v>1199</v>
      </c>
      <c r="C517" s="10" t="s">
        <v>1200</v>
      </c>
      <c r="D517" s="10" t="s">
        <v>1198</v>
      </c>
      <c r="E517" s="12" t="e">
        <f ca="1">_xludf.IFS(COUNTIF(보류목록!$B$3:$B$1000, B517)&gt;0, "-",COUNTIF(독서목록!$C$2:$C$1091, B517)=0, , COUNTIF(독서목록!$C$2:$C$1091, B517)&gt;0, COUNTIF(독서목록!$C$2:$C$1091, B517))</f>
        <v>#NAME?</v>
      </c>
      <c r="F517" s="12" t="e">
        <f ca="1">_xludf.IFS(COUNTIF(보류목록!$C$3:$C$1000, B517)&gt;0, "-",COUNTIF(독서목록!$D$2:$D$1091, B517)=0, , COUNTIF(독서목록!$D$2:$D$1091, B517)&gt;0, COUNTIF(독서목록!$D$2:$D$1091, B517))</f>
        <v>#NAME?</v>
      </c>
      <c r="G517" s="12" t="s">
        <v>878</v>
      </c>
      <c r="H517" s="13" t="s">
        <v>971</v>
      </c>
      <c r="I517" s="13" t="s">
        <v>971</v>
      </c>
    </row>
    <row r="518" spans="1:9" ht="12.75">
      <c r="A518" s="9"/>
      <c r="B518" s="10" t="s">
        <v>710</v>
      </c>
      <c r="C518" s="10" t="s">
        <v>711</v>
      </c>
      <c r="D518" s="10" t="s">
        <v>1198</v>
      </c>
      <c r="E518" s="12" t="e">
        <f ca="1">_xludf.IFS(COUNTIF(보류목록!$B$3:$B$1000, B518)&gt;0, "-",COUNTIF(독서목록!$C$2:$C$1091, B518)=0, , COUNTIF(독서목록!$C$2:$C$1091, B518)&gt;0, COUNTIF(독서목록!$C$2:$C$1091, B518))</f>
        <v>#NAME?</v>
      </c>
      <c r="F518" s="12" t="e">
        <f ca="1">_xludf.IFS(COUNTIF(보류목록!$C$3:$C$1000, B518)&gt;0, "-",COUNTIF(독서목록!$D$2:$D$1091, B518)=0, , COUNTIF(독서목록!$D$2:$D$1091, B518)&gt;0, COUNTIF(독서목록!$D$2:$D$1091, B518))</f>
        <v>#NAME?</v>
      </c>
      <c r="G518" s="12" t="s">
        <v>878</v>
      </c>
      <c r="H518" s="13" t="s">
        <v>971</v>
      </c>
      <c r="I518" s="13" t="s">
        <v>971</v>
      </c>
    </row>
    <row r="519" spans="1:9" ht="12.75">
      <c r="A519" s="9"/>
      <c r="B519" s="10" t="s">
        <v>1201</v>
      </c>
      <c r="C519" s="10" t="s">
        <v>1202</v>
      </c>
      <c r="D519" s="10" t="s">
        <v>1198</v>
      </c>
      <c r="E519" s="12" t="e">
        <f ca="1">_xludf.IFS(COUNTIF(보류목록!$B$3:$B$1000, B519)&gt;0, "-",COUNTIF(독서목록!$C$2:$C$1091, B519)=0, , COUNTIF(독서목록!$C$2:$C$1091, B519)&gt;0, COUNTIF(독서목록!$C$2:$C$1091, B519))</f>
        <v>#NAME?</v>
      </c>
      <c r="F519" s="12" t="e">
        <f ca="1">_xludf.IFS(COUNTIF(보류목록!$C$3:$C$1000, B519)&gt;0, "-",COUNTIF(독서목록!$D$2:$D$1091, B519)=0, , COUNTIF(독서목록!$D$2:$D$1091, B519)&gt;0, COUNTIF(독서목록!$D$2:$D$1091, B519))</f>
        <v>#NAME?</v>
      </c>
      <c r="G519" s="12" t="s">
        <v>878</v>
      </c>
      <c r="H519" s="13" t="s">
        <v>971</v>
      </c>
      <c r="I519" s="13" t="s">
        <v>971</v>
      </c>
    </row>
    <row r="520" spans="1:9" ht="12.75">
      <c r="A520" s="9"/>
      <c r="B520" s="10" t="s">
        <v>559</v>
      </c>
      <c r="C520" s="10" t="s">
        <v>560</v>
      </c>
      <c r="D520" s="10" t="s">
        <v>1198</v>
      </c>
      <c r="E520" s="12" t="e">
        <f ca="1">_xludf.IFS(COUNTIF(보류목록!$B$3:$B$1000, B520)&gt;0, "-",COUNTIF(독서목록!$C$2:$C$1091, B520)=0, , COUNTIF(독서목록!$C$2:$C$1091, B520)&gt;0, COUNTIF(독서목록!$C$2:$C$1091, B520))</f>
        <v>#NAME?</v>
      </c>
      <c r="F520" s="12" t="e">
        <f ca="1">_xludf.IFS(COUNTIF(보류목록!$C$3:$C$1000, B520)&gt;0, "-",COUNTIF(독서목록!$D$2:$D$1091, B520)=0, , COUNTIF(독서목록!$D$2:$D$1091, B520)&gt;0, COUNTIF(독서목록!$D$2:$D$1091, B520))</f>
        <v>#NAME?</v>
      </c>
      <c r="G520" s="12" t="s">
        <v>878</v>
      </c>
      <c r="H520" s="13" t="s">
        <v>971</v>
      </c>
      <c r="I520" s="13" t="s">
        <v>971</v>
      </c>
    </row>
    <row r="521" spans="1:9" ht="12.75">
      <c r="A521" s="9"/>
      <c r="B521" s="10" t="s">
        <v>1203</v>
      </c>
      <c r="C521" s="10" t="s">
        <v>1204</v>
      </c>
      <c r="D521" s="10" t="s">
        <v>1198</v>
      </c>
      <c r="E521" s="12" t="e">
        <f ca="1">_xludf.IFS(COUNTIF(보류목록!$B$3:$B$1000, B521)&gt;0, "-",COUNTIF(독서목록!$C$2:$C$1091, B521)=0, , COUNTIF(독서목록!$C$2:$C$1091, B521)&gt;0, COUNTIF(독서목록!$C$2:$C$1091, B521))</f>
        <v>#NAME?</v>
      </c>
      <c r="F521" s="12" t="e">
        <f ca="1">_xludf.IFS(COUNTIF(보류목록!$C$3:$C$1000, B521)&gt;0, "-",COUNTIF(독서목록!$D$2:$D$1091, B521)=0, , COUNTIF(독서목록!$D$2:$D$1091, B521)&gt;0, COUNTIF(독서목록!$D$2:$D$1091, B521))</f>
        <v>#NAME?</v>
      </c>
      <c r="G521" s="12" t="s">
        <v>878</v>
      </c>
      <c r="H521" s="13" t="s">
        <v>971</v>
      </c>
      <c r="I521" s="13" t="s">
        <v>971</v>
      </c>
    </row>
    <row r="522" spans="1:9" ht="12.75">
      <c r="A522" s="9"/>
      <c r="B522" s="10" t="s">
        <v>1205</v>
      </c>
      <c r="C522" s="10" t="s">
        <v>1206</v>
      </c>
      <c r="D522" s="10" t="s">
        <v>1198</v>
      </c>
      <c r="E522" s="12" t="e">
        <f ca="1">_xludf.IFS(COUNTIF(보류목록!$B$3:$B$1000, B522)&gt;0, "-",COUNTIF(독서목록!$C$2:$C$1091, B522)=0, , COUNTIF(독서목록!$C$2:$C$1091, B522)&gt;0, COUNTIF(독서목록!$C$2:$C$1091, B522))</f>
        <v>#NAME?</v>
      </c>
      <c r="F522" s="12" t="e">
        <f ca="1">_xludf.IFS(COUNTIF(보류목록!$C$3:$C$1000, B522)&gt;0, "-",COUNTIF(독서목록!$D$2:$D$1091, B522)=0, , COUNTIF(독서목록!$D$2:$D$1091, B522)&gt;0, COUNTIF(독서목록!$D$2:$D$1091, B522))</f>
        <v>#NAME?</v>
      </c>
      <c r="G522" s="12" t="s">
        <v>878</v>
      </c>
      <c r="H522" s="13" t="s">
        <v>971</v>
      </c>
      <c r="I522" s="13" t="s">
        <v>971</v>
      </c>
    </row>
    <row r="523" spans="1:9" ht="12.75">
      <c r="A523" s="9"/>
      <c r="B523" s="10" t="s">
        <v>1207</v>
      </c>
      <c r="C523" s="10" t="s">
        <v>1208</v>
      </c>
      <c r="D523" s="10" t="s">
        <v>15</v>
      </c>
      <c r="E523" s="12" t="e">
        <f ca="1">_xludf.IFS(COUNTIF(보류목록!$B$3:$B$1000, B523)&gt;0, "-",COUNTIF(독서목록!$C$2:$C$1091, B523)=0, , COUNTIF(독서목록!$C$2:$C$1091, B523)&gt;0, COUNTIF(독서목록!$C$2:$C$1091, B523))</f>
        <v>#NAME?</v>
      </c>
      <c r="F523" s="12" t="e">
        <f ca="1">_xludf.IFS(COUNTIF(보류목록!$C$3:$C$1000, B523)&gt;0, "-",COUNTIF(독서목록!$D$2:$D$1091, B523)=0, , COUNTIF(독서목록!$D$2:$D$1091, B523)&gt;0, COUNTIF(독서목록!$D$2:$D$1091, B523))</f>
        <v>#NAME?</v>
      </c>
      <c r="G523" s="12" t="s">
        <v>878</v>
      </c>
      <c r="H523" s="13" t="s">
        <v>971</v>
      </c>
      <c r="I523" s="13" t="s">
        <v>971</v>
      </c>
    </row>
    <row r="524" spans="1:9" ht="12.75">
      <c r="A524" s="9"/>
      <c r="B524" s="10" t="s">
        <v>1209</v>
      </c>
      <c r="C524" s="10" t="s">
        <v>1165</v>
      </c>
      <c r="D524" s="10" t="s">
        <v>1166</v>
      </c>
      <c r="E524" s="12" t="e">
        <f ca="1">_xludf.IFS(COUNTIF(보류목록!$B$3:$B$1000, B524)&gt;0, "-",COUNTIF(독서목록!$C$2:$C$1091, B524)=0, , COUNTIF(독서목록!$C$2:$C$1091, B524)&gt;0, COUNTIF(독서목록!$C$2:$C$1091, B524))</f>
        <v>#NAME?</v>
      </c>
      <c r="F524" s="12" t="e">
        <f ca="1">_xludf.IFS(COUNTIF(보류목록!$C$3:$C$1000, B524)&gt;0, "-",COUNTIF(독서목록!$D$2:$D$1091, B524)=0, , COUNTIF(독서목록!$D$2:$D$1091, B524)&gt;0, COUNTIF(독서목록!$D$2:$D$1091, B524))</f>
        <v>#NAME?</v>
      </c>
      <c r="G524" s="12" t="s">
        <v>878</v>
      </c>
      <c r="H524" s="13" t="s">
        <v>971</v>
      </c>
      <c r="I524" s="13" t="s">
        <v>971</v>
      </c>
    </row>
    <row r="525" spans="1:9" ht="12.75">
      <c r="A525" s="9"/>
      <c r="B525" s="10" t="s">
        <v>1210</v>
      </c>
      <c r="C525" s="10" t="s">
        <v>1211</v>
      </c>
      <c r="D525" s="10" t="s">
        <v>1212</v>
      </c>
      <c r="E525" s="12" t="e">
        <f ca="1">_xludf.IFS(COUNTIF(보류목록!$B$3:$B$1000, B525)&gt;0, "-",COUNTIF(독서목록!$C$2:$C$1091, B525)=0, , COUNTIF(독서목록!$C$2:$C$1091, B525)&gt;0, COUNTIF(독서목록!$C$2:$C$1091, B525))</f>
        <v>#NAME?</v>
      </c>
      <c r="F525" s="12" t="e">
        <f ca="1">_xludf.IFS(COUNTIF(보류목록!$C$3:$C$1000, B525)&gt;0, "-",COUNTIF(독서목록!$D$2:$D$1091, B525)=0, , COUNTIF(독서목록!$D$2:$D$1091, B525)&gt;0, COUNTIF(독서목록!$D$2:$D$1091, B525))</f>
        <v>#NAME?</v>
      </c>
      <c r="G525" s="12" t="s">
        <v>878</v>
      </c>
      <c r="H525" s="13" t="s">
        <v>971</v>
      </c>
      <c r="I525" s="13" t="s">
        <v>971</v>
      </c>
    </row>
    <row r="526" spans="1:9" ht="12.75">
      <c r="A526" s="9"/>
      <c r="B526" s="10" t="s">
        <v>1213</v>
      </c>
      <c r="C526" s="10" t="s">
        <v>1214</v>
      </c>
      <c r="D526" s="10" t="s">
        <v>791</v>
      </c>
      <c r="E526" s="12" t="e">
        <f ca="1">_xludf.IFS(COUNTIF(보류목록!$B$3:$B$1000, B526)&gt;0, "-",COUNTIF(독서목록!$C$2:$C$1091, B526)=0, , COUNTIF(독서목록!$C$2:$C$1091, B526)&gt;0, COUNTIF(독서목록!$C$2:$C$1091, B526))</f>
        <v>#NAME?</v>
      </c>
      <c r="F526" s="12" t="e">
        <f ca="1">_xludf.IFS(COUNTIF(보류목록!$C$3:$C$1000, B526)&gt;0, "-",COUNTIF(독서목록!$D$2:$D$1091, B526)=0, , COUNTIF(독서목록!$D$2:$D$1091, B526)&gt;0, COUNTIF(독서목록!$D$2:$D$1091, B526))</f>
        <v>#NAME?</v>
      </c>
      <c r="G526" s="12" t="s">
        <v>1173</v>
      </c>
      <c r="H526" s="13" t="s">
        <v>971</v>
      </c>
      <c r="I526" s="13" t="s">
        <v>971</v>
      </c>
    </row>
    <row r="527" spans="1:9" ht="12.75">
      <c r="A527" s="9"/>
      <c r="B527" s="10" t="s">
        <v>1215</v>
      </c>
      <c r="C527" s="10" t="s">
        <v>1214</v>
      </c>
      <c r="D527" s="10" t="s">
        <v>1216</v>
      </c>
      <c r="E527" s="12" t="e">
        <f ca="1">_xludf.IFS(COUNTIF(보류목록!$B$3:$B$1000, B527)&gt;0, "-",COUNTIF(독서목록!$C$2:$C$1091, B527)=0, , COUNTIF(독서목록!$C$2:$C$1091, B527)&gt;0, COUNTIF(독서목록!$C$2:$C$1091, B527))</f>
        <v>#NAME?</v>
      </c>
      <c r="F527" s="12" t="e">
        <f ca="1">_xludf.IFS(COUNTIF(보류목록!$C$3:$C$1000, B527)&gt;0, "-",COUNTIF(독서목록!$D$2:$D$1091, B527)=0, , COUNTIF(독서목록!$D$2:$D$1091, B527)&gt;0, COUNTIF(독서목록!$D$2:$D$1091, B527))</f>
        <v>#NAME?</v>
      </c>
      <c r="G527" s="12" t="s">
        <v>878</v>
      </c>
      <c r="H527" s="13" t="s">
        <v>971</v>
      </c>
      <c r="I527" s="13" t="s">
        <v>971</v>
      </c>
    </row>
    <row r="528" spans="1:9" ht="12.75">
      <c r="A528" s="9"/>
      <c r="B528" s="10" t="s">
        <v>1217</v>
      </c>
      <c r="C528" s="10" t="s">
        <v>179</v>
      </c>
      <c r="D528" s="10" t="s">
        <v>1218</v>
      </c>
      <c r="E528" s="12" t="e">
        <f ca="1">_xludf.IFS(COUNTIF(보류목록!$B$3:$B$1000, B528)&gt;0, "-",COUNTIF(독서목록!$C$2:$C$1091, B528)=0, , COUNTIF(독서목록!$C$2:$C$1091, B528)&gt;0, COUNTIF(독서목록!$C$2:$C$1091, B528))</f>
        <v>#NAME?</v>
      </c>
      <c r="F528" s="12" t="e">
        <f ca="1">_xludf.IFS(COUNTIF(보류목록!$C$3:$C$1000, B528)&gt;0, "-",COUNTIF(독서목록!$D$2:$D$1091, B528)=0, , COUNTIF(독서목록!$D$2:$D$1091, B528)&gt;0, COUNTIF(독서목록!$D$2:$D$1091, B528))</f>
        <v>#NAME?</v>
      </c>
      <c r="G528" s="12" t="s">
        <v>878</v>
      </c>
      <c r="H528" s="13" t="s">
        <v>971</v>
      </c>
      <c r="I528" s="13" t="s">
        <v>971</v>
      </c>
    </row>
    <row r="529" spans="1:9" ht="12.75">
      <c r="A529" s="9"/>
      <c r="B529" s="10" t="s">
        <v>1219</v>
      </c>
      <c r="C529" s="10" t="s">
        <v>179</v>
      </c>
      <c r="D529" s="10" t="s">
        <v>1218</v>
      </c>
      <c r="E529" s="12" t="e">
        <f ca="1">_xludf.IFS(COUNTIF(보류목록!$B$3:$B$1000, B529)&gt;0, "-",COUNTIF(독서목록!$C$2:$C$1091, B529)=0, , COUNTIF(독서목록!$C$2:$C$1091, B529)&gt;0, COUNTIF(독서목록!$C$2:$C$1091, B529))</f>
        <v>#NAME?</v>
      </c>
      <c r="F529" s="12" t="e">
        <f ca="1">_xludf.IFS(COUNTIF(보류목록!$C$3:$C$1000, B529)&gt;0, "-",COUNTIF(독서목록!$D$2:$D$1091, B529)=0, , COUNTIF(독서목록!$D$2:$D$1091, B529)&gt;0, COUNTIF(독서목록!$D$2:$D$1091, B529))</f>
        <v>#NAME?</v>
      </c>
      <c r="G529" s="12" t="s">
        <v>878</v>
      </c>
      <c r="H529" s="13" t="s">
        <v>971</v>
      </c>
      <c r="I529" s="13" t="s">
        <v>971</v>
      </c>
    </row>
    <row r="530" spans="1:9" ht="12.75">
      <c r="A530" s="9"/>
      <c r="B530" s="10" t="s">
        <v>1220</v>
      </c>
      <c r="C530" s="10" t="s">
        <v>179</v>
      </c>
      <c r="D530" s="10" t="s">
        <v>1218</v>
      </c>
      <c r="E530" s="12" t="e">
        <f ca="1">_xludf.IFS(COUNTIF(보류목록!$B$3:$B$1000, B530)&gt;0, "-",COUNTIF(독서목록!$C$2:$C$1091, B530)=0, , COUNTIF(독서목록!$C$2:$C$1091, B530)&gt;0, COUNTIF(독서목록!$C$2:$C$1091, B530))</f>
        <v>#NAME?</v>
      </c>
      <c r="F530" s="12" t="e">
        <f ca="1">_xludf.IFS(COUNTIF(보류목록!$C$3:$C$1000, B530)&gt;0, "-",COUNTIF(독서목록!$D$2:$D$1091, B530)=0, , COUNTIF(독서목록!$D$2:$D$1091, B530)&gt;0, COUNTIF(독서목록!$D$2:$D$1091, B530))</f>
        <v>#NAME?</v>
      </c>
      <c r="G530" s="12" t="s">
        <v>878</v>
      </c>
      <c r="H530" s="13" t="s">
        <v>971</v>
      </c>
      <c r="I530" s="13" t="s">
        <v>971</v>
      </c>
    </row>
    <row r="531" spans="1:9" ht="12.75">
      <c r="A531" s="9"/>
      <c r="B531" s="10" t="s">
        <v>1221</v>
      </c>
      <c r="C531" s="10" t="s">
        <v>1222</v>
      </c>
      <c r="D531" s="30" t="s">
        <v>1223</v>
      </c>
      <c r="E531" s="12" t="e">
        <f ca="1">_xludf.IFS(COUNTIF(보류목록!$B$3:$B$1000, B531)&gt;0, "-",COUNTIF(독서목록!$C$2:$C$1091, B531)=0, , COUNTIF(독서목록!$C$2:$C$1091, B531)&gt;0, COUNTIF(독서목록!$C$2:$C$1091, B531))</f>
        <v>#NAME?</v>
      </c>
      <c r="F531" s="12" t="e">
        <f ca="1">_xludf.IFS(COUNTIF(보류목록!$C$3:$C$1000, B531)&gt;0, "-",COUNTIF(독서목록!$D$2:$D$1091, B531)=0, , COUNTIF(독서목록!$D$2:$D$1091, B531)&gt;0, COUNTIF(독서목록!$D$2:$D$1091, B531))</f>
        <v>#NAME?</v>
      </c>
      <c r="G531" s="12" t="s">
        <v>878</v>
      </c>
      <c r="H531" s="13" t="s">
        <v>971</v>
      </c>
      <c r="I531" s="13" t="s">
        <v>971</v>
      </c>
    </row>
    <row r="532" spans="1:9" ht="12.75">
      <c r="A532" s="9"/>
      <c r="B532" s="10" t="s">
        <v>1224</v>
      </c>
      <c r="C532" s="10" t="s">
        <v>1222</v>
      </c>
      <c r="D532" s="10" t="s">
        <v>1225</v>
      </c>
      <c r="E532" s="12" t="e">
        <f ca="1">_xludf.IFS(COUNTIF(보류목록!$B$3:$B$1000, B532)&gt;0, "-",COUNTIF(독서목록!$C$2:$C$1091, B532)=0, , COUNTIF(독서목록!$C$2:$C$1091, B532)&gt;0, COUNTIF(독서목록!$C$2:$C$1091, B532))</f>
        <v>#NAME?</v>
      </c>
      <c r="F532" s="12" t="e">
        <f ca="1">_xludf.IFS(COUNTIF(보류목록!$C$3:$C$1000, B532)&gt;0, "-",COUNTIF(독서목록!$D$2:$D$1091, B532)=0, , COUNTIF(독서목록!$D$2:$D$1091, B532)&gt;0, COUNTIF(독서목록!$D$2:$D$1091, B532))</f>
        <v>#NAME?</v>
      </c>
      <c r="G532" s="12" t="s">
        <v>878</v>
      </c>
      <c r="H532" s="13" t="s">
        <v>971</v>
      </c>
      <c r="I532" s="13" t="s">
        <v>971</v>
      </c>
    </row>
    <row r="533" spans="1:9" ht="12.75">
      <c r="A533" s="9"/>
      <c r="B533" s="10" t="s">
        <v>1226</v>
      </c>
      <c r="C533" s="10" t="s">
        <v>1222</v>
      </c>
      <c r="D533" s="10" t="s">
        <v>1225</v>
      </c>
      <c r="E533" s="12" t="e">
        <f ca="1">_xludf.IFS(COUNTIF(보류목록!$B$3:$B$1000, B533)&gt;0, "-",COUNTIF(독서목록!$C$2:$C$1091, B533)=0, , COUNTIF(독서목록!$C$2:$C$1091, B533)&gt;0, COUNTIF(독서목록!$C$2:$C$1091, B533))</f>
        <v>#NAME?</v>
      </c>
      <c r="F533" s="12" t="e">
        <f ca="1">_xludf.IFS(COUNTIF(보류목록!$C$3:$C$1000, B533)&gt;0, "-",COUNTIF(독서목록!$D$2:$D$1091, B533)=0, , COUNTIF(독서목록!$D$2:$D$1091, B533)&gt;0, COUNTIF(독서목록!$D$2:$D$1091, B533))</f>
        <v>#NAME?</v>
      </c>
      <c r="G533" s="12" t="s">
        <v>878</v>
      </c>
      <c r="H533" s="13" t="s">
        <v>971</v>
      </c>
      <c r="I533" s="13" t="s">
        <v>971</v>
      </c>
    </row>
    <row r="534" spans="1:9" ht="12.75">
      <c r="A534" s="9"/>
      <c r="B534" s="10" t="s">
        <v>1227</v>
      </c>
      <c r="C534" s="10" t="s">
        <v>1228</v>
      </c>
      <c r="D534" s="10" t="s">
        <v>1229</v>
      </c>
      <c r="E534" s="12" t="e">
        <f ca="1">_xludf.IFS(COUNTIF(보류목록!$B$3:$B$1000, B534)&gt;0, "-",COUNTIF(독서목록!$C$2:$C$1091, B534)=0, , COUNTIF(독서목록!$C$2:$C$1091, B534)&gt;0, COUNTIF(독서목록!$C$2:$C$1091, B534))</f>
        <v>#NAME?</v>
      </c>
      <c r="F534" s="12" t="e">
        <f ca="1">_xludf.IFS(COUNTIF(보류목록!$C$3:$C$1000, B534)&gt;0, "-",COUNTIF(독서목록!$D$2:$D$1091, B534)=0, , COUNTIF(독서목록!$D$2:$D$1091, B534)&gt;0, COUNTIF(독서목록!$D$2:$D$1091, B534))</f>
        <v>#NAME?</v>
      </c>
      <c r="G534" s="12" t="s">
        <v>878</v>
      </c>
      <c r="H534" s="13" t="s">
        <v>971</v>
      </c>
      <c r="I534" s="13" t="s">
        <v>971</v>
      </c>
    </row>
    <row r="535" spans="1:9" ht="12.75">
      <c r="A535" s="9"/>
      <c r="B535" s="10" t="s">
        <v>1230</v>
      </c>
      <c r="C535" s="10" t="s">
        <v>1228</v>
      </c>
      <c r="D535" s="10" t="s">
        <v>1229</v>
      </c>
      <c r="E535" s="12" t="e">
        <f ca="1">_xludf.IFS(COUNTIF(보류목록!$B$3:$B$1000, B535)&gt;0, "-",COUNTIF(독서목록!$C$2:$C$1091, B535)=0, , COUNTIF(독서목록!$C$2:$C$1091, B535)&gt;0, COUNTIF(독서목록!$C$2:$C$1091, B535))</f>
        <v>#NAME?</v>
      </c>
      <c r="F535" s="12" t="e">
        <f ca="1">_xludf.IFS(COUNTIF(보류목록!$C$3:$C$1000, B535)&gt;0, "-",COUNTIF(독서목록!$D$2:$D$1091, B535)=0, , COUNTIF(독서목록!$D$2:$D$1091, B535)&gt;0, COUNTIF(독서목록!$D$2:$D$1091, B535))</f>
        <v>#NAME?</v>
      </c>
      <c r="G535" s="12" t="s">
        <v>878</v>
      </c>
      <c r="H535" s="13" t="s">
        <v>971</v>
      </c>
      <c r="I535" s="13" t="s">
        <v>971</v>
      </c>
    </row>
    <row r="536" spans="1:9" ht="12.75">
      <c r="A536" s="9"/>
      <c r="B536" s="10" t="s">
        <v>1231</v>
      </c>
      <c r="C536" s="10" t="s">
        <v>1228</v>
      </c>
      <c r="D536" s="10" t="s">
        <v>1229</v>
      </c>
      <c r="E536" s="12" t="e">
        <f ca="1">_xludf.IFS(COUNTIF(보류목록!$B$3:$B$1000, B536)&gt;0, "-",COUNTIF(독서목록!$C$2:$C$1091, B536)=0, , COUNTIF(독서목록!$C$2:$C$1091, B536)&gt;0, COUNTIF(독서목록!$C$2:$C$1091, B536))</f>
        <v>#NAME?</v>
      </c>
      <c r="F536" s="12" t="e">
        <f ca="1">_xludf.IFS(COUNTIF(보류목록!$C$3:$C$1000, B536)&gt;0, "-",COUNTIF(독서목록!$D$2:$D$1091, B536)=0, , COUNTIF(독서목록!$D$2:$D$1091, B536)&gt;0, COUNTIF(독서목록!$D$2:$D$1091, B536))</f>
        <v>#NAME?</v>
      </c>
      <c r="G536" s="12" t="s">
        <v>878</v>
      </c>
      <c r="H536" s="13" t="s">
        <v>971</v>
      </c>
      <c r="I536" s="13" t="s">
        <v>971</v>
      </c>
    </row>
    <row r="537" spans="1:9" ht="12.75">
      <c r="A537" s="9"/>
      <c r="B537" s="10" t="s">
        <v>1232</v>
      </c>
      <c r="C537" s="10" t="s">
        <v>1228</v>
      </c>
      <c r="D537" s="10" t="s">
        <v>1229</v>
      </c>
      <c r="E537" s="12" t="e">
        <f ca="1">_xludf.IFS(COUNTIF(보류목록!$B$3:$B$1000, B537)&gt;0, "-",COUNTIF(독서목록!$C$2:$C$1091, B537)=0, , COUNTIF(독서목록!$C$2:$C$1091, B537)&gt;0, COUNTIF(독서목록!$C$2:$C$1091, B537))</f>
        <v>#NAME?</v>
      </c>
      <c r="F537" s="12" t="e">
        <f ca="1">_xludf.IFS(COUNTIF(보류목록!$C$3:$C$1000, B537)&gt;0, "-",COUNTIF(독서목록!$D$2:$D$1091, B537)=0, , COUNTIF(독서목록!$D$2:$D$1091, B537)&gt;0, COUNTIF(독서목록!$D$2:$D$1091, B537))</f>
        <v>#NAME?</v>
      </c>
      <c r="G537" s="12" t="s">
        <v>878</v>
      </c>
      <c r="H537" s="13" t="s">
        <v>971</v>
      </c>
      <c r="I537" s="13" t="s">
        <v>971</v>
      </c>
    </row>
    <row r="538" spans="1:9" ht="12.75">
      <c r="A538" s="9"/>
      <c r="B538" s="10" t="s">
        <v>1233</v>
      </c>
      <c r="C538" s="10" t="s">
        <v>1234</v>
      </c>
      <c r="D538" s="10" t="s">
        <v>15</v>
      </c>
      <c r="E538" s="12" t="e">
        <f ca="1">_xludf.IFS(COUNTIF(보류목록!$B$3:$B$1000, B538)&gt;0, "-",COUNTIF(독서목록!$C$2:$C$1091, B538)=0, , COUNTIF(독서목록!$C$2:$C$1091, B538)&gt;0, COUNTIF(독서목록!$C$2:$C$1091, B538))</f>
        <v>#NAME?</v>
      </c>
      <c r="F538" s="12" t="e">
        <f ca="1">_xludf.IFS(COUNTIF(보류목록!$C$3:$C$1000, B538)&gt;0, "-",COUNTIF(독서목록!$D$2:$D$1091, B538)=0, , COUNTIF(독서목록!$D$2:$D$1091, B538)&gt;0, COUNTIF(독서목록!$D$2:$D$1091, B538))</f>
        <v>#NAME?</v>
      </c>
      <c r="G538" s="12" t="s">
        <v>878</v>
      </c>
      <c r="H538" s="13" t="s">
        <v>971</v>
      </c>
      <c r="I538" s="13" t="s">
        <v>971</v>
      </c>
    </row>
    <row r="539" spans="1:9" ht="12.75">
      <c r="A539" s="9"/>
      <c r="B539" s="10" t="s">
        <v>1235</v>
      </c>
      <c r="C539" s="10" t="s">
        <v>1236</v>
      </c>
      <c r="D539" s="10" t="s">
        <v>1223</v>
      </c>
      <c r="E539" s="12" t="e">
        <f ca="1">_xludf.IFS(COUNTIF(보류목록!$B$3:$B$1000, B539)&gt;0, "-",COUNTIF(독서목록!$C$2:$C$1091, B539)=0, , COUNTIF(독서목록!$C$2:$C$1091, B539)&gt;0, COUNTIF(독서목록!$C$2:$C$1091, B539))</f>
        <v>#NAME?</v>
      </c>
      <c r="F539" s="12" t="e">
        <f ca="1">_xludf.IFS(COUNTIF(보류목록!$C$3:$C$1000, B539)&gt;0, "-",COUNTIF(독서목록!$D$2:$D$1091, B539)=0, , COUNTIF(독서목록!$D$2:$D$1091, B539)&gt;0, COUNTIF(독서목록!$D$2:$D$1091, B539))</f>
        <v>#NAME?</v>
      </c>
      <c r="G539" s="12" t="s">
        <v>878</v>
      </c>
      <c r="H539" s="13" t="s">
        <v>971</v>
      </c>
      <c r="I539" s="13" t="s">
        <v>971</v>
      </c>
    </row>
    <row r="540" spans="1:9" ht="12.75">
      <c r="A540" s="9"/>
      <c r="B540" s="10" t="s">
        <v>507</v>
      </c>
      <c r="C540" s="10" t="s">
        <v>508</v>
      </c>
      <c r="D540" s="10" t="s">
        <v>509</v>
      </c>
      <c r="E540" s="12" t="e">
        <f ca="1">_xludf.IFS(COUNTIF(보류목록!$B$3:$B$1000, B540)&gt;0, "-",COUNTIF(독서목록!$C$2:$C$1091, B540)=0, , COUNTIF(독서목록!$C$2:$C$1091, B540)&gt;0, COUNTIF(독서목록!$C$2:$C$1091, B540))</f>
        <v>#NAME?</v>
      </c>
      <c r="F540" s="12" t="e">
        <f ca="1">_xludf.IFS(COUNTIF(보류목록!$C$3:$C$1000, B540)&gt;0, "-",COUNTIF(독서목록!$D$2:$D$1091, B540)=0, , COUNTIF(독서목록!$D$2:$D$1091, B540)&gt;0, COUNTIF(독서목록!$D$2:$D$1091, B540))</f>
        <v>#NAME?</v>
      </c>
      <c r="G540" s="12" t="s">
        <v>878</v>
      </c>
      <c r="H540" s="13" t="s">
        <v>971</v>
      </c>
      <c r="I540" s="13" t="s">
        <v>971</v>
      </c>
    </row>
    <row r="541" spans="1:9" ht="12.75">
      <c r="A541" s="9"/>
      <c r="B541" s="10" t="s">
        <v>1237</v>
      </c>
      <c r="C541" s="10" t="s">
        <v>1238</v>
      </c>
      <c r="D541" s="10" t="s">
        <v>1239</v>
      </c>
      <c r="E541" s="12" t="e">
        <f ca="1">_xludf.IFS(COUNTIF(보류목록!$B$3:$B$1000, B541)&gt;0, "-",COUNTIF(독서목록!$C$2:$C$1091, B541)=0, , COUNTIF(독서목록!$C$2:$C$1091, B541)&gt;0, COUNTIF(독서목록!$C$2:$C$1091, B541))</f>
        <v>#NAME?</v>
      </c>
      <c r="F541" s="12" t="e">
        <f ca="1">_xludf.IFS(COUNTIF(보류목록!$C$3:$C$1000, B541)&gt;0, "-",COUNTIF(독서목록!$D$2:$D$1091, B541)=0, , COUNTIF(독서목록!$D$2:$D$1091, B541)&gt;0, COUNTIF(독서목록!$D$2:$D$1091, B541))</f>
        <v>#NAME?</v>
      </c>
      <c r="G541" s="12" t="s">
        <v>878</v>
      </c>
      <c r="H541" s="13" t="s">
        <v>971</v>
      </c>
      <c r="I541" s="13" t="s">
        <v>971</v>
      </c>
    </row>
    <row r="542" spans="1:9" ht="12.75">
      <c r="A542" s="9"/>
      <c r="B542" s="10" t="s">
        <v>1240</v>
      </c>
      <c r="C542" s="10" t="s">
        <v>1241</v>
      </c>
      <c r="D542" s="10" t="s">
        <v>1242</v>
      </c>
      <c r="E542" s="12" t="e">
        <f ca="1">_xludf.IFS(COUNTIF(보류목록!$B$3:$B$1000, B542)&gt;0, "-",COUNTIF(독서목록!$C$2:$C$1091, B542)=0, , COUNTIF(독서목록!$C$2:$C$1091, B542)&gt;0, COUNTIF(독서목록!$C$2:$C$1091, B542))</f>
        <v>#NAME?</v>
      </c>
      <c r="F542" s="12" t="e">
        <f ca="1">_xludf.IFS(COUNTIF(보류목록!$C$3:$C$1000, B542)&gt;0, "-",COUNTIF(독서목록!$D$2:$D$1091, B542)=0, , COUNTIF(독서목록!$D$2:$D$1091, B542)&gt;0, COUNTIF(독서목록!$D$2:$D$1091, B542))</f>
        <v>#NAME?</v>
      </c>
      <c r="G542" s="12" t="s">
        <v>878</v>
      </c>
      <c r="H542" s="13" t="s">
        <v>971</v>
      </c>
      <c r="I542" s="13" t="s">
        <v>971</v>
      </c>
    </row>
    <row r="543" spans="1:9" ht="12.75">
      <c r="A543" s="9"/>
      <c r="B543" s="10" t="s">
        <v>1243</v>
      </c>
      <c r="C543" s="10" t="s">
        <v>1244</v>
      </c>
      <c r="D543" s="10" t="s">
        <v>1245</v>
      </c>
      <c r="E543" s="12" t="e">
        <f ca="1">_xludf.IFS(COUNTIF(보류목록!$B$3:$B$1000, B543)&gt;0, "-",COUNTIF(독서목록!$C$2:$C$1091, B543)=0, , COUNTIF(독서목록!$C$2:$C$1091, B543)&gt;0, COUNTIF(독서목록!$C$2:$C$1091, B543))</f>
        <v>#NAME?</v>
      </c>
      <c r="F543" s="12" t="e">
        <f ca="1">_xludf.IFS(COUNTIF(보류목록!$C$3:$C$1000, B543)&gt;0, "-",COUNTIF(독서목록!$D$2:$D$1091, B543)=0, , COUNTIF(독서목록!$D$2:$D$1091, B543)&gt;0, COUNTIF(독서목록!$D$2:$D$1091, B543))</f>
        <v>#NAME?</v>
      </c>
      <c r="G543" s="12" t="s">
        <v>878</v>
      </c>
      <c r="H543" s="13" t="s">
        <v>971</v>
      </c>
      <c r="I543" s="13" t="s">
        <v>971</v>
      </c>
    </row>
    <row r="544" spans="1:9" ht="12.75">
      <c r="A544" s="9"/>
      <c r="B544" s="10" t="s">
        <v>1246</v>
      </c>
      <c r="C544" s="10" t="s">
        <v>1247</v>
      </c>
      <c r="D544" s="11" t="s">
        <v>381</v>
      </c>
      <c r="E544" s="12" t="e">
        <f ca="1">_xludf.IFS(COUNTIF(보류목록!$B$3:$B$1000, B544)&gt;0, "-",COUNTIF(독서목록!$C$2:$C$1091, B544)=0, , COUNTIF(독서목록!$C$2:$C$1091, B544)&gt;0, COUNTIF(독서목록!$C$2:$C$1091, B544))</f>
        <v>#NAME?</v>
      </c>
      <c r="F544" s="12" t="e">
        <f ca="1">_xludf.IFS(COUNTIF(보류목록!$C$3:$C$1000, B544)&gt;0, "-",COUNTIF(독서목록!$D$2:$D$1091, B544)=0, , COUNTIF(독서목록!$D$2:$D$1091, B544)&gt;0, COUNTIF(독서목록!$D$2:$D$1091, B544))</f>
        <v>#NAME?</v>
      </c>
      <c r="G544" s="12" t="s">
        <v>1248</v>
      </c>
      <c r="H544" s="13" t="s">
        <v>971</v>
      </c>
      <c r="I544" s="13" t="s">
        <v>971</v>
      </c>
    </row>
    <row r="545" spans="1:10" ht="12.75">
      <c r="A545" s="9"/>
      <c r="B545" s="10" t="s">
        <v>1249</v>
      </c>
      <c r="C545" s="10" t="s">
        <v>1247</v>
      </c>
      <c r="D545" s="11" t="s">
        <v>381</v>
      </c>
      <c r="E545" s="12" t="e">
        <f ca="1">_xludf.IFS(COUNTIF(보류목록!$B$3:$B$1000, B545)&gt;0, "-",COUNTIF(독서목록!$C$2:$C$1091, B545)=0, , COUNTIF(독서목록!$C$2:$C$1091, B545)&gt;0, COUNTIF(독서목록!$C$2:$C$1091, B545))</f>
        <v>#NAME?</v>
      </c>
      <c r="F545" s="12" t="e">
        <f ca="1">_xludf.IFS(COUNTIF(보류목록!$C$3:$C$1000, B545)&gt;0, "-",COUNTIF(독서목록!$D$2:$D$1091, B545)=0, , COUNTIF(독서목록!$D$2:$D$1091, B545)&gt;0, COUNTIF(독서목록!$D$2:$D$1091, B545))</f>
        <v>#NAME?</v>
      </c>
      <c r="G545" s="12" t="s">
        <v>1248</v>
      </c>
      <c r="H545" s="13" t="s">
        <v>971</v>
      </c>
      <c r="I545" s="13" t="s">
        <v>971</v>
      </c>
    </row>
    <row r="546" spans="1:10" ht="12.75">
      <c r="A546" s="9"/>
      <c r="B546" s="10" t="s">
        <v>1250</v>
      </c>
      <c r="C546" s="10" t="s">
        <v>1247</v>
      </c>
      <c r="D546" s="11" t="s">
        <v>381</v>
      </c>
      <c r="E546" s="12" t="e">
        <f ca="1">_xludf.IFS(COUNTIF(보류목록!$B$3:$B$1000, B546)&gt;0, "-",COUNTIF(독서목록!$C$2:$C$1091, B546)=0, , COUNTIF(독서목록!$C$2:$C$1091, B546)&gt;0, COUNTIF(독서목록!$C$2:$C$1091, B546))</f>
        <v>#NAME?</v>
      </c>
      <c r="F546" s="12" t="e">
        <f ca="1">_xludf.IFS(COUNTIF(보류목록!$C$3:$C$1000, B546)&gt;0, "-",COUNTIF(독서목록!$D$2:$D$1091, B546)=0, , COUNTIF(독서목록!$D$2:$D$1091, B546)&gt;0, COUNTIF(독서목록!$D$2:$D$1091, B546))</f>
        <v>#NAME?</v>
      </c>
      <c r="G546" s="12" t="s">
        <v>1248</v>
      </c>
      <c r="H546" s="13" t="s">
        <v>971</v>
      </c>
      <c r="I546" s="13" t="s">
        <v>971</v>
      </c>
    </row>
    <row r="547" spans="1:10" ht="12.75">
      <c r="A547" s="9"/>
      <c r="B547" s="10" t="s">
        <v>1251</v>
      </c>
      <c r="C547" s="10" t="s">
        <v>1247</v>
      </c>
      <c r="D547" s="11" t="s">
        <v>381</v>
      </c>
      <c r="E547" s="12" t="e">
        <f ca="1">_xludf.IFS(COUNTIF(보류목록!$B$3:$B$1000, B547)&gt;0, "-",COUNTIF(독서목록!$C$2:$C$1091, B547)=0, , COUNTIF(독서목록!$C$2:$C$1091, B547)&gt;0, COUNTIF(독서목록!$C$2:$C$1091, B547))</f>
        <v>#NAME?</v>
      </c>
      <c r="F547" s="12" t="e">
        <f ca="1">_xludf.IFS(COUNTIF(보류목록!$C$3:$C$1000, B547)&gt;0, "-",COUNTIF(독서목록!$D$2:$D$1091, B547)=0, , COUNTIF(독서목록!$D$2:$D$1091, B547)&gt;0, COUNTIF(독서목록!$D$2:$D$1091, B547))</f>
        <v>#NAME?</v>
      </c>
      <c r="G547" s="12" t="s">
        <v>1248</v>
      </c>
      <c r="H547" s="13" t="s">
        <v>971</v>
      </c>
      <c r="I547" s="13" t="s">
        <v>971</v>
      </c>
    </row>
    <row r="548" spans="1:10" ht="12.75">
      <c r="A548" s="9"/>
      <c r="B548" s="10" t="s">
        <v>1252</v>
      </c>
      <c r="C548" s="10" t="s">
        <v>1247</v>
      </c>
      <c r="D548" s="11" t="s">
        <v>381</v>
      </c>
      <c r="E548" s="12" t="e">
        <f ca="1">_xludf.IFS(COUNTIF(보류목록!$B$3:$B$1000, B548)&gt;0, "-",COUNTIF(독서목록!$C$2:$C$1091, B548)=0, , COUNTIF(독서목록!$C$2:$C$1091, B548)&gt;0, COUNTIF(독서목록!$C$2:$C$1091, B548))</f>
        <v>#NAME?</v>
      </c>
      <c r="F548" s="12" t="e">
        <f ca="1">_xludf.IFS(COUNTIF(보류목록!$C$3:$C$1000, B548)&gt;0, "-",COUNTIF(독서목록!$D$2:$D$1091, B548)=0, , COUNTIF(독서목록!$D$2:$D$1091, B548)&gt;0, COUNTIF(독서목록!$D$2:$D$1091, B548))</f>
        <v>#NAME?</v>
      </c>
      <c r="G548" s="12" t="s">
        <v>1248</v>
      </c>
      <c r="H548" s="13" t="s">
        <v>971</v>
      </c>
      <c r="I548" s="13" t="s">
        <v>971</v>
      </c>
    </row>
    <row r="549" spans="1:10" ht="12.75">
      <c r="A549" s="9"/>
      <c r="B549" s="10" t="s">
        <v>1253</v>
      </c>
      <c r="C549" s="10" t="s">
        <v>1254</v>
      </c>
      <c r="D549" s="10" t="s">
        <v>435</v>
      </c>
      <c r="E549" s="12" t="e">
        <f ca="1">_xludf.IFS(COUNTIF(보류목록!$B$3:$B$1000, B549)&gt;0, "-",COUNTIF(독서목록!$C$2:$C$1091, B549)=0, , COUNTIF(독서목록!$C$2:$C$1091, B549)&gt;0, COUNTIF(독서목록!$C$2:$C$1091, B549))</f>
        <v>#NAME?</v>
      </c>
      <c r="F549" s="12" t="e">
        <f ca="1">_xludf.IFS(COUNTIF(보류목록!$C$3:$C$1000, B549)&gt;0, "-",COUNTIF(독서목록!$D$2:$D$1091, B549)=0, , COUNTIF(독서목록!$D$2:$D$1091, B549)&gt;0, COUNTIF(독서목록!$D$2:$D$1091, B549))</f>
        <v>#NAME?</v>
      </c>
      <c r="G549" s="12" t="s">
        <v>878</v>
      </c>
      <c r="H549" s="13" t="s">
        <v>971</v>
      </c>
      <c r="I549" s="13" t="s">
        <v>971</v>
      </c>
      <c r="J549" t="e">
        <f t="shared" ref="J549:J573" ca="1" si="1">_xludf.IFS(LEN(G549)=10, G549, LEN(G549)=8, _xludf.concat("20", G549), LEN(G549)=0, "")</f>
        <v>#NAME?</v>
      </c>
    </row>
    <row r="550" spans="1:10" ht="12.75">
      <c r="A550" s="9"/>
      <c r="B550" s="10" t="s">
        <v>1255</v>
      </c>
      <c r="C550" s="10" t="s">
        <v>1007</v>
      </c>
      <c r="D550" s="10" t="s">
        <v>471</v>
      </c>
      <c r="E550" s="12" t="e">
        <f ca="1">_xludf.IFS(COUNTIF(보류목록!$B$3:$B$1000, B550)&gt;0, "-",COUNTIF(독서목록!$C$2:$C$1091, B550)=0, , COUNTIF(독서목록!$C$2:$C$1091, B550)&gt;0, COUNTIF(독서목록!$C$2:$C$1091, B550))</f>
        <v>#NAME?</v>
      </c>
      <c r="F550" s="12" t="e">
        <f ca="1">_xludf.IFS(COUNTIF(보류목록!$C$3:$C$1000, B550)&gt;0, "-",COUNTIF(독서목록!$D$2:$D$1091, B550)=0, , COUNTIF(독서목록!$D$2:$D$1091, B550)&gt;0, COUNTIF(독서목록!$D$2:$D$1091, B550))</f>
        <v>#NAME?</v>
      </c>
      <c r="G550" s="12" t="s">
        <v>878</v>
      </c>
      <c r="H550" s="13" t="s">
        <v>971</v>
      </c>
      <c r="I550" s="13" t="s">
        <v>971</v>
      </c>
      <c r="J550" t="e">
        <f t="shared" ca="1" si="1"/>
        <v>#NAME?</v>
      </c>
    </row>
    <row r="551" spans="1:10" ht="12.75">
      <c r="A551" s="9"/>
      <c r="B551" s="10" t="s">
        <v>1256</v>
      </c>
      <c r="C551" s="10" t="s">
        <v>1007</v>
      </c>
      <c r="D551" s="10" t="s">
        <v>471</v>
      </c>
      <c r="E551" s="12" t="e">
        <f ca="1">_xludf.IFS(COUNTIF(보류목록!$B$3:$B$1000, B551)&gt;0, "-",COUNTIF(독서목록!$C$2:$C$1091, B551)=0, , COUNTIF(독서목록!$C$2:$C$1091, B551)&gt;0, COUNTIF(독서목록!$C$2:$C$1091, B551))</f>
        <v>#NAME?</v>
      </c>
      <c r="F551" s="12" t="e">
        <f ca="1">_xludf.IFS(COUNTIF(보류목록!$C$3:$C$1000, B551)&gt;0, "-",COUNTIF(독서목록!$D$2:$D$1091, B551)=0, , COUNTIF(독서목록!$D$2:$D$1091, B551)&gt;0, COUNTIF(독서목록!$D$2:$D$1091, B551))</f>
        <v>#NAME?</v>
      </c>
      <c r="G551" s="12" t="s">
        <v>878</v>
      </c>
      <c r="H551" s="13" t="s">
        <v>971</v>
      </c>
      <c r="I551" s="13" t="s">
        <v>971</v>
      </c>
      <c r="J551" t="e">
        <f t="shared" ca="1" si="1"/>
        <v>#NAME?</v>
      </c>
    </row>
    <row r="552" spans="1:10" ht="12.75">
      <c r="A552" s="9"/>
      <c r="B552" s="10" t="s">
        <v>1257</v>
      </c>
      <c r="C552" s="10" t="s">
        <v>1007</v>
      </c>
      <c r="D552" s="10" t="s">
        <v>471</v>
      </c>
      <c r="E552" s="12" t="e">
        <f ca="1">_xludf.IFS(COUNTIF(보류목록!$B$3:$B$1000, B552)&gt;0, "-",COUNTIF(독서목록!$C$2:$C$1091, B552)=0, , COUNTIF(독서목록!$C$2:$C$1091, B552)&gt;0, COUNTIF(독서목록!$C$2:$C$1091, B552))</f>
        <v>#NAME?</v>
      </c>
      <c r="F552" s="12" t="e">
        <f ca="1">_xludf.IFS(COUNTIF(보류목록!$C$3:$C$1000, B552)&gt;0, "-",COUNTIF(독서목록!$D$2:$D$1091, B552)=0, , COUNTIF(독서목록!$D$2:$D$1091, B552)&gt;0, COUNTIF(독서목록!$D$2:$D$1091, B552))</f>
        <v>#NAME?</v>
      </c>
      <c r="G552" s="12" t="s">
        <v>878</v>
      </c>
      <c r="H552" s="13" t="s">
        <v>971</v>
      </c>
      <c r="I552" s="13" t="s">
        <v>971</v>
      </c>
      <c r="J552" t="e">
        <f t="shared" ca="1" si="1"/>
        <v>#NAME?</v>
      </c>
    </row>
    <row r="553" spans="1:10" ht="12.75">
      <c r="A553" s="9"/>
      <c r="B553" s="10" t="s">
        <v>1258</v>
      </c>
      <c r="C553" s="10" t="s">
        <v>1259</v>
      </c>
      <c r="D553" s="10" t="s">
        <v>1128</v>
      </c>
      <c r="E553" s="12" t="e">
        <f ca="1">_xludf.IFS(COUNTIF(보류목록!$B$3:$B$1000, B553)&gt;0, "-",COUNTIF(독서목록!$C$2:$C$1091, B553)=0, , COUNTIF(독서목록!$C$2:$C$1091, B553)&gt;0, COUNTIF(독서목록!$C$2:$C$1091, B553))</f>
        <v>#NAME?</v>
      </c>
      <c r="F553" s="12" t="e">
        <f ca="1">_xludf.IFS(COUNTIF(보류목록!$C$3:$C$1000, B553)&gt;0, "-",COUNTIF(독서목록!$D$2:$D$1091, B553)=0, , COUNTIF(독서목록!$D$2:$D$1091, B553)&gt;0, COUNTIF(독서목록!$D$2:$D$1091, B553))</f>
        <v>#NAME?</v>
      </c>
      <c r="G553" s="12" t="s">
        <v>878</v>
      </c>
      <c r="H553" s="13" t="s">
        <v>971</v>
      </c>
      <c r="I553" s="13" t="s">
        <v>971</v>
      </c>
      <c r="J553" t="e">
        <f t="shared" ca="1" si="1"/>
        <v>#NAME?</v>
      </c>
    </row>
    <row r="554" spans="1:10" ht="12.75">
      <c r="A554" s="9"/>
      <c r="B554" s="10" t="s">
        <v>1260</v>
      </c>
      <c r="C554" s="10" t="s">
        <v>1259</v>
      </c>
      <c r="D554" s="10" t="s">
        <v>1128</v>
      </c>
      <c r="E554" s="12" t="e">
        <f ca="1">_xludf.IFS(COUNTIF(보류목록!$B$3:$B$1000, B554)&gt;0, "-",COUNTIF(독서목록!$C$2:$C$1091, B554)=0, , COUNTIF(독서목록!$C$2:$C$1091, B554)&gt;0, COUNTIF(독서목록!$C$2:$C$1091, B554))</f>
        <v>#NAME?</v>
      </c>
      <c r="F554" s="12" t="e">
        <f ca="1">_xludf.IFS(COUNTIF(보류목록!$C$3:$C$1000, B554)&gt;0, "-",COUNTIF(독서목록!$D$2:$D$1091, B554)=0, , COUNTIF(독서목록!$D$2:$D$1091, B554)&gt;0, COUNTIF(독서목록!$D$2:$D$1091, B554))</f>
        <v>#NAME?</v>
      </c>
      <c r="G554" s="12" t="s">
        <v>878</v>
      </c>
      <c r="H554" s="13" t="s">
        <v>971</v>
      </c>
      <c r="I554" s="13" t="s">
        <v>971</v>
      </c>
      <c r="J554" t="e">
        <f t="shared" ca="1" si="1"/>
        <v>#NAME?</v>
      </c>
    </row>
    <row r="555" spans="1:10" ht="12.75">
      <c r="A555" s="9"/>
      <c r="B555" s="10" t="s">
        <v>1261</v>
      </c>
      <c r="C555" s="10" t="s">
        <v>1262</v>
      </c>
      <c r="D555" s="10" t="s">
        <v>1263</v>
      </c>
      <c r="E555" s="12" t="e">
        <f ca="1">_xludf.IFS(COUNTIF(보류목록!$B$3:$B$1000, B555)&gt;0, "-",COUNTIF(독서목록!$C$2:$C$1091, B555)=0, , COUNTIF(독서목록!$C$2:$C$1091, B555)&gt;0, COUNTIF(독서목록!$C$2:$C$1091, B555))</f>
        <v>#NAME?</v>
      </c>
      <c r="F555" s="12" t="e">
        <f ca="1">_xludf.IFS(COUNTIF(보류목록!$C$3:$C$1000, B555)&gt;0, "-",COUNTIF(독서목록!$D$2:$D$1091, B555)=0, , COUNTIF(독서목록!$D$2:$D$1091, B555)&gt;0, COUNTIF(독서목록!$D$2:$D$1091, B555))</f>
        <v>#NAME?</v>
      </c>
      <c r="G555" s="12" t="s">
        <v>878</v>
      </c>
      <c r="H555" s="13" t="s">
        <v>971</v>
      </c>
      <c r="I555" s="13" t="s">
        <v>971</v>
      </c>
      <c r="J555" t="e">
        <f t="shared" ca="1" si="1"/>
        <v>#NAME?</v>
      </c>
    </row>
    <row r="556" spans="1:10" ht="12.75">
      <c r="A556" s="9"/>
      <c r="B556" s="10" t="s">
        <v>1264</v>
      </c>
      <c r="C556" s="10" t="s">
        <v>1265</v>
      </c>
      <c r="D556" s="10" t="s">
        <v>1266</v>
      </c>
      <c r="E556" s="12" t="e">
        <f ca="1">_xludf.IFS(COUNTIF(보류목록!$B$3:$B$1000, B556)&gt;0, "-",COUNTIF(독서목록!$C$2:$C$1091, B556)=0, , COUNTIF(독서목록!$C$2:$C$1091, B556)&gt;0, COUNTIF(독서목록!$C$2:$C$1091, B556))</f>
        <v>#NAME?</v>
      </c>
      <c r="F556" s="12" t="e">
        <f ca="1">_xludf.IFS(COUNTIF(보류목록!$C$3:$C$1000, B556)&gt;0, "-",COUNTIF(독서목록!$D$2:$D$1091, B556)=0, , COUNTIF(독서목록!$D$2:$D$1091, B556)&gt;0, COUNTIF(독서목록!$D$2:$D$1091, B556))</f>
        <v>#NAME?</v>
      </c>
      <c r="G556" s="12" t="s">
        <v>878</v>
      </c>
      <c r="H556" s="13" t="s">
        <v>971</v>
      </c>
      <c r="I556" s="13" t="s">
        <v>971</v>
      </c>
      <c r="J556" t="e">
        <f t="shared" ca="1" si="1"/>
        <v>#NAME?</v>
      </c>
    </row>
    <row r="557" spans="1:10" ht="12.75">
      <c r="A557" s="9"/>
      <c r="B557" s="10" t="s">
        <v>1267</v>
      </c>
      <c r="C557" s="10" t="s">
        <v>1268</v>
      </c>
      <c r="D557" s="10" t="s">
        <v>1269</v>
      </c>
      <c r="E557" s="12" t="e">
        <f ca="1">_xludf.IFS(COUNTIF(보류목록!$B$3:$B$1000, B557)&gt;0, "-",COUNTIF(독서목록!$C$2:$C$1091, B557)=0, , COUNTIF(독서목록!$C$2:$C$1091, B557)&gt;0, COUNTIF(독서목록!$C$2:$C$1091, B557))</f>
        <v>#NAME?</v>
      </c>
      <c r="F557" s="12" t="e">
        <f ca="1">_xludf.IFS(COUNTIF(보류목록!$C$3:$C$1000, B557)&gt;0, "-",COUNTIF(독서목록!$D$2:$D$1091, B557)=0, , COUNTIF(독서목록!$D$2:$D$1091, B557)&gt;0, COUNTIF(독서목록!$D$2:$D$1091, B557))</f>
        <v>#NAME?</v>
      </c>
      <c r="G557" s="12" t="s">
        <v>878</v>
      </c>
      <c r="H557" s="13" t="s">
        <v>971</v>
      </c>
      <c r="I557" s="13" t="s">
        <v>971</v>
      </c>
      <c r="J557" t="e">
        <f t="shared" ca="1" si="1"/>
        <v>#NAME?</v>
      </c>
    </row>
    <row r="558" spans="1:10" ht="12.75">
      <c r="A558" s="9"/>
      <c r="B558" s="10" t="s">
        <v>1270</v>
      </c>
      <c r="C558" s="10" t="s">
        <v>262</v>
      </c>
      <c r="D558" s="10" t="s">
        <v>1271</v>
      </c>
      <c r="E558" s="12" t="e">
        <f ca="1">_xludf.IFS(COUNTIF(보류목록!$B$3:$B$1000, B558)&gt;0, "-",COUNTIF(독서목록!$C$2:$C$1091, B558)=0, , COUNTIF(독서목록!$C$2:$C$1091, B558)&gt;0, COUNTIF(독서목록!$C$2:$C$1091, B558))</f>
        <v>#NAME?</v>
      </c>
      <c r="F558" s="12" t="e">
        <f ca="1">_xludf.IFS(COUNTIF(보류목록!$C$3:$C$1000, B558)&gt;0, "-",COUNTIF(독서목록!$D$2:$D$1091, B558)=0, , COUNTIF(독서목록!$D$2:$D$1091, B558)&gt;0, COUNTIF(독서목록!$D$2:$D$1091, B558))</f>
        <v>#NAME?</v>
      </c>
      <c r="G558" s="12" t="s">
        <v>878</v>
      </c>
      <c r="H558" s="13" t="s">
        <v>971</v>
      </c>
      <c r="I558" s="13" t="s">
        <v>971</v>
      </c>
      <c r="J558" t="e">
        <f t="shared" ca="1" si="1"/>
        <v>#NAME?</v>
      </c>
    </row>
    <row r="559" spans="1:10" ht="12.75">
      <c r="A559" s="9"/>
      <c r="B559" s="10" t="s">
        <v>1272</v>
      </c>
      <c r="C559" s="10" t="s">
        <v>1273</v>
      </c>
      <c r="D559" s="10" t="s">
        <v>1056</v>
      </c>
      <c r="E559" s="12" t="e">
        <f ca="1">_xludf.IFS(COUNTIF(보류목록!$B$3:$B$1000, B559)&gt;0, "-",COUNTIF(독서목록!$C$2:$C$1091, B559)=0, , COUNTIF(독서목록!$C$2:$C$1091, B559)&gt;0, COUNTIF(독서목록!$C$2:$C$1091, B559))</f>
        <v>#NAME?</v>
      </c>
      <c r="F559" s="12" t="e">
        <f ca="1">_xludf.IFS(COUNTIF(보류목록!$C$3:$C$1000, B559)&gt;0, "-",COUNTIF(독서목록!$D$2:$D$1091, B559)=0, , COUNTIF(독서목록!$D$2:$D$1091, B559)&gt;0, COUNTIF(독서목록!$D$2:$D$1091, B559))</f>
        <v>#NAME?</v>
      </c>
      <c r="G559" s="12" t="s">
        <v>878</v>
      </c>
      <c r="H559" s="13" t="s">
        <v>971</v>
      </c>
      <c r="I559" s="13" t="s">
        <v>971</v>
      </c>
      <c r="J559" t="e">
        <f t="shared" ca="1" si="1"/>
        <v>#NAME?</v>
      </c>
    </row>
    <row r="560" spans="1:10" ht="12.75">
      <c r="A560" s="9"/>
      <c r="B560" s="10" t="s">
        <v>1274</v>
      </c>
      <c r="C560" s="10" t="s">
        <v>1275</v>
      </c>
      <c r="D560" s="10" t="s">
        <v>1276</v>
      </c>
      <c r="E560" s="12" t="e">
        <f ca="1">_xludf.IFS(COUNTIF(보류목록!$B$3:$B$1000, B560)&gt;0, "-",COUNTIF(독서목록!$C$2:$C$1091, B560)=0, , COUNTIF(독서목록!$C$2:$C$1091, B560)&gt;0, COUNTIF(독서목록!$C$2:$C$1091, B560))</f>
        <v>#NAME?</v>
      </c>
      <c r="F560" s="12" t="e">
        <f ca="1">_xludf.IFS(COUNTIF(보류목록!$C$3:$C$1000, B560)&gt;0, "-",COUNTIF(독서목록!$D$2:$D$1091, B560)=0, , COUNTIF(독서목록!$D$2:$D$1091, B560)&gt;0, COUNTIF(독서목록!$D$2:$D$1091, B560))</f>
        <v>#NAME?</v>
      </c>
      <c r="G560" s="12" t="s">
        <v>878</v>
      </c>
      <c r="H560" s="13" t="s">
        <v>971</v>
      </c>
      <c r="I560" s="13" t="s">
        <v>971</v>
      </c>
      <c r="J560" t="e">
        <f t="shared" ca="1" si="1"/>
        <v>#NAME?</v>
      </c>
    </row>
    <row r="561" spans="1:10" ht="12.75">
      <c r="A561" s="9"/>
      <c r="B561" s="10" t="s">
        <v>1277</v>
      </c>
      <c r="C561" s="10" t="s">
        <v>1278</v>
      </c>
      <c r="D561" s="10" t="s">
        <v>1148</v>
      </c>
      <c r="E561" s="12" t="e">
        <f ca="1">_xludf.IFS(COUNTIF(보류목록!$B$3:$B$1000, B561)&gt;0, "-",COUNTIF(독서목록!$C$2:$C$1091, B561)=0, , COUNTIF(독서목록!$C$2:$C$1091, B561)&gt;0, COUNTIF(독서목록!$C$2:$C$1091, B561))</f>
        <v>#NAME?</v>
      </c>
      <c r="F561" s="12" t="e">
        <f ca="1">_xludf.IFS(COUNTIF(보류목록!$C$3:$C$1000, B561)&gt;0, "-",COUNTIF(독서목록!$D$2:$D$1091, B561)=0, , COUNTIF(독서목록!$D$2:$D$1091, B561)&gt;0, COUNTIF(독서목록!$D$2:$D$1091, B561))</f>
        <v>#NAME?</v>
      </c>
      <c r="G561" s="12" t="s">
        <v>878</v>
      </c>
      <c r="H561" s="13" t="s">
        <v>971</v>
      </c>
      <c r="I561" s="13" t="s">
        <v>971</v>
      </c>
      <c r="J561" t="e">
        <f t="shared" ca="1" si="1"/>
        <v>#NAME?</v>
      </c>
    </row>
    <row r="562" spans="1:10" ht="12.75">
      <c r="A562" s="9"/>
      <c r="B562" s="10" t="s">
        <v>1279</v>
      </c>
      <c r="C562" s="10" t="s">
        <v>262</v>
      </c>
      <c r="D562" s="10" t="s">
        <v>15</v>
      </c>
      <c r="E562" s="12" t="e">
        <f ca="1">_xludf.IFS(COUNTIF(보류목록!$B$3:$B$1000, B562)&gt;0, "-",COUNTIF(독서목록!$C$2:$C$1091, B562)=0, , COUNTIF(독서목록!$C$2:$C$1091, B562)&gt;0, COUNTIF(독서목록!$C$2:$C$1091, B562))</f>
        <v>#NAME?</v>
      </c>
      <c r="F562" s="12" t="e">
        <f ca="1">_xludf.IFS(COUNTIF(보류목록!$C$3:$C$1000, B562)&gt;0, "-",COUNTIF(독서목록!$D$2:$D$1091, B562)=0, , COUNTIF(독서목록!$D$2:$D$1091, B562)&gt;0, COUNTIF(독서목록!$D$2:$D$1091, B562))</f>
        <v>#NAME?</v>
      </c>
      <c r="G562" s="12" t="s">
        <v>878</v>
      </c>
      <c r="H562" s="13" t="s">
        <v>971</v>
      </c>
      <c r="I562" s="13" t="s">
        <v>971</v>
      </c>
      <c r="J562" t="e">
        <f t="shared" ca="1" si="1"/>
        <v>#NAME?</v>
      </c>
    </row>
    <row r="563" spans="1:10" ht="12.75">
      <c r="A563" s="9"/>
      <c r="B563" s="10" t="s">
        <v>1280</v>
      </c>
      <c r="C563" s="10" t="s">
        <v>262</v>
      </c>
      <c r="D563" s="10" t="s">
        <v>15</v>
      </c>
      <c r="E563" s="12" t="e">
        <f ca="1">_xludf.IFS(COUNTIF(보류목록!$B$3:$B$1000, B563)&gt;0, "-",COUNTIF(독서목록!$C$2:$C$1091, B563)=0, , COUNTIF(독서목록!$C$2:$C$1091, B563)&gt;0, COUNTIF(독서목록!$C$2:$C$1091, B563))</f>
        <v>#NAME?</v>
      </c>
      <c r="F563" s="12" t="e">
        <f ca="1">_xludf.IFS(COUNTIF(보류목록!$C$3:$C$1000, B563)&gt;0, "-",COUNTIF(독서목록!$D$2:$D$1091, B563)=0, , COUNTIF(독서목록!$D$2:$D$1091, B563)&gt;0, COUNTIF(독서목록!$D$2:$D$1091, B563))</f>
        <v>#NAME?</v>
      </c>
      <c r="G563" s="12" t="s">
        <v>878</v>
      </c>
      <c r="H563" s="13" t="s">
        <v>971</v>
      </c>
      <c r="I563" s="13" t="s">
        <v>971</v>
      </c>
      <c r="J563" t="e">
        <f t="shared" ca="1" si="1"/>
        <v>#NAME?</v>
      </c>
    </row>
    <row r="564" spans="1:10" ht="12.75">
      <c r="A564" s="9"/>
      <c r="B564" s="10" t="s">
        <v>1281</v>
      </c>
      <c r="C564" s="10" t="s">
        <v>1282</v>
      </c>
      <c r="D564" s="10" t="s">
        <v>1283</v>
      </c>
      <c r="E564" s="12" t="e">
        <f ca="1">_xludf.IFS(COUNTIF(보류목록!$B$3:$B$1000, B564)&gt;0, "-",COUNTIF(독서목록!$C$2:$C$1091, B564)=0, , COUNTIF(독서목록!$C$2:$C$1091, B564)&gt;0, COUNTIF(독서목록!$C$2:$C$1091, B564))</f>
        <v>#NAME?</v>
      </c>
      <c r="F564" s="12" t="e">
        <f ca="1">_xludf.IFS(COUNTIF(보류목록!$C$3:$C$1000, B564)&gt;0, "-",COUNTIF(독서목록!$D$2:$D$1091, B564)=0, , COUNTIF(독서목록!$D$2:$D$1091, B564)&gt;0, COUNTIF(독서목록!$D$2:$D$1091, B564))</f>
        <v>#NAME?</v>
      </c>
      <c r="G564" s="12" t="s">
        <v>878</v>
      </c>
      <c r="H564" s="13" t="s">
        <v>971</v>
      </c>
      <c r="I564" s="13" t="s">
        <v>971</v>
      </c>
      <c r="J564" t="e">
        <f t="shared" ca="1" si="1"/>
        <v>#NAME?</v>
      </c>
    </row>
    <row r="565" spans="1:10" ht="12.75">
      <c r="A565" s="9"/>
      <c r="B565" s="10" t="s">
        <v>1284</v>
      </c>
      <c r="C565" s="10" t="s">
        <v>1285</v>
      </c>
      <c r="D565" s="10" t="s">
        <v>1286</v>
      </c>
      <c r="E565" s="12" t="e">
        <f ca="1">_xludf.IFS(COUNTIF(보류목록!$B$3:$B$1000, B565)&gt;0, "-",COUNTIF(독서목록!$C$2:$C$1091, B565)=0, , COUNTIF(독서목록!$C$2:$C$1091, B565)&gt;0, COUNTIF(독서목록!$C$2:$C$1091, B565))</f>
        <v>#NAME?</v>
      </c>
      <c r="F565" s="12" t="e">
        <f ca="1">_xludf.IFS(COUNTIF(보류목록!$C$3:$C$1000, B565)&gt;0, "-",COUNTIF(독서목록!$D$2:$D$1091, B565)=0, , COUNTIF(독서목록!$D$2:$D$1091, B565)&gt;0, COUNTIF(독서목록!$D$2:$D$1091, B565))</f>
        <v>#NAME?</v>
      </c>
      <c r="G565" s="12" t="s">
        <v>878</v>
      </c>
      <c r="H565" s="13" t="s">
        <v>971</v>
      </c>
      <c r="I565" s="13" t="s">
        <v>971</v>
      </c>
      <c r="J565" t="e">
        <f t="shared" ca="1" si="1"/>
        <v>#NAME?</v>
      </c>
    </row>
    <row r="566" spans="1:10" ht="12.75">
      <c r="A566" s="9"/>
      <c r="B566" s="10" t="s">
        <v>1287</v>
      </c>
      <c r="C566" s="10" t="s">
        <v>1288</v>
      </c>
      <c r="D566" s="10" t="s">
        <v>1289</v>
      </c>
      <c r="E566" s="12" t="e">
        <f ca="1">_xludf.IFS(COUNTIF(보류목록!$B$3:$B$1000, B566)&gt;0, "-",COUNTIF(독서목록!$C$2:$C$1091, B566)=0, , COUNTIF(독서목록!$C$2:$C$1091, B566)&gt;0, COUNTIF(독서목록!$C$2:$C$1091, B566))</f>
        <v>#NAME?</v>
      </c>
      <c r="F566" s="12" t="e">
        <f ca="1">_xludf.IFS(COUNTIF(보류목록!$C$3:$C$1000, B566)&gt;0, "-",COUNTIF(독서목록!$D$2:$D$1091, B566)=0, , COUNTIF(독서목록!$D$2:$D$1091, B566)&gt;0, COUNTIF(독서목록!$D$2:$D$1091, B566))</f>
        <v>#NAME?</v>
      </c>
      <c r="G566" s="12" t="s">
        <v>878</v>
      </c>
      <c r="H566" s="13" t="s">
        <v>971</v>
      </c>
      <c r="I566" s="13" t="s">
        <v>971</v>
      </c>
      <c r="J566" t="e">
        <f t="shared" ca="1" si="1"/>
        <v>#NAME?</v>
      </c>
    </row>
    <row r="567" spans="1:10" ht="12.75">
      <c r="A567" s="9"/>
      <c r="B567" s="10" t="s">
        <v>1290</v>
      </c>
      <c r="C567" s="10" t="s">
        <v>1291</v>
      </c>
      <c r="D567" s="10" t="s">
        <v>105</v>
      </c>
      <c r="E567" s="12" t="e">
        <f ca="1">_xludf.IFS(COUNTIF(보류목록!$B$3:$B$1000, B567)&gt;0, "-",COUNTIF(독서목록!$C$2:$C$1091, B567)=0, , COUNTIF(독서목록!$C$2:$C$1091, B567)&gt;0, COUNTIF(독서목록!$C$2:$C$1091, B567))</f>
        <v>#NAME?</v>
      </c>
      <c r="F567" s="12" t="e">
        <f ca="1">_xludf.IFS(COUNTIF(보류목록!$C$3:$C$1000, B567)&gt;0, "-",COUNTIF(독서목록!$D$2:$D$1091, B567)=0, , COUNTIF(독서목록!$D$2:$D$1091, B567)&gt;0, COUNTIF(독서목록!$D$2:$D$1091, B567))</f>
        <v>#NAME?</v>
      </c>
      <c r="G567" s="12" t="s">
        <v>878</v>
      </c>
      <c r="H567" s="13" t="s">
        <v>971</v>
      </c>
      <c r="I567" s="13" t="s">
        <v>971</v>
      </c>
      <c r="J567" t="e">
        <f t="shared" ca="1" si="1"/>
        <v>#NAME?</v>
      </c>
    </row>
    <row r="568" spans="1:10" ht="12.75">
      <c r="A568" s="9"/>
      <c r="B568" s="10" t="s">
        <v>1292</v>
      </c>
      <c r="C568" s="10" t="s">
        <v>1055</v>
      </c>
      <c r="D568" s="10" t="s">
        <v>1293</v>
      </c>
      <c r="E568" s="12" t="e">
        <f ca="1">_xludf.IFS(COUNTIF(보류목록!$B$3:$B$1000, B568)&gt;0, "-",COUNTIF(독서목록!$C$2:$C$1091, B568)=0, , COUNTIF(독서목록!$C$2:$C$1091, B568)&gt;0, COUNTIF(독서목록!$C$2:$C$1091, B568))</f>
        <v>#NAME?</v>
      </c>
      <c r="F568" s="12" t="e">
        <f ca="1">_xludf.IFS(COUNTIF(보류목록!$C$3:$C$1000, B568)&gt;0, "-",COUNTIF(독서목록!$D$2:$D$1091, B568)=0, , COUNTIF(독서목록!$D$2:$D$1091, B568)&gt;0, COUNTIF(독서목록!$D$2:$D$1091, B568))</f>
        <v>#NAME?</v>
      </c>
      <c r="G568" s="12" t="s">
        <v>878</v>
      </c>
      <c r="H568" s="13" t="s">
        <v>971</v>
      </c>
      <c r="I568" s="13" t="s">
        <v>971</v>
      </c>
      <c r="J568" t="e">
        <f t="shared" ca="1" si="1"/>
        <v>#NAME?</v>
      </c>
    </row>
    <row r="569" spans="1:10" ht="12.75">
      <c r="A569" s="9"/>
      <c r="B569" s="10" t="s">
        <v>1294</v>
      </c>
      <c r="C569" s="10" t="s">
        <v>1295</v>
      </c>
      <c r="D569" s="10" t="s">
        <v>1293</v>
      </c>
      <c r="E569" s="12" t="e">
        <f ca="1">_xludf.IFS(COUNTIF(보류목록!$B$3:$B$1000, B569)&gt;0, "-",COUNTIF(독서목록!$C$2:$C$1091, B569)=0, , COUNTIF(독서목록!$C$2:$C$1091, B569)&gt;0, COUNTIF(독서목록!$C$2:$C$1091, B569))</f>
        <v>#NAME?</v>
      </c>
      <c r="F569" s="12" t="e">
        <f ca="1">_xludf.IFS(COUNTIF(보류목록!$C$3:$C$1000, B569)&gt;0, "-",COUNTIF(독서목록!$D$2:$D$1091, B569)=0, , COUNTIF(독서목록!$D$2:$D$1091, B569)&gt;0, COUNTIF(독서목록!$D$2:$D$1091, B569))</f>
        <v>#NAME?</v>
      </c>
      <c r="G569" s="12" t="s">
        <v>878</v>
      </c>
      <c r="H569" s="13" t="s">
        <v>971</v>
      </c>
      <c r="I569" s="13" t="s">
        <v>971</v>
      </c>
      <c r="J569" t="e">
        <f t="shared" ca="1" si="1"/>
        <v>#NAME?</v>
      </c>
    </row>
    <row r="570" spans="1:10" ht="12.75">
      <c r="A570" s="9"/>
      <c r="B570" s="10" t="s">
        <v>1296</v>
      </c>
      <c r="C570" s="10" t="s">
        <v>1297</v>
      </c>
      <c r="D570" s="10" t="s">
        <v>1298</v>
      </c>
      <c r="E570" s="12" t="e">
        <f ca="1">_xludf.IFS(COUNTIF(보류목록!$B$3:$B$1000, B570)&gt;0, "-",COUNTIF(독서목록!$C$2:$C$1091, B570)=0, , COUNTIF(독서목록!$C$2:$C$1091, B570)&gt;0, COUNTIF(독서목록!$C$2:$C$1091, B570))</f>
        <v>#NAME?</v>
      </c>
      <c r="F570" s="12" t="e">
        <f ca="1">_xludf.IFS(COUNTIF(보류목록!$C$3:$C$1000, B570)&gt;0, "-",COUNTIF(독서목록!$D$2:$D$1091, B570)=0, , COUNTIF(독서목록!$D$2:$D$1091, B570)&gt;0, COUNTIF(독서목록!$D$2:$D$1091, B570))</f>
        <v>#NAME?</v>
      </c>
      <c r="G570" s="12" t="s">
        <v>878</v>
      </c>
      <c r="H570" s="13" t="s">
        <v>971</v>
      </c>
      <c r="I570" s="13" t="s">
        <v>971</v>
      </c>
      <c r="J570" t="e">
        <f t="shared" ca="1" si="1"/>
        <v>#NAME?</v>
      </c>
    </row>
    <row r="571" spans="1:10" ht="12.75">
      <c r="A571" s="9"/>
      <c r="B571" s="10" t="s">
        <v>1299</v>
      </c>
      <c r="C571" s="10" t="s">
        <v>761</v>
      </c>
      <c r="D571" s="10" t="s">
        <v>471</v>
      </c>
      <c r="E571" s="12" t="e">
        <f ca="1">_xludf.IFS(COUNTIF(보류목록!$B$3:$B$1000, B571)&gt;0, "-",COUNTIF(독서목록!$C$2:$C$1091, B571)=0, , COUNTIF(독서목록!$C$2:$C$1091, B571)&gt;0, COUNTIF(독서목록!$C$2:$C$1091, B571))</f>
        <v>#NAME?</v>
      </c>
      <c r="F571" s="12" t="e">
        <f ca="1">_xludf.IFS(COUNTIF(보류목록!$C$3:$C$1000, B571)&gt;0, "-",COUNTIF(독서목록!$D$2:$D$1091, B571)=0, , COUNTIF(독서목록!$D$2:$D$1091, B571)&gt;0, COUNTIF(독서목록!$D$2:$D$1091, B571))</f>
        <v>#NAME?</v>
      </c>
      <c r="G571" s="12" t="s">
        <v>878</v>
      </c>
      <c r="H571" s="13" t="s">
        <v>971</v>
      </c>
      <c r="I571" s="13" t="s">
        <v>971</v>
      </c>
      <c r="J571" t="e">
        <f t="shared" ca="1" si="1"/>
        <v>#NAME?</v>
      </c>
    </row>
    <row r="572" spans="1:10" ht="12.75">
      <c r="A572" s="9"/>
      <c r="B572" s="10" t="s">
        <v>1300</v>
      </c>
      <c r="C572" s="10" t="s">
        <v>761</v>
      </c>
      <c r="D572" s="10" t="s">
        <v>471</v>
      </c>
      <c r="E572" s="12" t="e">
        <f ca="1">_xludf.IFS(COUNTIF(보류목록!$B$3:$B$1000, B572)&gt;0, "-",COUNTIF(독서목록!$C$2:$C$1091, B572)=0, , COUNTIF(독서목록!$C$2:$C$1091, B572)&gt;0, COUNTIF(독서목록!$C$2:$C$1091, B572))</f>
        <v>#NAME?</v>
      </c>
      <c r="F572" s="12" t="e">
        <f ca="1">_xludf.IFS(COUNTIF(보류목록!$C$3:$C$1000, B572)&gt;0, "-",COUNTIF(독서목록!$D$2:$D$1091, B572)=0, , COUNTIF(독서목록!$D$2:$D$1091, B572)&gt;0, COUNTIF(독서목록!$D$2:$D$1091, B572))</f>
        <v>#NAME?</v>
      </c>
      <c r="G572" s="12" t="s">
        <v>878</v>
      </c>
      <c r="H572" s="13" t="s">
        <v>971</v>
      </c>
      <c r="I572" s="13" t="s">
        <v>971</v>
      </c>
      <c r="J572" t="e">
        <f t="shared" ca="1" si="1"/>
        <v>#NAME?</v>
      </c>
    </row>
    <row r="573" spans="1:10" ht="12.75">
      <c r="A573" s="9"/>
      <c r="B573" s="10" t="s">
        <v>1301</v>
      </c>
      <c r="C573" s="10" t="s">
        <v>1302</v>
      </c>
      <c r="D573" s="10" t="s">
        <v>15</v>
      </c>
      <c r="E573" s="12" t="e">
        <f ca="1">_xludf.IFS(COUNTIF(보류목록!$B$3:$B$1000, B573)&gt;0, "-",COUNTIF(독서목록!$C$2:$C$1091, B573)=0, , COUNTIF(독서목록!$C$2:$C$1091, B573)&gt;0, COUNTIF(독서목록!$C$2:$C$1091, B573))</f>
        <v>#NAME?</v>
      </c>
      <c r="F573" s="12" t="e">
        <f ca="1">_xludf.IFS(COUNTIF(보류목록!$C$3:$C$1000, B573)&gt;0, "-",COUNTIF(독서목록!$D$2:$D$1091, B573)=0, , COUNTIF(독서목록!$D$2:$D$1091, B573)&gt;0, COUNTIF(독서목록!$D$2:$D$1091, B573))</f>
        <v>#NAME?</v>
      </c>
      <c r="G573" s="12" t="s">
        <v>878</v>
      </c>
      <c r="H573" s="12" t="s">
        <v>75</v>
      </c>
      <c r="I573" s="12" t="s">
        <v>75</v>
      </c>
      <c r="J573" t="e">
        <f t="shared" ca="1" si="1"/>
        <v>#NAME?</v>
      </c>
    </row>
  </sheetData>
  <autoFilter ref="B2:H573" xr:uid="{00000000-0009-0000-0000-000000000000}"/>
  <mergeCells count="1">
    <mergeCell ref="C1:D1"/>
  </mergeCells>
  <phoneticPr fontId="28" type="noConversion"/>
  <conditionalFormatting sqref="E3:F573">
    <cfRule type="containsBlanks" dxfId="1" priority="1">
      <formula>LEN(TRIM(E3))=0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68"/>
  <sheetViews>
    <sheetView workbookViewId="0">
      <pane ySplit="2" topLeftCell="A3" activePane="bottomLeft" state="frozen"/>
      <selection pane="bottomLeft" activeCell="H7" sqref="H7"/>
    </sheetView>
  </sheetViews>
  <sheetFormatPr defaultColWidth="12.5703125" defaultRowHeight="15" customHeight="1"/>
  <cols>
    <col min="1" max="1" width="3.5703125" customWidth="1"/>
    <col min="2" max="2" width="44.5703125" customWidth="1"/>
    <col min="3" max="3" width="22.7109375" customWidth="1"/>
    <col min="4" max="4" width="16.7109375" customWidth="1"/>
    <col min="5" max="6" width="10.28515625" customWidth="1"/>
    <col min="7" max="7" width="13.85546875" customWidth="1"/>
  </cols>
  <sheetData>
    <row r="1" spans="1:7" ht="23.25" customHeight="1">
      <c r="A1" s="31"/>
      <c r="B1" s="3"/>
      <c r="C1" s="114" t="s">
        <v>1303</v>
      </c>
      <c r="D1" s="115"/>
    </row>
    <row r="2" spans="1:7" ht="21" customHeight="1">
      <c r="A2" s="6"/>
      <c r="B2" s="113" t="s">
        <v>1655</v>
      </c>
      <c r="C2" s="32" t="s">
        <v>1</v>
      </c>
      <c r="D2" s="32" t="s">
        <v>2</v>
      </c>
      <c r="E2" s="32" t="s">
        <v>1304</v>
      </c>
      <c r="F2" s="32" t="s">
        <v>1305</v>
      </c>
      <c r="G2" s="32" t="s">
        <v>3</v>
      </c>
    </row>
    <row r="3" spans="1:7" ht="12.75" hidden="1">
      <c r="A3" s="33"/>
      <c r="B3" s="34"/>
      <c r="C3" s="35"/>
      <c r="D3" s="36"/>
      <c r="E3" s="37"/>
      <c r="F3" s="37"/>
      <c r="G3" s="37"/>
    </row>
    <row r="4" spans="1:7" ht="12.75">
      <c r="A4" s="33"/>
      <c r="B4" s="10" t="s">
        <v>1306</v>
      </c>
      <c r="C4" s="11" t="s">
        <v>1307</v>
      </c>
      <c r="D4" s="11" t="s">
        <v>1308</v>
      </c>
      <c r="E4" s="37"/>
      <c r="F4" s="37"/>
      <c r="G4" s="13" t="s">
        <v>59</v>
      </c>
    </row>
    <row r="5" spans="1:7" ht="12.75">
      <c r="A5" s="33"/>
      <c r="B5" s="34" t="s">
        <v>1309</v>
      </c>
      <c r="C5" s="35" t="s">
        <v>1310</v>
      </c>
      <c r="D5" s="36" t="s">
        <v>1311</v>
      </c>
      <c r="E5" s="37"/>
      <c r="F5" s="37"/>
      <c r="G5" s="37" t="s">
        <v>83</v>
      </c>
    </row>
    <row r="6" spans="1:7" ht="12.75">
      <c r="A6" s="33"/>
      <c r="B6" s="34" t="s">
        <v>1312</v>
      </c>
      <c r="C6" s="35" t="s">
        <v>1313</v>
      </c>
      <c r="D6" s="36" t="s">
        <v>1314</v>
      </c>
      <c r="E6" s="37"/>
      <c r="F6" s="37"/>
      <c r="G6" s="37" t="s">
        <v>1315</v>
      </c>
    </row>
    <row r="7" spans="1:7" ht="12.75">
      <c r="A7" s="33"/>
      <c r="B7" s="34" t="s">
        <v>1316</v>
      </c>
      <c r="C7" s="35" t="s">
        <v>1317</v>
      </c>
      <c r="D7" s="36" t="s">
        <v>1318</v>
      </c>
      <c r="E7" s="37"/>
      <c r="F7" s="37"/>
      <c r="G7" s="37" t="s">
        <v>1315</v>
      </c>
    </row>
    <row r="8" spans="1:7" ht="12.75">
      <c r="A8" s="33"/>
      <c r="B8" s="34" t="s">
        <v>1319</v>
      </c>
      <c r="C8" s="35" t="s">
        <v>1320</v>
      </c>
      <c r="D8" s="36" t="s">
        <v>1321</v>
      </c>
      <c r="E8" s="37" t="s">
        <v>1322</v>
      </c>
      <c r="F8" s="37"/>
      <c r="G8" s="37" t="s">
        <v>122</v>
      </c>
    </row>
    <row r="9" spans="1:7" ht="12.75">
      <c r="A9" s="33"/>
      <c r="B9" s="34" t="s">
        <v>1323</v>
      </c>
      <c r="C9" s="35" t="s">
        <v>1324</v>
      </c>
      <c r="D9" s="36" t="s">
        <v>1321</v>
      </c>
      <c r="E9" s="37" t="s">
        <v>1322</v>
      </c>
      <c r="F9" s="37"/>
      <c r="G9" s="37" t="s">
        <v>126</v>
      </c>
    </row>
    <row r="10" spans="1:7" ht="12.75">
      <c r="A10" s="33"/>
      <c r="B10" s="34" t="s">
        <v>1325</v>
      </c>
      <c r="C10" s="35" t="s">
        <v>1326</v>
      </c>
      <c r="D10" s="36" t="s">
        <v>1318</v>
      </c>
      <c r="E10" s="37"/>
      <c r="F10" s="37"/>
      <c r="G10" s="37" t="s">
        <v>132</v>
      </c>
    </row>
    <row r="11" spans="1:7" ht="12.75">
      <c r="A11" s="33"/>
      <c r="B11" s="34" t="s">
        <v>1327</v>
      </c>
      <c r="C11" s="35" t="s">
        <v>1328</v>
      </c>
      <c r="D11" s="36" t="s">
        <v>1308</v>
      </c>
      <c r="E11" s="37"/>
      <c r="F11" s="37" t="s">
        <v>1322</v>
      </c>
      <c r="G11" s="37" t="s">
        <v>143</v>
      </c>
    </row>
    <row r="12" spans="1:7" ht="12.75">
      <c r="A12" s="33"/>
      <c r="B12" s="34" t="s">
        <v>1329</v>
      </c>
      <c r="C12" s="35" t="s">
        <v>1330</v>
      </c>
      <c r="D12" s="36" t="s">
        <v>1318</v>
      </c>
      <c r="E12" s="37"/>
      <c r="F12" s="37" t="s">
        <v>1322</v>
      </c>
      <c r="G12" s="37" t="s">
        <v>143</v>
      </c>
    </row>
    <row r="13" spans="1:7" ht="12.75">
      <c r="A13" s="33"/>
      <c r="B13" s="34" t="s">
        <v>1331</v>
      </c>
      <c r="C13" s="35" t="s">
        <v>1332</v>
      </c>
      <c r="D13" s="36" t="s">
        <v>1333</v>
      </c>
      <c r="E13" s="37" t="s">
        <v>1322</v>
      </c>
      <c r="F13" s="37"/>
      <c r="G13" s="37" t="s">
        <v>174</v>
      </c>
    </row>
    <row r="14" spans="1:7" ht="12.75">
      <c r="A14" s="33"/>
      <c r="B14" s="34" t="s">
        <v>1334</v>
      </c>
      <c r="C14" s="35" t="s">
        <v>1335</v>
      </c>
      <c r="D14" s="36" t="s">
        <v>1336</v>
      </c>
      <c r="E14" s="37"/>
      <c r="F14" s="37"/>
      <c r="G14" s="37" t="s">
        <v>174</v>
      </c>
    </row>
    <row r="15" spans="1:7" ht="12.75">
      <c r="A15" s="33"/>
      <c r="B15" s="34" t="s">
        <v>1337</v>
      </c>
      <c r="C15" s="35" t="s">
        <v>1338</v>
      </c>
      <c r="D15" s="36" t="s">
        <v>1338</v>
      </c>
      <c r="E15" s="37"/>
      <c r="F15" s="37"/>
      <c r="G15" s="37" t="s">
        <v>191</v>
      </c>
    </row>
    <row r="16" spans="1:7" ht="12.75">
      <c r="A16" s="33"/>
      <c r="B16" s="34" t="s">
        <v>1339</v>
      </c>
      <c r="C16" s="35" t="s">
        <v>1340</v>
      </c>
      <c r="D16" s="36" t="s">
        <v>330</v>
      </c>
      <c r="E16" s="37"/>
      <c r="F16" s="37"/>
      <c r="G16" s="37" t="s">
        <v>260</v>
      </c>
    </row>
    <row r="17" spans="1:7" ht="12.75">
      <c r="A17" s="33"/>
      <c r="B17" s="34" t="s">
        <v>1341</v>
      </c>
      <c r="C17" s="35" t="s">
        <v>1342</v>
      </c>
      <c r="D17" s="36" t="s">
        <v>1343</v>
      </c>
      <c r="E17" s="37" t="s">
        <v>1322</v>
      </c>
      <c r="F17" s="37" t="s">
        <v>1322</v>
      </c>
      <c r="G17" s="37" t="s">
        <v>286</v>
      </c>
    </row>
    <row r="18" spans="1:7" ht="12.75">
      <c r="A18" s="33"/>
      <c r="B18" s="34" t="s">
        <v>1344</v>
      </c>
      <c r="C18" s="35" t="s">
        <v>1345</v>
      </c>
      <c r="D18" s="36" t="s">
        <v>1346</v>
      </c>
      <c r="E18" s="37"/>
      <c r="F18" s="37"/>
      <c r="G18" s="37" t="s">
        <v>291</v>
      </c>
    </row>
    <row r="19" spans="1:7" ht="12.75">
      <c r="A19" s="33"/>
      <c r="B19" s="34" t="s">
        <v>1347</v>
      </c>
      <c r="C19" s="35" t="s">
        <v>1348</v>
      </c>
      <c r="D19" s="36" t="s">
        <v>1318</v>
      </c>
      <c r="E19" s="37" t="s">
        <v>1322</v>
      </c>
      <c r="F19" s="37" t="s">
        <v>1322</v>
      </c>
      <c r="G19" s="37" t="s">
        <v>310</v>
      </c>
    </row>
    <row r="20" spans="1:7" ht="12.75">
      <c r="A20" s="33"/>
      <c r="B20" s="34" t="s">
        <v>1349</v>
      </c>
      <c r="C20" s="35" t="s">
        <v>1350</v>
      </c>
      <c r="D20" s="36" t="s">
        <v>1351</v>
      </c>
      <c r="E20" s="37"/>
      <c r="F20" s="37" t="s">
        <v>1322</v>
      </c>
      <c r="G20" s="37" t="s">
        <v>318</v>
      </c>
    </row>
    <row r="21" spans="1:7" ht="12.75">
      <c r="A21" s="33"/>
      <c r="B21" s="34" t="s">
        <v>1352</v>
      </c>
      <c r="C21" s="35" t="s">
        <v>1353</v>
      </c>
      <c r="D21" s="36" t="s">
        <v>327</v>
      </c>
      <c r="E21" s="37" t="s">
        <v>1322</v>
      </c>
      <c r="F21" s="37" t="s">
        <v>1322</v>
      </c>
      <c r="G21" s="37" t="s">
        <v>339</v>
      </c>
    </row>
    <row r="22" spans="1:7" ht="12.75">
      <c r="A22" s="33"/>
      <c r="B22" s="34" t="s">
        <v>1354</v>
      </c>
      <c r="C22" s="35" t="s">
        <v>1355</v>
      </c>
      <c r="D22" s="36" t="s">
        <v>327</v>
      </c>
      <c r="E22" s="37" t="s">
        <v>1322</v>
      </c>
      <c r="F22" s="37" t="s">
        <v>1322</v>
      </c>
      <c r="G22" s="37" t="s">
        <v>355</v>
      </c>
    </row>
    <row r="23" spans="1:7" ht="12.75">
      <c r="A23" s="33"/>
      <c r="B23" s="34" t="s">
        <v>1356</v>
      </c>
      <c r="C23" s="35" t="s">
        <v>1357</v>
      </c>
      <c r="D23" s="36" t="s">
        <v>327</v>
      </c>
      <c r="E23" s="37" t="s">
        <v>1322</v>
      </c>
      <c r="F23" s="37" t="s">
        <v>1322</v>
      </c>
      <c r="G23" s="37" t="s">
        <v>355</v>
      </c>
    </row>
    <row r="24" spans="1:7" ht="12.75">
      <c r="A24" s="33"/>
      <c r="B24" s="36" t="s">
        <v>1358</v>
      </c>
      <c r="C24" s="36" t="s">
        <v>1359</v>
      </c>
      <c r="D24" s="36" t="s">
        <v>327</v>
      </c>
      <c r="E24" s="37" t="s">
        <v>1322</v>
      </c>
      <c r="F24" s="37" t="s">
        <v>1322</v>
      </c>
      <c r="G24" s="37" t="s">
        <v>1360</v>
      </c>
    </row>
    <row r="25" spans="1:7" ht="12.75">
      <c r="A25" s="33"/>
      <c r="B25" s="36" t="s">
        <v>1361</v>
      </c>
      <c r="C25" s="36" t="s">
        <v>1362</v>
      </c>
      <c r="D25" s="36" t="s">
        <v>1318</v>
      </c>
      <c r="E25" s="37" t="s">
        <v>1322</v>
      </c>
      <c r="F25" s="17" t="s">
        <v>1322</v>
      </c>
      <c r="G25" s="37" t="s">
        <v>1360</v>
      </c>
    </row>
    <row r="26" spans="1:7" ht="12.75">
      <c r="A26" s="33"/>
      <c r="B26" s="36" t="s">
        <v>1363</v>
      </c>
      <c r="C26" s="36" t="s">
        <v>1364</v>
      </c>
      <c r="D26" s="36" t="s">
        <v>330</v>
      </c>
      <c r="E26" s="37"/>
      <c r="F26" s="37"/>
      <c r="G26" s="37" t="s">
        <v>1365</v>
      </c>
    </row>
    <row r="27" spans="1:7" ht="12.75">
      <c r="A27" s="33"/>
      <c r="B27" s="36" t="s">
        <v>1366</v>
      </c>
      <c r="C27" s="36" t="s">
        <v>1367</v>
      </c>
      <c r="D27" s="36" t="s">
        <v>327</v>
      </c>
      <c r="E27" s="37" t="s">
        <v>1322</v>
      </c>
      <c r="F27" s="17" t="s">
        <v>1322</v>
      </c>
      <c r="G27" s="37" t="s">
        <v>1365</v>
      </c>
    </row>
    <row r="28" spans="1:7" ht="12.75">
      <c r="A28" s="33"/>
      <c r="B28" s="36" t="s">
        <v>1368</v>
      </c>
      <c r="C28" s="36" t="s">
        <v>1369</v>
      </c>
      <c r="D28" s="36" t="s">
        <v>1318</v>
      </c>
      <c r="E28" s="37" t="s">
        <v>1322</v>
      </c>
      <c r="F28" s="37"/>
      <c r="G28" s="37" t="s">
        <v>1370</v>
      </c>
    </row>
    <row r="29" spans="1:7" ht="12.75">
      <c r="A29" s="33"/>
      <c r="B29" s="36" t="s">
        <v>1371</v>
      </c>
      <c r="C29" s="36" t="s">
        <v>1372</v>
      </c>
      <c r="D29" s="36" t="s">
        <v>327</v>
      </c>
      <c r="E29" s="37" t="s">
        <v>1322</v>
      </c>
      <c r="F29" s="37" t="s">
        <v>1322</v>
      </c>
      <c r="G29" s="37" t="s">
        <v>1370</v>
      </c>
    </row>
    <row r="30" spans="1:7" ht="12.75">
      <c r="A30" s="33"/>
      <c r="B30" s="36" t="s">
        <v>1373</v>
      </c>
      <c r="C30" s="36" t="s">
        <v>1374</v>
      </c>
      <c r="D30" s="36" t="s">
        <v>1375</v>
      </c>
      <c r="E30" s="37"/>
      <c r="F30" s="37" t="s">
        <v>1322</v>
      </c>
      <c r="G30" s="37" t="s">
        <v>1376</v>
      </c>
    </row>
    <row r="31" spans="1:7" ht="12.75">
      <c r="A31" s="33"/>
      <c r="B31" s="36" t="s">
        <v>1377</v>
      </c>
      <c r="C31" s="36" t="s">
        <v>1378</v>
      </c>
      <c r="D31" s="36" t="s">
        <v>1379</v>
      </c>
      <c r="E31" s="37"/>
      <c r="F31" s="37"/>
      <c r="G31" s="37" t="s">
        <v>1380</v>
      </c>
    </row>
    <row r="32" spans="1:7" ht="12.75">
      <c r="A32" s="33"/>
      <c r="B32" s="34" t="s">
        <v>1381</v>
      </c>
      <c r="C32" s="35" t="s">
        <v>1359</v>
      </c>
      <c r="D32" s="36" t="s">
        <v>327</v>
      </c>
      <c r="E32" s="37" t="s">
        <v>1322</v>
      </c>
      <c r="F32" s="37" t="s">
        <v>1322</v>
      </c>
      <c r="G32" s="37" t="s">
        <v>1360</v>
      </c>
    </row>
    <row r="33" spans="1:7" ht="12.75">
      <c r="A33" s="33"/>
      <c r="B33" s="36" t="s">
        <v>1382</v>
      </c>
      <c r="C33" s="36" t="s">
        <v>1359</v>
      </c>
      <c r="D33" s="36" t="s">
        <v>327</v>
      </c>
      <c r="E33" s="37" t="s">
        <v>1322</v>
      </c>
      <c r="F33" s="37" t="s">
        <v>1322</v>
      </c>
      <c r="G33" s="37"/>
    </row>
    <row r="34" spans="1:7" ht="12.75">
      <c r="A34" s="33"/>
      <c r="B34" s="36" t="s">
        <v>1383</v>
      </c>
      <c r="C34" s="36" t="s">
        <v>1384</v>
      </c>
      <c r="D34" s="36" t="s">
        <v>1321</v>
      </c>
      <c r="E34" s="37"/>
      <c r="F34" s="37"/>
      <c r="G34" s="37" t="s">
        <v>358</v>
      </c>
    </row>
    <row r="35" spans="1:7" ht="12.75">
      <c r="A35" s="33"/>
      <c r="B35" s="36" t="s">
        <v>1385</v>
      </c>
      <c r="C35" s="36" t="s">
        <v>1359</v>
      </c>
      <c r="D35" s="36" t="s">
        <v>327</v>
      </c>
      <c r="E35" s="17" t="s">
        <v>1322</v>
      </c>
      <c r="F35" s="37"/>
      <c r="G35" s="37" t="s">
        <v>358</v>
      </c>
    </row>
    <row r="36" spans="1:7" ht="12.75">
      <c r="A36" s="33"/>
      <c r="B36" s="36" t="s">
        <v>1386</v>
      </c>
      <c r="C36" s="36" t="s">
        <v>1387</v>
      </c>
      <c r="D36" s="36" t="s">
        <v>1388</v>
      </c>
      <c r="E36" s="17"/>
      <c r="F36" s="37"/>
      <c r="G36" s="37" t="s">
        <v>1389</v>
      </c>
    </row>
    <row r="37" spans="1:7" ht="12.75">
      <c r="A37" s="33"/>
      <c r="B37" s="36" t="s">
        <v>1390</v>
      </c>
      <c r="C37" s="36" t="s">
        <v>1391</v>
      </c>
      <c r="D37" s="36" t="s">
        <v>1318</v>
      </c>
      <c r="E37" s="17" t="s">
        <v>1322</v>
      </c>
      <c r="F37" s="37"/>
      <c r="G37" s="37" t="s">
        <v>1389</v>
      </c>
    </row>
    <row r="38" spans="1:7" ht="12.75">
      <c r="A38" s="33"/>
      <c r="B38" s="36" t="s">
        <v>1392</v>
      </c>
      <c r="C38" s="36" t="s">
        <v>1393</v>
      </c>
      <c r="D38" s="36" t="s">
        <v>300</v>
      </c>
      <c r="E38" s="37"/>
      <c r="F38" s="37"/>
      <c r="G38" s="37" t="s">
        <v>1394</v>
      </c>
    </row>
    <row r="39" spans="1:7" ht="12.75">
      <c r="A39" s="33"/>
      <c r="B39" s="36" t="s">
        <v>1395</v>
      </c>
      <c r="C39" s="36" t="s">
        <v>1396</v>
      </c>
      <c r="D39" s="36" t="s">
        <v>300</v>
      </c>
      <c r="E39" s="17" t="s">
        <v>1322</v>
      </c>
      <c r="F39" s="37"/>
      <c r="G39" s="37" t="s">
        <v>1394</v>
      </c>
    </row>
    <row r="40" spans="1:7" ht="12.75">
      <c r="A40" s="33"/>
      <c r="B40" s="38" t="s">
        <v>1397</v>
      </c>
      <c r="C40" s="35" t="s">
        <v>1398</v>
      </c>
      <c r="D40" s="36" t="s">
        <v>1321</v>
      </c>
      <c r="E40" s="37"/>
      <c r="F40" s="17" t="s">
        <v>1322</v>
      </c>
      <c r="G40" s="37" t="s">
        <v>1399</v>
      </c>
    </row>
    <row r="41" spans="1:7" ht="12.75">
      <c r="A41" s="33"/>
      <c r="B41" s="39" t="s">
        <v>1400</v>
      </c>
      <c r="C41" s="36" t="s">
        <v>1401</v>
      </c>
      <c r="D41" s="36" t="s">
        <v>1402</v>
      </c>
      <c r="E41" s="17" t="s">
        <v>1322</v>
      </c>
      <c r="F41" s="37"/>
      <c r="G41" s="37" t="s">
        <v>1403</v>
      </c>
    </row>
    <row r="42" spans="1:7" ht="12.75">
      <c r="A42" s="33"/>
      <c r="B42" s="40" t="s">
        <v>1404</v>
      </c>
      <c r="C42" s="36" t="s">
        <v>1405</v>
      </c>
      <c r="D42" s="36" t="s">
        <v>1318</v>
      </c>
      <c r="E42" s="37" t="s">
        <v>1322</v>
      </c>
      <c r="F42" s="17" t="s">
        <v>1322</v>
      </c>
      <c r="G42" s="37" t="s">
        <v>384</v>
      </c>
    </row>
    <row r="43" spans="1:7" ht="12.75">
      <c r="A43" s="33"/>
      <c r="B43" s="40" t="s">
        <v>1406</v>
      </c>
      <c r="C43" s="36" t="s">
        <v>1407</v>
      </c>
      <c r="D43" s="36" t="s">
        <v>1402</v>
      </c>
      <c r="E43" s="37" t="s">
        <v>1408</v>
      </c>
      <c r="F43" s="37"/>
      <c r="G43" s="37" t="s">
        <v>384</v>
      </c>
    </row>
    <row r="44" spans="1:7" ht="12.75">
      <c r="A44" s="33"/>
      <c r="B44" s="41" t="s">
        <v>1409</v>
      </c>
      <c r="C44" s="36" t="s">
        <v>1410</v>
      </c>
      <c r="D44" s="36" t="s">
        <v>327</v>
      </c>
      <c r="E44" s="17" t="s">
        <v>1322</v>
      </c>
      <c r="F44" s="37"/>
      <c r="G44" s="37" t="s">
        <v>1411</v>
      </c>
    </row>
    <row r="45" spans="1:7" ht="12.75">
      <c r="A45" s="33"/>
      <c r="B45" s="42" t="s">
        <v>1412</v>
      </c>
      <c r="C45" s="36" t="s">
        <v>1413</v>
      </c>
      <c r="D45" s="36" t="s">
        <v>1351</v>
      </c>
      <c r="E45" s="17" t="s">
        <v>1322</v>
      </c>
      <c r="F45" s="17" t="s">
        <v>1322</v>
      </c>
      <c r="G45" s="37" t="s">
        <v>1411</v>
      </c>
    </row>
    <row r="46" spans="1:7" ht="12.75">
      <c r="A46" s="33"/>
      <c r="B46" s="40" t="s">
        <v>1414</v>
      </c>
      <c r="C46" s="36" t="s">
        <v>1415</v>
      </c>
      <c r="D46" s="36" t="s">
        <v>1321</v>
      </c>
      <c r="E46" s="17" t="s">
        <v>1322</v>
      </c>
      <c r="F46" s="37"/>
      <c r="G46" s="37" t="s">
        <v>1416</v>
      </c>
    </row>
    <row r="47" spans="1:7" ht="12.75">
      <c r="A47" s="33"/>
      <c r="B47" s="42" t="s">
        <v>1417</v>
      </c>
      <c r="C47" s="36" t="s">
        <v>1418</v>
      </c>
      <c r="D47" s="36" t="s">
        <v>1321</v>
      </c>
      <c r="E47" s="17" t="s">
        <v>1322</v>
      </c>
      <c r="F47" s="37"/>
      <c r="G47" s="37" t="s">
        <v>1416</v>
      </c>
    </row>
    <row r="48" spans="1:7" ht="12.75">
      <c r="A48" s="33"/>
      <c r="B48" s="36" t="s">
        <v>1419</v>
      </c>
      <c r="C48" s="36" t="s">
        <v>1418</v>
      </c>
      <c r="D48" s="36" t="s">
        <v>1318</v>
      </c>
      <c r="E48" s="17" t="s">
        <v>1322</v>
      </c>
      <c r="F48" s="17" t="s">
        <v>1322</v>
      </c>
      <c r="G48" s="37" t="s">
        <v>1420</v>
      </c>
    </row>
    <row r="49" spans="1:7" ht="12.75">
      <c r="A49" s="33"/>
      <c r="B49" s="42" t="s">
        <v>1421</v>
      </c>
      <c r="C49" s="43" t="s">
        <v>1422</v>
      </c>
      <c r="D49" s="36" t="s">
        <v>1321</v>
      </c>
      <c r="E49" s="37"/>
      <c r="F49" s="17" t="s">
        <v>1322</v>
      </c>
      <c r="G49" s="37" t="s">
        <v>1423</v>
      </c>
    </row>
    <row r="50" spans="1:7" ht="12.75">
      <c r="A50" s="33"/>
      <c r="B50" s="42" t="s">
        <v>1424</v>
      </c>
      <c r="C50" s="43" t="s">
        <v>1425</v>
      </c>
      <c r="D50" s="36" t="s">
        <v>1402</v>
      </c>
      <c r="E50" s="37" t="s">
        <v>895</v>
      </c>
      <c r="F50" s="37"/>
      <c r="G50" s="37" t="s">
        <v>1426</v>
      </c>
    </row>
    <row r="51" spans="1:7" ht="12.75">
      <c r="A51" s="33"/>
      <c r="B51" s="42" t="s">
        <v>1427</v>
      </c>
      <c r="C51" s="36" t="s">
        <v>1428</v>
      </c>
      <c r="D51" s="36" t="s">
        <v>1321</v>
      </c>
      <c r="E51" s="17" t="s">
        <v>1322</v>
      </c>
      <c r="F51" s="37"/>
      <c r="G51" s="37" t="s">
        <v>1426</v>
      </c>
    </row>
    <row r="52" spans="1:7" ht="12.75">
      <c r="A52" s="33"/>
      <c r="B52" s="42" t="s">
        <v>1429</v>
      </c>
      <c r="C52" s="36" t="s">
        <v>1430</v>
      </c>
      <c r="D52" s="36" t="s">
        <v>1311</v>
      </c>
      <c r="E52" s="37" t="s">
        <v>1408</v>
      </c>
      <c r="F52" s="37"/>
      <c r="G52" s="37" t="s">
        <v>368</v>
      </c>
    </row>
    <row r="53" spans="1:7" ht="12.75">
      <c r="A53" s="33"/>
      <c r="B53" s="42" t="s">
        <v>1431</v>
      </c>
      <c r="C53" s="44" t="s">
        <v>1432</v>
      </c>
      <c r="D53" s="36" t="s">
        <v>1318</v>
      </c>
      <c r="E53" s="37"/>
      <c r="F53" s="17" t="s">
        <v>1322</v>
      </c>
      <c r="G53" s="37" t="s">
        <v>1433</v>
      </c>
    </row>
    <row r="54" spans="1:7" ht="12.75">
      <c r="A54" s="33"/>
      <c r="B54" s="42" t="s">
        <v>1434</v>
      </c>
      <c r="C54" s="36" t="s">
        <v>1435</v>
      </c>
      <c r="D54" s="36" t="s">
        <v>327</v>
      </c>
      <c r="E54" s="37" t="s">
        <v>1322</v>
      </c>
      <c r="F54" s="37" t="s">
        <v>1322</v>
      </c>
      <c r="G54" s="37" t="s">
        <v>1433</v>
      </c>
    </row>
    <row r="55" spans="1:7" ht="12.75">
      <c r="A55" s="33"/>
      <c r="B55" s="42" t="s">
        <v>1436</v>
      </c>
      <c r="C55" s="36" t="s">
        <v>1437</v>
      </c>
      <c r="D55" s="36" t="s">
        <v>1321</v>
      </c>
      <c r="E55" s="37"/>
      <c r="F55" s="17" t="s">
        <v>1322</v>
      </c>
      <c r="G55" s="37" t="s">
        <v>1438</v>
      </c>
    </row>
    <row r="56" spans="1:7" ht="12.75">
      <c r="A56" s="33"/>
      <c r="B56" s="42" t="s">
        <v>1439</v>
      </c>
      <c r="C56" s="36" t="s">
        <v>1440</v>
      </c>
      <c r="D56" s="36" t="s">
        <v>1318</v>
      </c>
      <c r="E56" s="37"/>
      <c r="F56" s="17" t="s">
        <v>1322</v>
      </c>
      <c r="G56" s="37" t="s">
        <v>1441</v>
      </c>
    </row>
    <row r="57" spans="1:7" ht="12.75">
      <c r="A57" s="33"/>
      <c r="B57" s="39" t="s">
        <v>1442</v>
      </c>
      <c r="C57" s="36" t="s">
        <v>1396</v>
      </c>
      <c r="D57" s="36" t="s">
        <v>1318</v>
      </c>
      <c r="E57" s="37" t="s">
        <v>1322</v>
      </c>
      <c r="F57" s="37"/>
      <c r="G57" s="37" t="s">
        <v>1443</v>
      </c>
    </row>
    <row r="58" spans="1:7" ht="12.75">
      <c r="A58" s="33"/>
      <c r="B58" s="36" t="s">
        <v>1444</v>
      </c>
      <c r="C58" s="36" t="s">
        <v>1445</v>
      </c>
      <c r="D58" s="36" t="s">
        <v>1321</v>
      </c>
      <c r="E58" s="17" t="s">
        <v>1322</v>
      </c>
      <c r="F58" s="37"/>
      <c r="G58" s="37" t="s">
        <v>1443</v>
      </c>
    </row>
    <row r="59" spans="1:7" ht="12.75">
      <c r="A59" s="33"/>
      <c r="B59" s="42" t="s">
        <v>1446</v>
      </c>
      <c r="C59" s="36" t="s">
        <v>1447</v>
      </c>
      <c r="D59" s="36" t="s">
        <v>327</v>
      </c>
      <c r="E59" s="17" t="s">
        <v>1322</v>
      </c>
      <c r="F59" s="37"/>
      <c r="G59" s="37" t="s">
        <v>1448</v>
      </c>
    </row>
    <row r="60" spans="1:7" ht="12.75">
      <c r="A60" s="33"/>
      <c r="B60" s="42" t="s">
        <v>1449</v>
      </c>
      <c r="C60" s="36" t="s">
        <v>1450</v>
      </c>
      <c r="D60" s="36" t="s">
        <v>1451</v>
      </c>
      <c r="E60" s="17" t="s">
        <v>1322</v>
      </c>
      <c r="F60" s="37"/>
      <c r="G60" s="37" t="s">
        <v>1452</v>
      </c>
    </row>
    <row r="61" spans="1:7" ht="12.75">
      <c r="A61" s="33"/>
      <c r="B61" s="36" t="s">
        <v>1453</v>
      </c>
      <c r="C61" s="36" t="s">
        <v>1454</v>
      </c>
      <c r="D61" s="36" t="s">
        <v>1318</v>
      </c>
      <c r="E61" s="37"/>
      <c r="F61" s="37"/>
      <c r="G61" s="37"/>
    </row>
    <row r="62" spans="1:7" ht="12.75">
      <c r="A62" s="33"/>
      <c r="B62" s="36" t="s">
        <v>1455</v>
      </c>
      <c r="C62" s="36" t="s">
        <v>1456</v>
      </c>
      <c r="D62" s="36" t="s">
        <v>1351</v>
      </c>
      <c r="E62" s="17" t="s">
        <v>1322</v>
      </c>
      <c r="F62" s="17" t="s">
        <v>1322</v>
      </c>
      <c r="G62" s="37"/>
    </row>
    <row r="63" spans="1:7" ht="12.75">
      <c r="A63" s="33"/>
      <c r="B63" s="36" t="s">
        <v>1457</v>
      </c>
      <c r="C63" s="36" t="s">
        <v>1458</v>
      </c>
      <c r="D63" s="36" t="s">
        <v>1318</v>
      </c>
      <c r="E63" s="37"/>
      <c r="F63" s="37"/>
      <c r="G63" s="37"/>
    </row>
    <row r="64" spans="1:7" ht="12.75">
      <c r="A64" s="33"/>
      <c r="B64" s="36" t="s">
        <v>1459</v>
      </c>
      <c r="C64" s="36" t="s">
        <v>1460</v>
      </c>
      <c r="D64" s="36" t="s">
        <v>1461</v>
      </c>
      <c r="E64" s="37"/>
      <c r="F64" s="37"/>
      <c r="G64" s="37"/>
    </row>
    <row r="65" spans="1:7" ht="12.75">
      <c r="A65" s="33"/>
      <c r="B65" s="36" t="s">
        <v>1462</v>
      </c>
      <c r="C65" s="36" t="s">
        <v>1463</v>
      </c>
      <c r="D65" s="36" t="s">
        <v>1464</v>
      </c>
      <c r="E65" s="37" t="s">
        <v>1322</v>
      </c>
      <c r="F65" s="37"/>
      <c r="G65" s="37"/>
    </row>
    <row r="66" spans="1:7" ht="12.75">
      <c r="A66" s="33"/>
      <c r="B66" s="36" t="s">
        <v>1465</v>
      </c>
      <c r="C66" s="36" t="s">
        <v>1466</v>
      </c>
      <c r="D66" s="36" t="s">
        <v>1318</v>
      </c>
      <c r="E66" s="37"/>
      <c r="F66" s="37"/>
      <c r="G66" s="37"/>
    </row>
    <row r="67" spans="1:7" ht="12.75">
      <c r="A67" s="33"/>
      <c r="B67" s="36" t="s">
        <v>1467</v>
      </c>
      <c r="C67" s="36" t="s">
        <v>1468</v>
      </c>
      <c r="D67" s="36" t="s">
        <v>1379</v>
      </c>
      <c r="E67" s="37"/>
      <c r="F67" s="37"/>
      <c r="G67" s="37"/>
    </row>
    <row r="68" spans="1:7" ht="12.75">
      <c r="A68" s="33"/>
      <c r="B68" s="36" t="s">
        <v>1469</v>
      </c>
      <c r="C68" s="36" t="s">
        <v>1470</v>
      </c>
      <c r="D68" s="36" t="s">
        <v>327</v>
      </c>
      <c r="E68" s="17" t="s">
        <v>1322</v>
      </c>
      <c r="F68" s="37"/>
      <c r="G68" s="37"/>
    </row>
  </sheetData>
  <autoFilter ref="B2:G68" xr:uid="{00000000-0009-0000-0000-000001000000}"/>
  <mergeCells count="1">
    <mergeCell ref="C1:D1"/>
  </mergeCells>
  <phoneticPr fontId="28" type="noConversion"/>
  <conditionalFormatting sqref="E3:F68">
    <cfRule type="containsBlanks" dxfId="0" priority="1">
      <formula>LEN(TRIM(E3))=0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E33"/>
  <sheetViews>
    <sheetView workbookViewId="0"/>
  </sheetViews>
  <sheetFormatPr defaultColWidth="12.5703125" defaultRowHeight="15" customHeight="1"/>
  <cols>
    <col min="1" max="1" width="3.5703125" customWidth="1"/>
  </cols>
  <sheetData>
    <row r="1" spans="2:5" ht="12.75">
      <c r="B1" s="45" t="s">
        <v>1471</v>
      </c>
    </row>
    <row r="2" spans="2:5" ht="19.5" customHeight="1">
      <c r="B2" s="46" t="s">
        <v>1472</v>
      </c>
      <c r="C2" s="46" t="s">
        <v>1304</v>
      </c>
      <c r="D2" s="46" t="s">
        <v>1305</v>
      </c>
      <c r="E2" s="46" t="s">
        <v>1473</v>
      </c>
    </row>
    <row r="3" spans="2:5" ht="12.75">
      <c r="B3" s="47" t="s">
        <v>1474</v>
      </c>
      <c r="C3" s="47">
        <f>COUNTIFS(독서목록!$B$46:$B$1201, B3, 독서목록!$C$46:$C$1201, "*")</f>
        <v>0</v>
      </c>
      <c r="D3" s="47">
        <f>COUNTIFS(독서목록!$B$46:$B$1201, B3, 독서목록!$D$46:$D$1201, "*")</f>
        <v>80</v>
      </c>
      <c r="E3" s="47">
        <f t="shared" ref="E3:E20" si="0">SUM(C3:D3)</f>
        <v>80</v>
      </c>
    </row>
    <row r="4" spans="2:5" ht="12.75">
      <c r="B4" s="47">
        <v>2010</v>
      </c>
      <c r="C4" s="47">
        <f>COUNTIFS(독서목록!$B$46:$B$1201, B4, 독서목록!$C$46:$C$1201, "*")</f>
        <v>41</v>
      </c>
      <c r="D4" s="47">
        <f>COUNTIFS(독서목록!$B$46:$B$1201, B4, 독서목록!$D$46:$D$1201, "*")</f>
        <v>47</v>
      </c>
      <c r="E4" s="47">
        <f t="shared" si="0"/>
        <v>88</v>
      </c>
    </row>
    <row r="5" spans="2:5" ht="12.75">
      <c r="B5" s="47">
        <f t="shared" ref="B5:B15" si="1">B4+1</f>
        <v>2011</v>
      </c>
      <c r="C5" s="47">
        <f>COUNTIFS(독서목록!$B$46:$B$1201, B5, 독서목록!$C$46:$C$1201, "*")</f>
        <v>55</v>
      </c>
      <c r="D5" s="47">
        <f>COUNTIFS(독서목록!$B$46:$B$1201, B5, 독서목록!$D$46:$D$1201, "*")</f>
        <v>49</v>
      </c>
      <c r="E5" s="47">
        <f t="shared" si="0"/>
        <v>104</v>
      </c>
    </row>
    <row r="6" spans="2:5" ht="12.75">
      <c r="B6" s="47">
        <f t="shared" si="1"/>
        <v>2012</v>
      </c>
      <c r="C6" s="47">
        <f>COUNTIFS(독서목록!$B$46:$B$1201, B6, 독서목록!$C$46:$C$1201, "*")</f>
        <v>53</v>
      </c>
      <c r="D6" s="47">
        <f>COUNTIFS(독서목록!$B$46:$B$1201, B6, 독서목록!$D$46:$D$1201, "*")</f>
        <v>57</v>
      </c>
      <c r="E6" s="47">
        <f t="shared" si="0"/>
        <v>110</v>
      </c>
    </row>
    <row r="7" spans="2:5" ht="12.75">
      <c r="B7" s="47">
        <f t="shared" si="1"/>
        <v>2013</v>
      </c>
      <c r="C7" s="47">
        <f>COUNTIFS(독서목록!$B$46:$B$1201, B7, 독서목록!$C$46:$C$1201, "*")</f>
        <v>43</v>
      </c>
      <c r="D7" s="47">
        <f>COUNTIFS(독서목록!$B$46:$B$1201, B7, 독서목록!$D$46:$D$1201, "*")</f>
        <v>34</v>
      </c>
      <c r="E7" s="47">
        <f t="shared" si="0"/>
        <v>77</v>
      </c>
    </row>
    <row r="8" spans="2:5" ht="12.75">
      <c r="B8" s="47">
        <f t="shared" si="1"/>
        <v>2014</v>
      </c>
      <c r="C8" s="47">
        <f>COUNTIFS(독서목록!$B$46:$B$1201, B8, 독서목록!$C$46:$C$1201, "*")</f>
        <v>33</v>
      </c>
      <c r="D8" s="47">
        <f>COUNTIFS(독서목록!$B$46:$B$1201, B8, 독서목록!$D$46:$D$1201, "*")</f>
        <v>29</v>
      </c>
      <c r="E8" s="47">
        <f t="shared" si="0"/>
        <v>62</v>
      </c>
    </row>
    <row r="9" spans="2:5" ht="12.75">
      <c r="B9" s="47">
        <f t="shared" si="1"/>
        <v>2015</v>
      </c>
      <c r="C9" s="47">
        <f>COUNTIFS(독서목록!$B$46:$B$1201, B9, 독서목록!$C$46:$C$1201, "*")</f>
        <v>41</v>
      </c>
      <c r="D9" s="47">
        <f>COUNTIFS(독서목록!$B$46:$B$1201, B9, 독서목록!$D$46:$D$1201, "*")</f>
        <v>30</v>
      </c>
      <c r="E9" s="47">
        <f t="shared" si="0"/>
        <v>71</v>
      </c>
    </row>
    <row r="10" spans="2:5" ht="12.75">
      <c r="B10" s="47">
        <f t="shared" si="1"/>
        <v>2016</v>
      </c>
      <c r="C10" s="47">
        <f>COUNTIFS(독서목록!$B$46:$B$1201, B10, 독서목록!$C$46:$C$1201, "*")</f>
        <v>30</v>
      </c>
      <c r="D10" s="47">
        <f>COUNTIFS(독서목록!$B$46:$B$1201, B10, 독서목록!$D$46:$D$1201, "*")</f>
        <v>19</v>
      </c>
      <c r="E10" s="47">
        <f t="shared" si="0"/>
        <v>49</v>
      </c>
    </row>
    <row r="11" spans="2:5" ht="12.75">
      <c r="B11" s="47">
        <f t="shared" si="1"/>
        <v>2017</v>
      </c>
      <c r="C11" s="47">
        <f>COUNTIFS(독서목록!$B$46:$B$1201, B11, 독서목록!$C$46:$C$1201, "*")</f>
        <v>25</v>
      </c>
      <c r="D11" s="47">
        <f>COUNTIFS(독서목록!$B$46:$B$1201, B11, 독서목록!$D$46:$D$1201, "*")</f>
        <v>24</v>
      </c>
      <c r="E11" s="47">
        <f t="shared" si="0"/>
        <v>49</v>
      </c>
    </row>
    <row r="12" spans="2:5" ht="12.75">
      <c r="B12" s="47">
        <f t="shared" si="1"/>
        <v>2018</v>
      </c>
      <c r="C12" s="47">
        <f>COUNTIFS(독서목록!$B$46:$B$1201, B12, 독서목록!$C$46:$C$1201, "*")</f>
        <v>43</v>
      </c>
      <c r="D12" s="47">
        <f>COUNTIFS(독서목록!$B$46:$B$1201, B12, 독서목록!$D$46:$D$1201, "*")</f>
        <v>34</v>
      </c>
      <c r="E12" s="47">
        <f t="shared" si="0"/>
        <v>77</v>
      </c>
    </row>
    <row r="13" spans="2:5" ht="12.75">
      <c r="B13" s="47">
        <f t="shared" si="1"/>
        <v>2019</v>
      </c>
      <c r="C13" s="47">
        <f>COUNTIFS(독서목록!$B$46:$B$1201, B13, 독서목록!$C$46:$C$1201, "*")</f>
        <v>10</v>
      </c>
      <c r="D13" s="47">
        <f>COUNTIFS(독서목록!$B$46:$B$1201, B13, 독서목록!$D$46:$D$1201, "*")</f>
        <v>4</v>
      </c>
      <c r="E13" s="47">
        <f t="shared" si="0"/>
        <v>14</v>
      </c>
    </row>
    <row r="14" spans="2:5" ht="12.75">
      <c r="B14" s="47">
        <f t="shared" si="1"/>
        <v>2020</v>
      </c>
      <c r="C14" s="47">
        <f>COUNTIFS(독서목록!$B$46:$B$1201, B14, 독서목록!$C$46:$C$1201, "*")</f>
        <v>11</v>
      </c>
      <c r="D14" s="47">
        <f>COUNTIFS(독서목록!$B$46:$B$1201, B14, 독서목록!$D$46:$D$1201, "*")</f>
        <v>17</v>
      </c>
      <c r="E14" s="47">
        <f t="shared" si="0"/>
        <v>28</v>
      </c>
    </row>
    <row r="15" spans="2:5" ht="12.75">
      <c r="B15" s="47">
        <f t="shared" si="1"/>
        <v>2021</v>
      </c>
      <c r="C15" s="47">
        <f>COUNTIFS(독서목록!$B$46:$B$1201, B15, 독서목록!$C$46:$C$1201, "*")</f>
        <v>15</v>
      </c>
      <c r="D15" s="47">
        <f>COUNTIFS(독서목록!$B$46:$B$1201, B15, 독서목록!$D$46:$D$1201, "*")</f>
        <v>14</v>
      </c>
      <c r="E15" s="47">
        <f t="shared" si="0"/>
        <v>29</v>
      </c>
    </row>
    <row r="16" spans="2:5" ht="12.75">
      <c r="B16" s="47">
        <v>2022</v>
      </c>
      <c r="C16" s="47">
        <f>COUNTIFS(독서목록!$B$46:$B$1201, B16, 독서목록!$C$46:$C$1201, "*")</f>
        <v>17</v>
      </c>
      <c r="D16" s="47">
        <f>COUNTIFS(독서목록!$B$46:$B$1201, B16, 독서목록!$D$46:$D$1201, "*")</f>
        <v>10</v>
      </c>
      <c r="E16" s="47">
        <f t="shared" si="0"/>
        <v>27</v>
      </c>
    </row>
    <row r="17" spans="2:5" ht="12.75">
      <c r="B17" s="47">
        <v>2023</v>
      </c>
      <c r="C17" s="47">
        <f>COUNTIFS(독서목록!$B$46:$B$1201, B17, 독서목록!$C$46:$C$1201, "*")</f>
        <v>32</v>
      </c>
      <c r="D17" s="47">
        <f>COUNTIFS(독서목록!$B$46:$B$1201, B17, 독서목록!$D$46:$D$1201, "*")</f>
        <v>26</v>
      </c>
      <c r="E17" s="47">
        <f t="shared" si="0"/>
        <v>58</v>
      </c>
    </row>
    <row r="18" spans="2:5" ht="12.75">
      <c r="B18" s="47">
        <v>2024</v>
      </c>
      <c r="C18" s="47">
        <f>COUNTIFS(독서목록!$B$46:$B$1201, B18, 독서목록!$C$46:$C$1201, "*")</f>
        <v>30</v>
      </c>
      <c r="D18" s="47">
        <f>COUNTIFS(독서목록!$B$46:$B$1201, B18, 독서목록!$D$46:$D$1201, "*")</f>
        <v>31</v>
      </c>
      <c r="E18" s="47">
        <f t="shared" si="0"/>
        <v>61</v>
      </c>
    </row>
    <row r="19" spans="2:5" ht="12.75">
      <c r="B19" s="47">
        <v>2025</v>
      </c>
      <c r="C19" s="47">
        <f>COUNTIFS(독서목록!$B$3:$B$1201, B19, 독서목록!$C$3:$C$1201, "*")</f>
        <v>26</v>
      </c>
      <c r="D19" s="47">
        <f>COUNTIFS(독서목록!$B$3:$B$1201, B19, 독서목록!$D$3:$D$1201, "*")</f>
        <v>20</v>
      </c>
      <c r="E19" s="47">
        <f t="shared" si="0"/>
        <v>46</v>
      </c>
    </row>
    <row r="20" spans="2:5" ht="12.75">
      <c r="B20" s="47">
        <v>2026</v>
      </c>
      <c r="C20" s="47">
        <f>COUNTIFS(독서목록!$B$3:$B$1201, B20, 독서목록!$C$3:$C$1201, "*")</f>
        <v>8</v>
      </c>
      <c r="D20" s="47">
        <f>COUNTIFS(독서목록!$B$3:$B$1201, B20, 독서목록!$D$3:$D$1201, "*")</f>
        <v>5</v>
      </c>
      <c r="E20" s="47">
        <f t="shared" si="0"/>
        <v>13</v>
      </c>
    </row>
    <row r="21" spans="2:5" ht="12.75">
      <c r="B21" s="48"/>
      <c r="C21" s="48"/>
      <c r="D21" s="48"/>
      <c r="E21" s="48"/>
    </row>
    <row r="22" spans="2:5" ht="12.75">
      <c r="B22" s="49" t="s">
        <v>1475</v>
      </c>
      <c r="C22" s="47">
        <f t="shared" ref="C22:E22" si="2">ROUND(SUM(C3:C19)/COUNT(C3:C19), 1)</f>
        <v>29.7</v>
      </c>
      <c r="D22" s="47">
        <f t="shared" si="2"/>
        <v>30.9</v>
      </c>
      <c r="E22" s="47">
        <f t="shared" si="2"/>
        <v>60.6</v>
      </c>
    </row>
    <row r="23" spans="2:5" ht="12.75">
      <c r="B23" s="49" t="s">
        <v>1476</v>
      </c>
      <c r="C23" s="47">
        <f t="shared" ref="C23:D23" si="3">SUM(C3:C19)</f>
        <v>505</v>
      </c>
      <c r="D23" s="47">
        <f t="shared" si="3"/>
        <v>525</v>
      </c>
      <c r="E23" s="47">
        <f>SUM(C23,D23)</f>
        <v>1030</v>
      </c>
    </row>
    <row r="24" spans="2:5" ht="12.75">
      <c r="B24" s="48"/>
      <c r="C24" s="48"/>
      <c r="D24" s="48"/>
      <c r="E24" s="48"/>
    </row>
    <row r="25" spans="2:5" ht="12.75">
      <c r="B25" s="50"/>
      <c r="C25" s="51" t="s">
        <v>1304</v>
      </c>
      <c r="D25" s="51" t="s">
        <v>1305</v>
      </c>
      <c r="E25" s="51" t="s">
        <v>1477</v>
      </c>
    </row>
    <row r="26" spans="2:5" ht="12.75">
      <c r="B26" s="52" t="s">
        <v>1478</v>
      </c>
      <c r="C26" s="47">
        <f ca="1">COUNTIF(도서목록!$E$3:$E$1103, "&gt;=1")</f>
        <v>0</v>
      </c>
      <c r="D26" s="47">
        <f ca="1">COUNTIF(도서목록!$F$3:$F$1103, "&gt;=1")</f>
        <v>2</v>
      </c>
      <c r="E26" s="47">
        <f ca="1">COUNTIFS(도서목록!$E$3:$E$1103, "&gt;=1", 도서목록!$F$3:$F$1103, "&gt;=1")+COUNTIFS(도서목록!$E$3:$E$1103, "&gt;=1", 도서목록!$F$3:$F$1103, "O")</f>
        <v>0</v>
      </c>
    </row>
    <row r="27" spans="2:5" ht="12.75">
      <c r="B27" s="52" t="s">
        <v>1479</v>
      </c>
      <c r="C27" s="47">
        <f ca="1">COUNTIF(도서목록!$E$3:$E$1103, "-")</f>
        <v>1</v>
      </c>
      <c r="D27" s="47">
        <f ca="1">COUNTIF(도서목록!$F$3:$F$1103, "-")</f>
        <v>1</v>
      </c>
      <c r="E27" s="47">
        <f ca="1">COUNTIFS(도서목록!$E$3:$E$1103, "-", 도서목록!$F$3:$F$1103, "-")</f>
        <v>1</v>
      </c>
    </row>
    <row r="28" spans="2:5" ht="12.75">
      <c r="B28" s="52" t="s">
        <v>1480</v>
      </c>
      <c r="C28" s="47">
        <f ca="1">C30-C26-C27</f>
        <v>558</v>
      </c>
      <c r="D28" s="47">
        <f ca="1">C30-D26-D27</f>
        <v>556</v>
      </c>
      <c r="E28" s="47">
        <f ca="1">COUNTIFS(도서목록!$E$3:$E$1103, "", 도서목록!$F$3:$F$1103, "")</f>
        <v>530</v>
      </c>
    </row>
    <row r="29" spans="2:5" ht="12.75">
      <c r="B29" s="48"/>
      <c r="C29" s="48"/>
      <c r="D29" s="48"/>
      <c r="E29" s="48"/>
    </row>
    <row r="30" spans="2:5" ht="12.75">
      <c r="B30" s="53" t="s">
        <v>1481</v>
      </c>
      <c r="C30" s="47">
        <f>도서목록!B1</f>
        <v>559</v>
      </c>
      <c r="D30" s="48"/>
      <c r="E30" s="48"/>
    </row>
    <row r="31" spans="2:5" ht="12.75">
      <c r="B31" s="53" t="s">
        <v>75</v>
      </c>
      <c r="C31" s="47">
        <f>COUNTIF(도서목록!H3:H573, "기부")</f>
        <v>152</v>
      </c>
      <c r="D31" s="48"/>
      <c r="E31" s="48"/>
    </row>
    <row r="32" spans="2:5" ht="12.75">
      <c r="B32" s="53" t="s">
        <v>971</v>
      </c>
      <c r="C32" s="47">
        <f>COUNTIF(도서목록!H3:H573, "판매")</f>
        <v>157</v>
      </c>
      <c r="D32" s="48"/>
      <c r="E32" s="48"/>
    </row>
    <row r="33" spans="2:3" ht="12.75">
      <c r="B33" s="53" t="s">
        <v>1482</v>
      </c>
      <c r="C33" s="47">
        <f>C30-C31-C32</f>
        <v>250</v>
      </c>
    </row>
  </sheetData>
  <phoneticPr fontId="2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65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1" max="1" width="3.5703125" customWidth="1"/>
    <col min="2" max="2" width="7.7109375" customWidth="1"/>
    <col min="3" max="4" width="39.28515625" customWidth="1"/>
  </cols>
  <sheetData>
    <row r="1" spans="1:4" ht="12.75">
      <c r="B1" s="50"/>
    </row>
    <row r="2" spans="1:4" ht="18" customHeight="1">
      <c r="A2" s="6"/>
      <c r="B2" s="7" t="s">
        <v>1483</v>
      </c>
      <c r="C2" s="7" t="s">
        <v>1304</v>
      </c>
      <c r="D2" s="7" t="s">
        <v>1305</v>
      </c>
    </row>
    <row r="3" spans="1:4" ht="12.75" hidden="1">
      <c r="A3" s="48"/>
      <c r="B3" s="54"/>
      <c r="C3" s="55"/>
      <c r="D3" s="55"/>
    </row>
    <row r="4" spans="1:4" ht="12.75">
      <c r="A4" s="48"/>
      <c r="B4" s="54">
        <v>2026</v>
      </c>
      <c r="C4" s="55" t="s">
        <v>56</v>
      </c>
      <c r="D4" s="55" t="s">
        <v>53</v>
      </c>
    </row>
    <row r="5" spans="1:4" ht="12.75">
      <c r="A5" s="48"/>
      <c r="B5" s="54">
        <v>2026</v>
      </c>
      <c r="C5" s="55" t="s">
        <v>41</v>
      </c>
      <c r="D5" s="55" t="s">
        <v>62</v>
      </c>
    </row>
    <row r="6" spans="1:4" ht="12.75">
      <c r="A6" s="48"/>
      <c r="B6" s="54">
        <v>2026</v>
      </c>
      <c r="C6" s="55" t="s">
        <v>66</v>
      </c>
      <c r="D6" s="55" t="s">
        <v>51</v>
      </c>
    </row>
    <row r="7" spans="1:4" ht="12.75">
      <c r="A7" s="48"/>
      <c r="B7" s="54">
        <v>2026</v>
      </c>
      <c r="C7" s="55" t="s">
        <v>51</v>
      </c>
      <c r="D7" s="55" t="s">
        <v>188</v>
      </c>
    </row>
    <row r="8" spans="1:4" ht="12.75">
      <c r="A8" s="48"/>
      <c r="B8" s="54">
        <v>2026</v>
      </c>
      <c r="C8" s="55" t="s">
        <v>20</v>
      </c>
      <c r="D8" s="10" t="s">
        <v>20</v>
      </c>
    </row>
    <row r="9" spans="1:4" ht="12.75">
      <c r="A9" s="48"/>
      <c r="B9" s="54">
        <v>2026</v>
      </c>
      <c r="C9" s="55" t="s">
        <v>69</v>
      </c>
      <c r="D9" s="55"/>
    </row>
    <row r="10" spans="1:4" ht="12.75">
      <c r="A10" s="48"/>
      <c r="B10" s="54">
        <v>2026</v>
      </c>
      <c r="C10" s="55" t="s">
        <v>56</v>
      </c>
      <c r="D10" s="55"/>
    </row>
    <row r="11" spans="1:4" ht="12.75">
      <c r="A11" s="48"/>
      <c r="B11" s="54">
        <v>2026</v>
      </c>
      <c r="C11" s="55" t="s">
        <v>78</v>
      </c>
      <c r="D11" s="55"/>
    </row>
    <row r="12" spans="1:4" ht="12.75">
      <c r="A12" s="48"/>
      <c r="B12" s="54">
        <v>2026</v>
      </c>
      <c r="C12" s="55"/>
      <c r="D12" s="55"/>
    </row>
    <row r="13" spans="1:4" ht="12.75">
      <c r="A13" s="48"/>
      <c r="B13" s="54">
        <v>2026</v>
      </c>
      <c r="C13" s="55"/>
      <c r="D13" s="55"/>
    </row>
    <row r="14" spans="1:4" ht="12.75">
      <c r="A14" s="48"/>
      <c r="B14" s="54">
        <v>2026</v>
      </c>
      <c r="C14" s="55"/>
      <c r="D14" s="55"/>
    </row>
    <row r="15" spans="1:4" ht="12.75">
      <c r="A15" s="48"/>
      <c r="B15" s="54">
        <v>2026</v>
      </c>
      <c r="C15" s="55"/>
      <c r="D15" s="55"/>
    </row>
    <row r="16" spans="1:4" ht="12.75">
      <c r="A16" s="48"/>
      <c r="B16" s="54">
        <v>2026</v>
      </c>
      <c r="C16" s="55"/>
      <c r="D16" s="55"/>
    </row>
    <row r="17" spans="1:4" ht="12.75">
      <c r="A17" s="48"/>
      <c r="B17" s="54">
        <v>2026</v>
      </c>
      <c r="C17" s="55"/>
      <c r="D17" s="55"/>
    </row>
    <row r="18" spans="1:4" ht="12.75">
      <c r="A18" s="48"/>
      <c r="B18" s="54">
        <v>2026</v>
      </c>
      <c r="C18" s="55"/>
      <c r="D18" s="55"/>
    </row>
    <row r="19" spans="1:4" ht="12.75">
      <c r="A19" s="48"/>
      <c r="B19" s="54">
        <v>2026</v>
      </c>
      <c r="C19" s="55"/>
      <c r="D19" s="55"/>
    </row>
    <row r="20" spans="1:4" ht="12.75">
      <c r="A20" s="48"/>
      <c r="B20" s="56">
        <v>2025</v>
      </c>
      <c r="C20" s="57" t="s">
        <v>133</v>
      </c>
      <c r="D20" s="57" t="s">
        <v>141</v>
      </c>
    </row>
    <row r="21" spans="1:4" ht="12.75">
      <c r="A21" s="48"/>
      <c r="B21" s="56">
        <v>2025</v>
      </c>
      <c r="C21" s="57" t="s">
        <v>1323</v>
      </c>
      <c r="D21" s="58" t="s">
        <v>138</v>
      </c>
    </row>
    <row r="22" spans="1:4" ht="12.75">
      <c r="A22" s="48"/>
      <c r="B22" s="56">
        <v>2025</v>
      </c>
      <c r="C22" s="57" t="s">
        <v>127</v>
      </c>
      <c r="D22" s="58" t="s">
        <v>119</v>
      </c>
    </row>
    <row r="23" spans="1:4" ht="12.75">
      <c r="A23" s="48"/>
      <c r="B23" s="56">
        <v>2025</v>
      </c>
      <c r="C23" s="57" t="s">
        <v>123</v>
      </c>
      <c r="D23" s="58" t="s">
        <v>113</v>
      </c>
    </row>
    <row r="24" spans="1:4" ht="12.75">
      <c r="A24" s="48"/>
      <c r="B24" s="56">
        <v>2025</v>
      </c>
      <c r="C24" s="57" t="s">
        <v>119</v>
      </c>
      <c r="D24" s="58" t="s">
        <v>140</v>
      </c>
    </row>
    <row r="25" spans="1:4" ht="12.75">
      <c r="A25" s="48"/>
      <c r="B25" s="56">
        <v>2025</v>
      </c>
      <c r="C25" s="57" t="s">
        <v>110</v>
      </c>
      <c r="D25" s="59" t="s">
        <v>1327</v>
      </c>
    </row>
    <row r="26" spans="1:4" ht="12.75">
      <c r="A26" s="48"/>
      <c r="B26" s="56">
        <v>2025</v>
      </c>
      <c r="C26" s="57" t="s">
        <v>1319</v>
      </c>
      <c r="D26" s="58" t="s">
        <v>116</v>
      </c>
    </row>
    <row r="27" spans="1:4" ht="12.75">
      <c r="A27" s="48"/>
      <c r="B27" s="56">
        <v>2025</v>
      </c>
      <c r="C27" s="57" t="s">
        <v>140</v>
      </c>
      <c r="D27" s="58" t="s">
        <v>139</v>
      </c>
    </row>
    <row r="28" spans="1:4" ht="12.75">
      <c r="A28" s="48"/>
      <c r="B28" s="56">
        <v>2025</v>
      </c>
      <c r="C28" s="57" t="s">
        <v>106</v>
      </c>
      <c r="D28" s="58" t="s">
        <v>106</v>
      </c>
    </row>
    <row r="29" spans="1:4" ht="12.75">
      <c r="A29" s="48"/>
      <c r="B29" s="56">
        <v>2025</v>
      </c>
      <c r="C29" s="57" t="s">
        <v>113</v>
      </c>
      <c r="D29" s="58" t="s">
        <v>103</v>
      </c>
    </row>
    <row r="30" spans="1:4" ht="12.75">
      <c r="A30" s="48"/>
      <c r="B30" s="56">
        <v>2025</v>
      </c>
      <c r="C30" s="57" t="s">
        <v>100</v>
      </c>
      <c r="D30" s="57" t="s">
        <v>97</v>
      </c>
    </row>
    <row r="31" spans="1:4" ht="12.75">
      <c r="A31" s="48"/>
      <c r="B31" s="56">
        <v>2025</v>
      </c>
      <c r="C31" s="57" t="s">
        <v>97</v>
      </c>
      <c r="D31" s="58" t="s">
        <v>136</v>
      </c>
    </row>
    <row r="32" spans="1:4" ht="12.75">
      <c r="A32" s="48"/>
      <c r="B32" s="56">
        <v>2025</v>
      </c>
      <c r="C32" s="57" t="s">
        <v>103</v>
      </c>
      <c r="D32" s="57" t="s">
        <v>123</v>
      </c>
    </row>
    <row r="33" spans="1:4" ht="12.75">
      <c r="A33" s="48"/>
      <c r="B33" s="56">
        <v>2025</v>
      </c>
      <c r="C33" s="57" t="s">
        <v>212</v>
      </c>
      <c r="D33" s="57" t="s">
        <v>100</v>
      </c>
    </row>
    <row r="34" spans="1:4" ht="12.75">
      <c r="A34" s="48"/>
      <c r="B34" s="56">
        <v>2025</v>
      </c>
      <c r="C34" s="57" t="s">
        <v>87</v>
      </c>
      <c r="D34" s="58" t="s">
        <v>71</v>
      </c>
    </row>
    <row r="35" spans="1:4" ht="12.75">
      <c r="A35" s="48"/>
      <c r="B35" s="56">
        <v>2025</v>
      </c>
      <c r="C35" s="57" t="s">
        <v>91</v>
      </c>
      <c r="D35" s="57" t="s">
        <v>94</v>
      </c>
    </row>
    <row r="36" spans="1:4" ht="12.75">
      <c r="A36" s="48"/>
      <c r="B36" s="56">
        <v>2025</v>
      </c>
      <c r="C36" s="57" t="s">
        <v>80</v>
      </c>
      <c r="D36" s="58" t="s">
        <v>76</v>
      </c>
    </row>
    <row r="37" spans="1:4" ht="12.75">
      <c r="A37" s="48"/>
      <c r="B37" s="56">
        <v>2025</v>
      </c>
      <c r="C37" s="57" t="s">
        <v>71</v>
      </c>
      <c r="D37" s="58" t="s">
        <v>130</v>
      </c>
    </row>
    <row r="38" spans="1:4" ht="12.75">
      <c r="A38" s="48"/>
      <c r="B38" s="56">
        <v>2025</v>
      </c>
      <c r="C38" s="57" t="s">
        <v>94</v>
      </c>
      <c r="D38" s="58" t="s">
        <v>66</v>
      </c>
    </row>
    <row r="39" spans="1:4" ht="12.75">
      <c r="A39" s="48"/>
      <c r="B39" s="56">
        <v>2025</v>
      </c>
      <c r="C39" s="57" t="s">
        <v>84</v>
      </c>
      <c r="D39" s="58" t="s">
        <v>374</v>
      </c>
    </row>
    <row r="40" spans="1:4" ht="12.75">
      <c r="A40" s="48"/>
      <c r="B40" s="56">
        <v>2025</v>
      </c>
      <c r="C40" s="57" t="s">
        <v>62</v>
      </c>
      <c r="D40" s="58"/>
    </row>
    <row r="41" spans="1:4" ht="12.75">
      <c r="A41" s="48"/>
      <c r="B41" s="56">
        <v>2025</v>
      </c>
      <c r="C41" s="57" t="s">
        <v>163</v>
      </c>
      <c r="D41" s="58"/>
    </row>
    <row r="42" spans="1:4" ht="12.75">
      <c r="A42" s="48"/>
      <c r="B42" s="56">
        <v>2025</v>
      </c>
      <c r="C42" s="57" t="s">
        <v>231</v>
      </c>
      <c r="D42" s="58"/>
    </row>
    <row r="43" spans="1:4" ht="12.75">
      <c r="A43" s="48"/>
      <c r="B43" s="56">
        <v>2025</v>
      </c>
      <c r="C43" s="57" t="s">
        <v>76</v>
      </c>
      <c r="D43" s="58"/>
    </row>
    <row r="44" spans="1:4" ht="12.75">
      <c r="A44" s="48"/>
      <c r="B44" s="56">
        <v>2025</v>
      </c>
      <c r="C44" s="57" t="s">
        <v>53</v>
      </c>
      <c r="D44" s="58"/>
    </row>
    <row r="45" spans="1:4" ht="12.75">
      <c r="A45" s="48"/>
      <c r="B45" s="56">
        <v>2025</v>
      </c>
      <c r="C45" s="57" t="s">
        <v>47</v>
      </c>
      <c r="D45" s="58"/>
    </row>
    <row r="46" spans="1:4" ht="12.75">
      <c r="A46" s="48"/>
      <c r="B46" s="54">
        <v>2024</v>
      </c>
      <c r="C46" s="55" t="s">
        <v>235</v>
      </c>
      <c r="D46" s="60" t="s">
        <v>238</v>
      </c>
    </row>
    <row r="47" spans="1:4" ht="12.75">
      <c r="A47" s="48"/>
      <c r="B47" s="54">
        <v>2024</v>
      </c>
      <c r="C47" s="55" t="s">
        <v>241</v>
      </c>
      <c r="D47" s="55" t="s">
        <v>235</v>
      </c>
    </row>
    <row r="48" spans="1:4" ht="12.75">
      <c r="A48" s="48"/>
      <c r="B48" s="54">
        <v>2024</v>
      </c>
      <c r="C48" s="55" t="s">
        <v>1484</v>
      </c>
      <c r="D48" s="10" t="s">
        <v>231</v>
      </c>
    </row>
    <row r="49" spans="1:4" ht="12.75">
      <c r="A49" s="48"/>
      <c r="B49" s="54">
        <v>2024</v>
      </c>
      <c r="C49" s="55" t="s">
        <v>221</v>
      </c>
      <c r="D49" s="10" t="s">
        <v>215</v>
      </c>
    </row>
    <row r="50" spans="1:4" ht="12.75">
      <c r="A50" s="48"/>
      <c r="B50" s="54">
        <v>2024</v>
      </c>
      <c r="C50" s="55" t="s">
        <v>215</v>
      </c>
      <c r="D50" s="60" t="s">
        <v>224</v>
      </c>
    </row>
    <row r="51" spans="1:4" ht="12.75">
      <c r="A51" s="48"/>
      <c r="B51" s="54">
        <v>2024</v>
      </c>
      <c r="C51" s="55" t="s">
        <v>243</v>
      </c>
      <c r="D51" s="10" t="s">
        <v>212</v>
      </c>
    </row>
    <row r="52" spans="1:4" ht="12.75">
      <c r="A52" s="48"/>
      <c r="B52" s="54">
        <v>2024</v>
      </c>
      <c r="C52" s="55" t="s">
        <v>217</v>
      </c>
      <c r="D52" s="55" t="s">
        <v>243</v>
      </c>
    </row>
    <row r="53" spans="1:4" ht="12.75">
      <c r="A53" s="48"/>
      <c r="B53" s="54">
        <v>2024</v>
      </c>
      <c r="C53" s="55" t="s">
        <v>224</v>
      </c>
      <c r="D53" s="10" t="s">
        <v>201</v>
      </c>
    </row>
    <row r="54" spans="1:4" ht="12.75">
      <c r="A54" s="48"/>
      <c r="B54" s="54">
        <v>2024</v>
      </c>
      <c r="C54" s="55" t="s">
        <v>194</v>
      </c>
      <c r="D54" s="60" t="s">
        <v>194</v>
      </c>
    </row>
    <row r="55" spans="1:4" ht="12.75">
      <c r="A55" s="48"/>
      <c r="B55" s="54">
        <v>2024</v>
      </c>
      <c r="C55" s="55" t="s">
        <v>273</v>
      </c>
      <c r="D55" s="10" t="s">
        <v>209</v>
      </c>
    </row>
    <row r="56" spans="1:4" ht="12.75">
      <c r="A56" s="48"/>
      <c r="B56" s="54">
        <v>2024</v>
      </c>
      <c r="C56" s="55" t="s">
        <v>198</v>
      </c>
      <c r="D56" s="10" t="s">
        <v>185</v>
      </c>
    </row>
    <row r="57" spans="1:4" ht="12.75">
      <c r="A57" s="48"/>
      <c r="B57" s="54">
        <v>2024</v>
      </c>
      <c r="C57" s="55" t="s">
        <v>209</v>
      </c>
      <c r="D57" s="60" t="s">
        <v>301</v>
      </c>
    </row>
    <row r="58" spans="1:4" ht="12.75">
      <c r="A58" s="48"/>
      <c r="B58" s="54">
        <v>2024</v>
      </c>
      <c r="C58" s="55" t="s">
        <v>192</v>
      </c>
      <c r="D58" s="60" t="s">
        <v>246</v>
      </c>
    </row>
    <row r="59" spans="1:4" ht="12.75">
      <c r="A59" s="48"/>
      <c r="B59" s="54">
        <v>2024</v>
      </c>
      <c r="C59" s="55" t="s">
        <v>227</v>
      </c>
      <c r="D59" s="55" t="s">
        <v>198</v>
      </c>
    </row>
    <row r="60" spans="1:4" ht="12.75">
      <c r="A60" s="48"/>
      <c r="B60" s="54">
        <v>2024</v>
      </c>
      <c r="C60" s="55" t="s">
        <v>178</v>
      </c>
      <c r="D60" s="60" t="s">
        <v>227</v>
      </c>
    </row>
    <row r="61" spans="1:4" ht="12.75">
      <c r="A61" s="48"/>
      <c r="B61" s="54">
        <v>2024</v>
      </c>
      <c r="C61" s="55" t="s">
        <v>212</v>
      </c>
      <c r="D61" s="44" t="s">
        <v>298</v>
      </c>
    </row>
    <row r="62" spans="1:4" ht="12.75">
      <c r="A62" s="48"/>
      <c r="B62" s="54">
        <v>2024</v>
      </c>
      <c r="C62" s="55" t="s">
        <v>1331</v>
      </c>
      <c r="D62" s="10" t="s">
        <v>178</v>
      </c>
    </row>
    <row r="63" spans="1:4" ht="12.75">
      <c r="A63" s="48"/>
      <c r="B63" s="54">
        <v>2024</v>
      </c>
      <c r="C63" s="55" t="s">
        <v>175</v>
      </c>
      <c r="D63" s="10" t="s">
        <v>182</v>
      </c>
    </row>
    <row r="64" spans="1:4" ht="12.75">
      <c r="A64" s="48"/>
      <c r="B64" s="54">
        <v>2024</v>
      </c>
      <c r="C64" s="55" t="s">
        <v>182</v>
      </c>
      <c r="D64" s="10" t="s">
        <v>171</v>
      </c>
    </row>
    <row r="65" spans="1:4" ht="12.75">
      <c r="A65" s="48"/>
      <c r="B65" s="54">
        <v>2024</v>
      </c>
      <c r="C65" s="55" t="s">
        <v>201</v>
      </c>
      <c r="D65" s="55" t="s">
        <v>175</v>
      </c>
    </row>
    <row r="66" spans="1:4" ht="12.75">
      <c r="A66" s="48"/>
      <c r="B66" s="54">
        <v>2024</v>
      </c>
      <c r="C66" s="55" t="s">
        <v>171</v>
      </c>
      <c r="D66" s="60" t="s">
        <v>241</v>
      </c>
    </row>
    <row r="67" spans="1:4" ht="12.75">
      <c r="A67" s="48"/>
      <c r="B67" s="54">
        <v>2024</v>
      </c>
      <c r="C67" s="55" t="s">
        <v>168</v>
      </c>
      <c r="D67" s="10" t="s">
        <v>165</v>
      </c>
    </row>
    <row r="68" spans="1:4" ht="12.75">
      <c r="A68" s="48"/>
      <c r="B68" s="54">
        <v>2024</v>
      </c>
      <c r="C68" s="55" t="s">
        <v>154</v>
      </c>
      <c r="D68" s="60" t="s">
        <v>144</v>
      </c>
    </row>
    <row r="69" spans="1:4" ht="12.75">
      <c r="A69" s="48"/>
      <c r="B69" s="54">
        <v>2024</v>
      </c>
      <c r="C69" s="55" t="s">
        <v>144</v>
      </c>
      <c r="D69" s="61" t="s">
        <v>148</v>
      </c>
    </row>
    <row r="70" spans="1:4" ht="12.75">
      <c r="A70" s="48"/>
      <c r="B70" s="54">
        <v>2024</v>
      </c>
      <c r="C70" s="55" t="s">
        <v>157</v>
      </c>
      <c r="D70" s="60" t="s">
        <v>160</v>
      </c>
    </row>
    <row r="71" spans="1:4" ht="12.75">
      <c r="A71" s="48"/>
      <c r="B71" s="54">
        <v>2024</v>
      </c>
      <c r="C71" s="55" t="s">
        <v>160</v>
      </c>
      <c r="D71" s="55" t="s">
        <v>168</v>
      </c>
    </row>
    <row r="72" spans="1:4" ht="12.75">
      <c r="A72" s="48"/>
      <c r="B72" s="54">
        <v>2024</v>
      </c>
      <c r="C72" s="55" t="s">
        <v>148</v>
      </c>
      <c r="D72" s="10" t="s">
        <v>163</v>
      </c>
    </row>
    <row r="73" spans="1:4" ht="12.75">
      <c r="A73" s="48"/>
      <c r="B73" s="54">
        <v>2024</v>
      </c>
      <c r="C73" s="55" t="s">
        <v>141</v>
      </c>
      <c r="D73" s="10" t="s">
        <v>151</v>
      </c>
    </row>
    <row r="74" spans="1:4" ht="12.75">
      <c r="A74" s="48"/>
      <c r="B74" s="54">
        <v>2024</v>
      </c>
      <c r="C74" s="55" t="s">
        <v>138</v>
      </c>
      <c r="D74" s="55" t="s">
        <v>217</v>
      </c>
    </row>
    <row r="75" spans="1:4" ht="12.75">
      <c r="A75" s="48"/>
      <c r="B75" s="54">
        <v>2024</v>
      </c>
      <c r="C75" s="55" t="s">
        <v>151</v>
      </c>
      <c r="D75" s="10" t="s">
        <v>154</v>
      </c>
    </row>
    <row r="76" spans="1:4" ht="12.75">
      <c r="A76" s="48"/>
      <c r="B76" s="54">
        <v>2024</v>
      </c>
      <c r="C76" s="55"/>
      <c r="D76" s="10" t="s">
        <v>133</v>
      </c>
    </row>
    <row r="77" spans="1:4" ht="12.75">
      <c r="A77" s="48"/>
      <c r="B77" s="56">
        <v>2023</v>
      </c>
      <c r="C77" s="57" t="s">
        <v>1358</v>
      </c>
      <c r="D77" s="58" t="s">
        <v>344</v>
      </c>
    </row>
    <row r="78" spans="1:4" ht="12.75">
      <c r="A78" s="48"/>
      <c r="B78" s="56">
        <v>2023</v>
      </c>
      <c r="C78" s="57" t="s">
        <v>1352</v>
      </c>
      <c r="D78" s="57" t="s">
        <v>1354</v>
      </c>
    </row>
    <row r="79" spans="1:4" ht="12.75">
      <c r="A79" s="48"/>
      <c r="B79" s="56">
        <v>2023</v>
      </c>
      <c r="C79" s="57" t="s">
        <v>307</v>
      </c>
      <c r="D79" s="57" t="s">
        <v>369</v>
      </c>
    </row>
    <row r="80" spans="1:4" ht="12.75">
      <c r="A80" s="48"/>
      <c r="B80" s="56">
        <v>2023</v>
      </c>
      <c r="C80" s="57" t="s">
        <v>353</v>
      </c>
      <c r="D80" s="57" t="s">
        <v>311</v>
      </c>
    </row>
    <row r="81" spans="1:4" ht="12.75">
      <c r="A81" s="48"/>
      <c r="B81" s="56">
        <v>2023</v>
      </c>
      <c r="C81" s="57" t="s">
        <v>294</v>
      </c>
      <c r="D81" s="57" t="s">
        <v>1358</v>
      </c>
    </row>
    <row r="82" spans="1:4" ht="12.75">
      <c r="A82" s="48"/>
      <c r="B82" s="56">
        <v>2023</v>
      </c>
      <c r="C82" s="57" t="s">
        <v>315</v>
      </c>
      <c r="D82" s="57" t="s">
        <v>307</v>
      </c>
    </row>
    <row r="83" spans="1:4" ht="12.75">
      <c r="A83" s="48"/>
      <c r="B83" s="56">
        <v>2023</v>
      </c>
      <c r="C83" s="57" t="s">
        <v>304</v>
      </c>
      <c r="D83" s="62" t="s">
        <v>391</v>
      </c>
    </row>
    <row r="84" spans="1:4" ht="12.75">
      <c r="A84" s="48"/>
      <c r="B84" s="56">
        <v>2023</v>
      </c>
      <c r="C84" s="57" t="s">
        <v>311</v>
      </c>
      <c r="D84" s="57" t="s">
        <v>294</v>
      </c>
    </row>
    <row r="85" spans="1:4" ht="12.75">
      <c r="A85" s="48"/>
      <c r="B85" s="56">
        <v>2023</v>
      </c>
      <c r="C85" s="57" t="s">
        <v>297</v>
      </c>
      <c r="D85" s="57" t="s">
        <v>1352</v>
      </c>
    </row>
    <row r="86" spans="1:4" ht="12.75">
      <c r="A86" s="48"/>
      <c r="B86" s="56">
        <v>2023</v>
      </c>
      <c r="C86" s="57" t="s">
        <v>1361</v>
      </c>
      <c r="D86" s="57" t="s">
        <v>319</v>
      </c>
    </row>
    <row r="87" spans="1:4" ht="12.75">
      <c r="A87" s="48"/>
      <c r="B87" s="56">
        <v>2023</v>
      </c>
      <c r="C87" s="57" t="s">
        <v>319</v>
      </c>
      <c r="D87" s="62" t="s">
        <v>323</v>
      </c>
    </row>
    <row r="88" spans="1:4" ht="12.75">
      <c r="A88" s="48"/>
      <c r="B88" s="56">
        <v>2023</v>
      </c>
      <c r="C88" s="63" t="s">
        <v>323</v>
      </c>
      <c r="D88" s="57" t="s">
        <v>304</v>
      </c>
    </row>
    <row r="89" spans="1:4" ht="12.75">
      <c r="A89" s="48"/>
      <c r="B89" s="56">
        <v>2023</v>
      </c>
      <c r="C89" s="57" t="s">
        <v>393</v>
      </c>
      <c r="D89" s="57" t="s">
        <v>1347</v>
      </c>
    </row>
    <row r="90" spans="1:4" ht="12.75">
      <c r="A90" s="48"/>
      <c r="B90" s="56">
        <v>2023</v>
      </c>
      <c r="C90" s="57" t="s">
        <v>289</v>
      </c>
      <c r="D90" s="57" t="s">
        <v>289</v>
      </c>
    </row>
    <row r="91" spans="1:4" ht="12.75">
      <c r="A91" s="48"/>
      <c r="B91" s="56">
        <v>2023</v>
      </c>
      <c r="C91" s="57" t="s">
        <v>298</v>
      </c>
      <c r="D91" s="57" t="s">
        <v>283</v>
      </c>
    </row>
    <row r="92" spans="1:4" ht="12.75">
      <c r="A92" s="48"/>
      <c r="B92" s="56">
        <v>2023</v>
      </c>
      <c r="C92" s="57" t="s">
        <v>328</v>
      </c>
      <c r="D92" s="57" t="s">
        <v>297</v>
      </c>
    </row>
    <row r="93" spans="1:4" ht="12.75">
      <c r="A93" s="48"/>
      <c r="B93" s="56">
        <v>2023</v>
      </c>
      <c r="C93" s="57" t="s">
        <v>1347</v>
      </c>
      <c r="D93" s="57" t="s">
        <v>287</v>
      </c>
    </row>
    <row r="94" spans="1:4" ht="12.75">
      <c r="A94" s="48"/>
      <c r="B94" s="56">
        <v>2023</v>
      </c>
      <c r="C94" s="57" t="s">
        <v>287</v>
      </c>
      <c r="D94" s="57" t="s">
        <v>281</v>
      </c>
    </row>
    <row r="95" spans="1:4" ht="12.75">
      <c r="A95" s="48"/>
      <c r="B95" s="56">
        <v>2023</v>
      </c>
      <c r="C95" s="57" t="s">
        <v>1371</v>
      </c>
      <c r="D95" s="57" t="s">
        <v>271</v>
      </c>
    </row>
    <row r="96" spans="1:4" ht="12.75">
      <c r="A96" s="48"/>
      <c r="B96" s="56">
        <v>2023</v>
      </c>
      <c r="C96" s="57" t="s">
        <v>1341</v>
      </c>
      <c r="D96" s="57" t="s">
        <v>525</v>
      </c>
    </row>
    <row r="97" spans="1:4" ht="12.75">
      <c r="A97" s="48"/>
      <c r="B97" s="56">
        <v>2023</v>
      </c>
      <c r="C97" s="57" t="s">
        <v>281</v>
      </c>
      <c r="D97" s="57" t="s">
        <v>268</v>
      </c>
    </row>
    <row r="98" spans="1:4" ht="12.75">
      <c r="A98" s="48"/>
      <c r="B98" s="56">
        <v>2023</v>
      </c>
      <c r="C98" s="57" t="s">
        <v>279</v>
      </c>
      <c r="D98" s="62" t="s">
        <v>261</v>
      </c>
    </row>
    <row r="99" spans="1:4" ht="12.75">
      <c r="A99" s="48"/>
      <c r="B99" s="56">
        <v>2023</v>
      </c>
      <c r="C99" s="57" t="s">
        <v>271</v>
      </c>
      <c r="D99" s="57" t="s">
        <v>254</v>
      </c>
    </row>
    <row r="100" spans="1:4" ht="12.75">
      <c r="A100" s="48"/>
      <c r="B100" s="56">
        <v>2023</v>
      </c>
      <c r="C100" s="57" t="s">
        <v>292</v>
      </c>
      <c r="D100" s="57" t="s">
        <v>252</v>
      </c>
    </row>
    <row r="101" spans="1:4" ht="12.75">
      <c r="A101" s="48"/>
      <c r="B101" s="56">
        <v>2023</v>
      </c>
      <c r="C101" s="57" t="s">
        <v>265</v>
      </c>
      <c r="D101" s="57" t="s">
        <v>279</v>
      </c>
    </row>
    <row r="102" spans="1:4" ht="12.75">
      <c r="A102" s="48"/>
      <c r="B102" s="56">
        <v>2023</v>
      </c>
      <c r="C102" s="57" t="s">
        <v>268</v>
      </c>
      <c r="D102" s="57" t="s">
        <v>263</v>
      </c>
    </row>
    <row r="103" spans="1:4" ht="12.75">
      <c r="A103" s="48"/>
      <c r="B103" s="56">
        <v>2023</v>
      </c>
      <c r="C103" s="57" t="s">
        <v>261</v>
      </c>
      <c r="D103" s="57"/>
    </row>
    <row r="104" spans="1:4" ht="12.75">
      <c r="A104" s="48"/>
      <c r="B104" s="56">
        <v>2023</v>
      </c>
      <c r="C104" s="57" t="s">
        <v>263</v>
      </c>
      <c r="D104" s="57"/>
    </row>
    <row r="105" spans="1:4" ht="12.75">
      <c r="A105" s="48"/>
      <c r="B105" s="56">
        <v>2023</v>
      </c>
      <c r="C105" s="57" t="s">
        <v>252</v>
      </c>
      <c r="D105" s="57"/>
    </row>
    <row r="106" spans="1:4" ht="12.75">
      <c r="A106" s="48"/>
      <c r="B106" s="56">
        <v>2023</v>
      </c>
      <c r="C106" s="57" t="s">
        <v>301</v>
      </c>
      <c r="D106" s="57"/>
    </row>
    <row r="107" spans="1:4" ht="12.75">
      <c r="A107" s="48"/>
      <c r="B107" s="56">
        <v>2023</v>
      </c>
      <c r="C107" s="57" t="s">
        <v>246</v>
      </c>
      <c r="D107" s="57"/>
    </row>
    <row r="108" spans="1:4" ht="12.75">
      <c r="A108" s="48"/>
      <c r="B108" s="56">
        <v>2023</v>
      </c>
      <c r="C108" s="57" t="s">
        <v>249</v>
      </c>
      <c r="D108" s="57"/>
    </row>
    <row r="109" spans="1:4" ht="12.75">
      <c r="A109" s="48"/>
      <c r="B109" s="64">
        <v>2022</v>
      </c>
      <c r="C109" s="65" t="s">
        <v>359</v>
      </c>
      <c r="D109" s="65" t="s">
        <v>356</v>
      </c>
    </row>
    <row r="110" spans="1:4" ht="12.75">
      <c r="A110" s="48"/>
      <c r="B110" s="64">
        <v>2022</v>
      </c>
      <c r="C110" s="65" t="s">
        <v>356</v>
      </c>
      <c r="D110" s="65" t="s">
        <v>359</v>
      </c>
    </row>
    <row r="111" spans="1:4" ht="12.75">
      <c r="A111" s="48"/>
      <c r="B111" s="64">
        <v>2022</v>
      </c>
      <c r="C111" s="66" t="s">
        <v>362</v>
      </c>
      <c r="D111" s="67" t="s">
        <v>336</v>
      </c>
    </row>
    <row r="112" spans="1:4" ht="12.75">
      <c r="A112" s="48"/>
      <c r="B112" s="64">
        <v>2022</v>
      </c>
      <c r="C112" s="66" t="s">
        <v>350</v>
      </c>
      <c r="D112" s="44" t="s">
        <v>400</v>
      </c>
    </row>
    <row r="113" spans="1:4" ht="12.75">
      <c r="A113" s="48"/>
      <c r="B113" s="64">
        <v>2022</v>
      </c>
      <c r="C113" s="68" t="s">
        <v>340</v>
      </c>
      <c r="D113" s="68" t="s">
        <v>340</v>
      </c>
    </row>
    <row r="114" spans="1:4" ht="12.75">
      <c r="A114" s="48"/>
      <c r="B114" s="64">
        <v>2022</v>
      </c>
      <c r="C114" s="68" t="s">
        <v>341</v>
      </c>
      <c r="D114" s="68" t="s">
        <v>333</v>
      </c>
    </row>
    <row r="115" spans="1:4" ht="12.75">
      <c r="A115" s="48"/>
      <c r="B115" s="64">
        <v>2022</v>
      </c>
      <c r="C115" s="68" t="s">
        <v>348</v>
      </c>
      <c r="D115" s="10" t="s">
        <v>325</v>
      </c>
    </row>
    <row r="116" spans="1:4" ht="12.75">
      <c r="A116" s="48"/>
      <c r="B116" s="64">
        <v>2022</v>
      </c>
      <c r="C116" s="68" t="s">
        <v>333</v>
      </c>
      <c r="D116" s="10" t="s">
        <v>487</v>
      </c>
    </row>
    <row r="117" spans="1:4" ht="12.75">
      <c r="A117" s="48"/>
      <c r="B117" s="64">
        <v>2022</v>
      </c>
      <c r="C117" s="68" t="s">
        <v>332</v>
      </c>
      <c r="D117" s="68" t="s">
        <v>348</v>
      </c>
    </row>
    <row r="118" spans="1:4" ht="12.75">
      <c r="A118" s="48"/>
      <c r="B118" s="64">
        <v>2022</v>
      </c>
      <c r="C118" s="68" t="s">
        <v>336</v>
      </c>
      <c r="D118" s="68" t="s">
        <v>332</v>
      </c>
    </row>
    <row r="119" spans="1:4" ht="12.75">
      <c r="A119" s="48"/>
      <c r="B119" s="64">
        <v>2022</v>
      </c>
      <c r="C119" s="68" t="s">
        <v>1419</v>
      </c>
      <c r="D119" s="68"/>
    </row>
    <row r="120" spans="1:4" ht="12.75">
      <c r="A120" s="48"/>
      <c r="B120" s="64">
        <v>2022</v>
      </c>
      <c r="C120" s="68" t="s">
        <v>1385</v>
      </c>
      <c r="D120" s="68"/>
    </row>
    <row r="121" spans="1:4" ht="12.75">
      <c r="A121" s="48"/>
      <c r="B121" s="64">
        <v>2022</v>
      </c>
      <c r="C121" s="68" t="s">
        <v>1354</v>
      </c>
      <c r="D121" s="68"/>
    </row>
    <row r="122" spans="1:4" ht="12.75">
      <c r="A122" s="48"/>
      <c r="B122" s="64">
        <v>2022</v>
      </c>
      <c r="C122" s="68" t="s">
        <v>1366</v>
      </c>
      <c r="D122" s="68"/>
    </row>
    <row r="123" spans="1:4" ht="12.75">
      <c r="A123" s="48"/>
      <c r="B123" s="64">
        <v>2022</v>
      </c>
      <c r="C123" s="68" t="s">
        <v>1356</v>
      </c>
      <c r="D123" s="68"/>
    </row>
    <row r="124" spans="1:4" ht="12.75">
      <c r="A124" s="48"/>
      <c r="B124" s="64">
        <v>2022</v>
      </c>
      <c r="C124" s="69" t="s">
        <v>1485</v>
      </c>
      <c r="D124" s="68"/>
    </row>
    <row r="125" spans="1:4" ht="12.75">
      <c r="A125" s="50"/>
      <c r="B125" s="64">
        <v>2022</v>
      </c>
      <c r="C125" s="55" t="s">
        <v>325</v>
      </c>
      <c r="D125" s="70"/>
    </row>
    <row r="126" spans="1:4" ht="12.75">
      <c r="A126" s="50"/>
      <c r="B126" s="71">
        <v>2021</v>
      </c>
      <c r="C126" s="57" t="s">
        <v>1028</v>
      </c>
      <c r="D126" s="72" t="s">
        <v>411</v>
      </c>
    </row>
    <row r="127" spans="1:4" ht="12.75">
      <c r="A127" s="50"/>
      <c r="B127" s="71">
        <v>2021</v>
      </c>
      <c r="C127" s="57" t="s">
        <v>404</v>
      </c>
      <c r="D127" s="57" t="s">
        <v>1028</v>
      </c>
    </row>
    <row r="128" spans="1:4" ht="12.75">
      <c r="A128" s="50"/>
      <c r="B128" s="71">
        <v>2021</v>
      </c>
      <c r="C128" s="72" t="s">
        <v>383</v>
      </c>
      <c r="D128" s="72" t="s">
        <v>1486</v>
      </c>
    </row>
    <row r="129" spans="1:4" ht="12.75">
      <c r="A129" s="50"/>
      <c r="B129" s="71">
        <v>2021</v>
      </c>
      <c r="C129" s="72" t="s">
        <v>385</v>
      </c>
      <c r="D129" s="58" t="s">
        <v>891</v>
      </c>
    </row>
    <row r="130" spans="1:4" ht="12.75">
      <c r="A130" s="50"/>
      <c r="B130" s="71">
        <v>2021</v>
      </c>
      <c r="C130" s="72" t="s">
        <v>391</v>
      </c>
      <c r="D130" s="72" t="s">
        <v>404</v>
      </c>
    </row>
    <row r="131" spans="1:4" ht="12.75">
      <c r="A131" s="50"/>
      <c r="B131" s="71">
        <v>2021</v>
      </c>
      <c r="C131" s="72" t="s">
        <v>1487</v>
      </c>
      <c r="D131" s="72" t="s">
        <v>450</v>
      </c>
    </row>
    <row r="132" spans="1:4" ht="12.75">
      <c r="A132" s="50"/>
      <c r="B132" s="71">
        <v>2021</v>
      </c>
      <c r="C132" s="72" t="s">
        <v>379</v>
      </c>
      <c r="D132" s="58" t="s">
        <v>604</v>
      </c>
    </row>
    <row r="133" spans="1:4" ht="12.75">
      <c r="A133" s="50"/>
      <c r="B133" s="71">
        <v>2021</v>
      </c>
      <c r="C133" s="72" t="s">
        <v>365</v>
      </c>
      <c r="D133" s="58" t="s">
        <v>407</v>
      </c>
    </row>
    <row r="134" spans="1:4" ht="12.75">
      <c r="A134" s="50"/>
      <c r="B134" s="71">
        <v>2021</v>
      </c>
      <c r="C134" s="72" t="s">
        <v>376</v>
      </c>
      <c r="D134" s="72" t="s">
        <v>489</v>
      </c>
    </row>
    <row r="135" spans="1:4" ht="12.75">
      <c r="A135" s="50"/>
      <c r="B135" s="71">
        <v>2021</v>
      </c>
      <c r="C135" s="72" t="s">
        <v>377</v>
      </c>
      <c r="D135" s="72" t="s">
        <v>1487</v>
      </c>
    </row>
    <row r="136" spans="1:4" ht="12.75">
      <c r="A136" s="50"/>
      <c r="B136" s="71">
        <v>2021</v>
      </c>
      <c r="C136" s="72" t="s">
        <v>372</v>
      </c>
      <c r="D136" s="72" t="s">
        <v>385</v>
      </c>
    </row>
    <row r="137" spans="1:4" ht="12.75">
      <c r="A137" s="50"/>
      <c r="B137" s="71">
        <v>2021</v>
      </c>
      <c r="C137" s="72" t="s">
        <v>374</v>
      </c>
      <c r="D137" s="58" t="s">
        <v>377</v>
      </c>
    </row>
    <row r="138" spans="1:4" ht="12.75">
      <c r="A138" s="50"/>
      <c r="B138" s="71">
        <v>2021</v>
      </c>
      <c r="C138" s="72" t="s">
        <v>369</v>
      </c>
      <c r="D138" s="72" t="s">
        <v>376</v>
      </c>
    </row>
    <row r="139" spans="1:4" ht="12.75">
      <c r="A139" s="50"/>
      <c r="B139" s="71">
        <v>2021</v>
      </c>
      <c r="C139" s="73" t="s">
        <v>1414</v>
      </c>
      <c r="D139" s="72" t="s">
        <v>372</v>
      </c>
    </row>
    <row r="140" spans="1:4" ht="12.75">
      <c r="A140" s="50"/>
      <c r="B140" s="71">
        <v>2021</v>
      </c>
      <c r="C140" s="73" t="s">
        <v>1427</v>
      </c>
      <c r="D140" s="72"/>
    </row>
    <row r="141" spans="1:4" ht="12.75">
      <c r="B141" s="64">
        <v>2020</v>
      </c>
      <c r="C141" s="65" t="s">
        <v>431</v>
      </c>
      <c r="D141" s="68" t="s">
        <v>1045</v>
      </c>
    </row>
    <row r="142" spans="1:4" ht="12.75">
      <c r="B142" s="64">
        <v>2020</v>
      </c>
      <c r="C142" s="65" t="s">
        <v>417</v>
      </c>
      <c r="D142" s="68" t="s">
        <v>1042</v>
      </c>
    </row>
    <row r="143" spans="1:4" ht="12.75">
      <c r="B143" s="64">
        <v>2020</v>
      </c>
      <c r="C143" s="66" t="s">
        <v>420</v>
      </c>
      <c r="D143" s="68" t="s">
        <v>535</v>
      </c>
    </row>
    <row r="144" spans="1:4" ht="12.75">
      <c r="B144" s="64">
        <v>2020</v>
      </c>
      <c r="C144" s="68" t="s">
        <v>1434</v>
      </c>
      <c r="D144" s="68" t="s">
        <v>439</v>
      </c>
    </row>
    <row r="145" spans="2:4" ht="12.75">
      <c r="B145" s="64">
        <v>2020</v>
      </c>
      <c r="C145" s="68" t="s">
        <v>407</v>
      </c>
      <c r="D145" s="68" t="s">
        <v>434</v>
      </c>
    </row>
    <row r="146" spans="2:4" ht="12.75">
      <c r="B146" s="64">
        <v>2020</v>
      </c>
      <c r="C146" s="68" t="s">
        <v>414</v>
      </c>
      <c r="D146" s="68" t="s">
        <v>426</v>
      </c>
    </row>
    <row r="147" spans="2:4" ht="12.75">
      <c r="B147" s="64">
        <v>2020</v>
      </c>
      <c r="C147" s="68" t="s">
        <v>397</v>
      </c>
      <c r="D147" s="68" t="s">
        <v>414</v>
      </c>
    </row>
    <row r="148" spans="2:4" ht="12.75">
      <c r="B148" s="64">
        <v>2020</v>
      </c>
      <c r="C148" s="68" t="s">
        <v>411</v>
      </c>
      <c r="D148" s="68" t="s">
        <v>428</v>
      </c>
    </row>
    <row r="149" spans="2:4" ht="12.75">
      <c r="B149" s="64">
        <v>2020</v>
      </c>
      <c r="C149" s="68" t="s">
        <v>409</v>
      </c>
      <c r="D149" s="68" t="s">
        <v>437</v>
      </c>
    </row>
    <row r="150" spans="2:4" ht="12.75">
      <c r="B150" s="64">
        <v>2020</v>
      </c>
      <c r="C150" s="68" t="s">
        <v>400</v>
      </c>
      <c r="D150" s="68" t="s">
        <v>417</v>
      </c>
    </row>
    <row r="151" spans="2:4" ht="12.75">
      <c r="B151" s="64">
        <v>2020</v>
      </c>
      <c r="C151" s="69" t="s">
        <v>1434</v>
      </c>
      <c r="D151" s="68" t="s">
        <v>393</v>
      </c>
    </row>
    <row r="152" spans="2:4" ht="12.75">
      <c r="B152" s="64">
        <v>2020</v>
      </c>
      <c r="C152" s="69"/>
      <c r="D152" s="68" t="s">
        <v>1488</v>
      </c>
    </row>
    <row r="153" spans="2:4" ht="12.75">
      <c r="B153" s="64">
        <v>2020</v>
      </c>
      <c r="C153" s="69"/>
      <c r="D153" s="68" t="s">
        <v>420</v>
      </c>
    </row>
    <row r="154" spans="2:4" ht="12.75">
      <c r="B154" s="64">
        <v>2020</v>
      </c>
      <c r="C154" s="69"/>
      <c r="D154" s="68" t="s">
        <v>431</v>
      </c>
    </row>
    <row r="155" spans="2:4" ht="12.75">
      <c r="B155" s="64">
        <v>2020</v>
      </c>
      <c r="C155" s="69"/>
      <c r="D155" s="68" t="s">
        <v>409</v>
      </c>
    </row>
    <row r="156" spans="2:4" ht="12.75">
      <c r="B156" s="64">
        <v>2020</v>
      </c>
      <c r="C156" s="69"/>
      <c r="D156" s="68" t="s">
        <v>397</v>
      </c>
    </row>
    <row r="157" spans="2:4" ht="12.75">
      <c r="B157" s="64">
        <v>2020</v>
      </c>
      <c r="C157" s="69"/>
      <c r="D157" s="68" t="s">
        <v>822</v>
      </c>
    </row>
    <row r="158" spans="2:4" ht="12.75">
      <c r="B158" s="71">
        <v>2019</v>
      </c>
      <c r="C158" s="57" t="s">
        <v>486</v>
      </c>
      <c r="D158" s="72" t="s">
        <v>623</v>
      </c>
    </row>
    <row r="159" spans="2:4" ht="12.75">
      <c r="B159" s="71">
        <v>2019</v>
      </c>
      <c r="C159" s="57" t="s">
        <v>483</v>
      </c>
      <c r="D159" s="58" t="s">
        <v>453</v>
      </c>
    </row>
    <row r="160" spans="2:4" ht="12.75">
      <c r="B160" s="71">
        <v>2019</v>
      </c>
      <c r="C160" s="74" t="s">
        <v>440</v>
      </c>
      <c r="D160" s="57" t="s">
        <v>466</v>
      </c>
    </row>
    <row r="161" spans="2:4" ht="12.75">
      <c r="B161" s="71">
        <v>2019</v>
      </c>
      <c r="C161" s="57" t="s">
        <v>437</v>
      </c>
      <c r="D161" s="74" t="s">
        <v>440</v>
      </c>
    </row>
    <row r="162" spans="2:4" ht="12.75">
      <c r="B162" s="71">
        <v>2019</v>
      </c>
      <c r="C162" s="57" t="s">
        <v>434</v>
      </c>
      <c r="D162" s="74"/>
    </row>
    <row r="163" spans="2:4" ht="12.75">
      <c r="B163" s="71">
        <v>2019</v>
      </c>
      <c r="C163" s="72" t="s">
        <v>439</v>
      </c>
      <c r="D163" s="72"/>
    </row>
    <row r="164" spans="2:4" ht="12.75">
      <c r="B164" s="71">
        <v>2019</v>
      </c>
      <c r="C164" s="72" t="s">
        <v>1042</v>
      </c>
      <c r="D164" s="75"/>
    </row>
    <row r="165" spans="2:4" ht="12.75">
      <c r="B165" s="71">
        <v>2019</v>
      </c>
      <c r="C165" s="72" t="s">
        <v>426</v>
      </c>
      <c r="D165" s="72"/>
    </row>
    <row r="166" spans="2:4" ht="12.75">
      <c r="B166" s="71">
        <v>2019</v>
      </c>
      <c r="C166" s="72" t="s">
        <v>423</v>
      </c>
      <c r="D166" s="75"/>
    </row>
    <row r="167" spans="2:4" ht="12.75">
      <c r="B167" s="71">
        <v>2019</v>
      </c>
      <c r="C167" s="72" t="s">
        <v>428</v>
      </c>
      <c r="D167" s="72"/>
    </row>
    <row r="168" spans="2:4" ht="12.75">
      <c r="B168" s="64">
        <v>2018</v>
      </c>
      <c r="C168" s="65" t="s">
        <v>550</v>
      </c>
      <c r="D168" s="68" t="s">
        <v>544</v>
      </c>
    </row>
    <row r="169" spans="2:4" ht="12.75">
      <c r="B169" s="64">
        <v>2018</v>
      </c>
      <c r="C169" s="65" t="s">
        <v>972</v>
      </c>
      <c r="D169" s="10" t="s">
        <v>500</v>
      </c>
    </row>
    <row r="170" spans="2:4" ht="12.75">
      <c r="B170" s="64">
        <v>2018</v>
      </c>
      <c r="C170" s="66" t="s">
        <v>500</v>
      </c>
      <c r="D170" s="65" t="s">
        <v>972</v>
      </c>
    </row>
    <row r="171" spans="2:4" ht="12.75">
      <c r="B171" s="64">
        <v>2018</v>
      </c>
      <c r="C171" s="66" t="s">
        <v>496</v>
      </c>
      <c r="D171" s="68" t="s">
        <v>518</v>
      </c>
    </row>
    <row r="172" spans="2:4" ht="12.75">
      <c r="B172" s="64">
        <v>2018</v>
      </c>
      <c r="C172" s="65" t="s">
        <v>502</v>
      </c>
      <c r="D172" s="65" t="s">
        <v>504</v>
      </c>
    </row>
    <row r="173" spans="2:4" ht="12.75">
      <c r="B173" s="64">
        <v>2018</v>
      </c>
      <c r="C173" s="65" t="s">
        <v>504</v>
      </c>
      <c r="D173" s="10" t="s">
        <v>552</v>
      </c>
    </row>
    <row r="174" spans="2:4" ht="12.75">
      <c r="B174" s="64">
        <v>2018</v>
      </c>
      <c r="C174" s="65" t="s">
        <v>538</v>
      </c>
      <c r="D174" s="66" t="s">
        <v>511</v>
      </c>
    </row>
    <row r="175" spans="2:4" ht="12.75">
      <c r="B175" s="64">
        <v>2018</v>
      </c>
      <c r="C175" s="65" t="s">
        <v>511</v>
      </c>
      <c r="D175" s="68" t="s">
        <v>968</v>
      </c>
    </row>
    <row r="176" spans="2:4" ht="12.75">
      <c r="B176" s="64">
        <v>2018</v>
      </c>
      <c r="C176" s="68" t="s">
        <v>911</v>
      </c>
      <c r="D176" s="36" t="s">
        <v>665</v>
      </c>
    </row>
    <row r="177" spans="2:4" ht="12.75">
      <c r="B177" s="64">
        <v>2018</v>
      </c>
      <c r="C177" s="68" t="s">
        <v>529</v>
      </c>
      <c r="D177" s="36" t="s">
        <v>520</v>
      </c>
    </row>
    <row r="178" spans="2:4" ht="12.75">
      <c r="B178" s="64">
        <v>2018</v>
      </c>
      <c r="C178" s="68" t="s">
        <v>494</v>
      </c>
      <c r="D178" s="36" t="s">
        <v>1054</v>
      </c>
    </row>
    <row r="179" spans="2:4" ht="12.75">
      <c r="B179" s="64">
        <v>2018</v>
      </c>
      <c r="C179" s="68" t="s">
        <v>968</v>
      </c>
      <c r="D179" s="36" t="s">
        <v>600</v>
      </c>
    </row>
    <row r="180" spans="2:4" ht="12.75">
      <c r="B180" s="64">
        <v>2018</v>
      </c>
      <c r="C180" s="68" t="s">
        <v>1054</v>
      </c>
      <c r="D180" s="68" t="s">
        <v>541</v>
      </c>
    </row>
    <row r="181" spans="2:4" ht="12.75">
      <c r="B181" s="64">
        <v>2018</v>
      </c>
      <c r="C181" s="68" t="s">
        <v>541</v>
      </c>
      <c r="D181" s="36" t="s">
        <v>591</v>
      </c>
    </row>
    <row r="182" spans="2:4" ht="12.75">
      <c r="B182" s="64">
        <v>2018</v>
      </c>
      <c r="C182" s="68" t="s">
        <v>491</v>
      </c>
      <c r="D182" s="68" t="s">
        <v>494</v>
      </c>
    </row>
    <row r="183" spans="2:4" ht="12.75">
      <c r="B183" s="64">
        <v>2018</v>
      </c>
      <c r="C183" s="68" t="s">
        <v>736</v>
      </c>
      <c r="D183" s="68" t="s">
        <v>496</v>
      </c>
    </row>
    <row r="184" spans="2:4" ht="12.75">
      <c r="B184" s="64">
        <v>2018</v>
      </c>
      <c r="C184" s="68" t="s">
        <v>489</v>
      </c>
      <c r="D184" s="68" t="s">
        <v>1049</v>
      </c>
    </row>
    <row r="185" spans="2:4" ht="12.75">
      <c r="B185" s="64">
        <v>2018</v>
      </c>
      <c r="C185" s="68" t="s">
        <v>549</v>
      </c>
      <c r="D185" s="68" t="s">
        <v>477</v>
      </c>
    </row>
    <row r="186" spans="2:4" ht="12.75">
      <c r="B186" s="64">
        <v>2018</v>
      </c>
      <c r="C186" s="68" t="s">
        <v>547</v>
      </c>
      <c r="D186" s="68" t="s">
        <v>1051</v>
      </c>
    </row>
    <row r="187" spans="2:4" ht="12.75">
      <c r="B187" s="64">
        <v>2018</v>
      </c>
      <c r="C187" s="68" t="s">
        <v>1065</v>
      </c>
      <c r="D187" s="68" t="s">
        <v>1301</v>
      </c>
    </row>
    <row r="188" spans="2:4" ht="12.75">
      <c r="B188" s="64">
        <v>2018</v>
      </c>
      <c r="C188" s="68" t="s">
        <v>904</v>
      </c>
      <c r="D188" s="68" t="s">
        <v>904</v>
      </c>
    </row>
    <row r="189" spans="2:4" ht="12.75">
      <c r="B189" s="64">
        <v>2018</v>
      </c>
      <c r="C189" s="68" t="s">
        <v>487</v>
      </c>
      <c r="D189" s="68" t="s">
        <v>472</v>
      </c>
    </row>
    <row r="190" spans="2:4" ht="12.75">
      <c r="B190" s="64">
        <v>2018</v>
      </c>
      <c r="C190" s="68" t="s">
        <v>477</v>
      </c>
      <c r="D190" s="68" t="s">
        <v>577</v>
      </c>
    </row>
    <row r="191" spans="2:4" ht="12.75">
      <c r="B191" s="64">
        <v>2018</v>
      </c>
      <c r="C191" s="68" t="s">
        <v>479</v>
      </c>
      <c r="D191" s="68" t="s">
        <v>515</v>
      </c>
    </row>
    <row r="192" spans="2:4" ht="12.75">
      <c r="B192" s="64">
        <v>2018</v>
      </c>
      <c r="C192" s="68" t="s">
        <v>1051</v>
      </c>
      <c r="D192" s="68" t="s">
        <v>502</v>
      </c>
    </row>
    <row r="193" spans="2:4" ht="12.75">
      <c r="B193" s="64">
        <v>2018</v>
      </c>
      <c r="C193" s="68" t="s">
        <v>481</v>
      </c>
      <c r="D193" s="68" t="s">
        <v>1489</v>
      </c>
    </row>
    <row r="194" spans="2:4" ht="12.75">
      <c r="B194" s="64">
        <v>2018</v>
      </c>
      <c r="C194" s="68" t="s">
        <v>1049</v>
      </c>
      <c r="D194" s="68" t="s">
        <v>481</v>
      </c>
    </row>
    <row r="195" spans="2:4" ht="12.75">
      <c r="B195" s="64">
        <v>2018</v>
      </c>
      <c r="C195" s="68" t="s">
        <v>469</v>
      </c>
      <c r="D195" s="68" t="s">
        <v>532</v>
      </c>
    </row>
    <row r="196" spans="2:4" ht="12.75">
      <c r="B196" s="64">
        <v>2018</v>
      </c>
      <c r="C196" s="68" t="s">
        <v>1024</v>
      </c>
      <c r="D196" s="68" t="s">
        <v>474</v>
      </c>
    </row>
    <row r="197" spans="2:4" ht="12.75">
      <c r="B197" s="64">
        <v>2018</v>
      </c>
      <c r="C197" s="68" t="s">
        <v>1490</v>
      </c>
      <c r="D197" s="68" t="s">
        <v>464</v>
      </c>
    </row>
    <row r="198" spans="2:4" ht="12.75">
      <c r="B198" s="64">
        <v>2018</v>
      </c>
      <c r="C198" s="68" t="s">
        <v>472</v>
      </c>
      <c r="D198" s="68" t="s">
        <v>463</v>
      </c>
    </row>
    <row r="199" spans="2:4" ht="12.75">
      <c r="B199" s="64">
        <v>2018</v>
      </c>
      <c r="C199" s="68" t="s">
        <v>463</v>
      </c>
      <c r="D199" s="68" t="s">
        <v>460</v>
      </c>
    </row>
    <row r="200" spans="2:4" ht="12.75">
      <c r="B200" s="64">
        <v>2018</v>
      </c>
      <c r="C200" s="68" t="s">
        <v>460</v>
      </c>
      <c r="D200" s="68" t="s">
        <v>448</v>
      </c>
    </row>
    <row r="201" spans="2:4" ht="12.75">
      <c r="B201" s="64">
        <v>2018</v>
      </c>
      <c r="C201" s="68" t="s">
        <v>629</v>
      </c>
      <c r="D201" s="68" t="s">
        <v>444</v>
      </c>
    </row>
    <row r="202" spans="2:4" ht="12.75">
      <c r="B202" s="64">
        <v>2018</v>
      </c>
      <c r="C202" s="68" t="s">
        <v>464</v>
      </c>
      <c r="D202" s="69"/>
    </row>
    <row r="203" spans="2:4" ht="12.75">
      <c r="B203" s="64">
        <v>2018</v>
      </c>
      <c r="C203" s="68" t="s">
        <v>457</v>
      </c>
      <c r="D203" s="68"/>
    </row>
    <row r="204" spans="2:4" ht="12.75">
      <c r="B204" s="64">
        <v>2018</v>
      </c>
      <c r="C204" s="68" t="s">
        <v>450</v>
      </c>
      <c r="D204" s="68"/>
    </row>
    <row r="205" spans="2:4" ht="12.75">
      <c r="B205" s="64">
        <v>2018</v>
      </c>
      <c r="C205" s="68" t="s">
        <v>1032</v>
      </c>
      <c r="D205" s="68"/>
    </row>
    <row r="206" spans="2:4" ht="12.75">
      <c r="B206" s="64">
        <v>2018</v>
      </c>
      <c r="C206" s="68" t="s">
        <v>1031</v>
      </c>
      <c r="D206" s="68"/>
    </row>
    <row r="207" spans="2:4" ht="12.75">
      <c r="B207" s="64">
        <v>2018</v>
      </c>
      <c r="C207" s="68" t="s">
        <v>453</v>
      </c>
      <c r="D207" s="68"/>
    </row>
    <row r="208" spans="2:4" ht="12.75">
      <c r="B208" s="64">
        <v>2018</v>
      </c>
      <c r="C208" s="68" t="s">
        <v>444</v>
      </c>
      <c r="D208" s="68"/>
    </row>
    <row r="209" spans="2:4" ht="12.75">
      <c r="B209" s="64">
        <v>2018</v>
      </c>
      <c r="C209" s="68" t="s">
        <v>448</v>
      </c>
      <c r="D209" s="68"/>
    </row>
    <row r="210" spans="2:4" ht="12.75">
      <c r="B210" s="64">
        <v>2018</v>
      </c>
      <c r="C210" s="68" t="s">
        <v>1301</v>
      </c>
      <c r="D210" s="68"/>
    </row>
    <row r="211" spans="2:4" ht="12.75">
      <c r="B211" s="71">
        <v>2017</v>
      </c>
      <c r="C211" s="57" t="s">
        <v>1491</v>
      </c>
      <c r="D211" s="76" t="s">
        <v>1492</v>
      </c>
    </row>
    <row r="212" spans="2:4" ht="12.75">
      <c r="B212" s="71">
        <v>2017</v>
      </c>
      <c r="C212" s="57" t="s">
        <v>1493</v>
      </c>
      <c r="D212" s="58" t="s">
        <v>983</v>
      </c>
    </row>
    <row r="213" spans="2:4" ht="12.75">
      <c r="B213" s="71">
        <v>2017</v>
      </c>
      <c r="C213" s="74" t="s">
        <v>570</v>
      </c>
      <c r="D213" s="57" t="s">
        <v>1494</v>
      </c>
    </row>
    <row r="214" spans="2:4" ht="12.75">
      <c r="B214" s="71">
        <v>2017</v>
      </c>
      <c r="C214" s="57" t="s">
        <v>853</v>
      </c>
      <c r="D214" s="57" t="s">
        <v>1495</v>
      </c>
    </row>
    <row r="215" spans="2:4" ht="12.75">
      <c r="B215" s="71">
        <v>2017</v>
      </c>
      <c r="C215" s="57" t="s">
        <v>1496</v>
      </c>
      <c r="D215" s="57" t="s">
        <v>1497</v>
      </c>
    </row>
    <row r="216" spans="2:4" ht="12.75">
      <c r="B216" s="71">
        <v>2017</v>
      </c>
      <c r="C216" s="74" t="s">
        <v>553</v>
      </c>
      <c r="D216" s="58" t="s">
        <v>1065</v>
      </c>
    </row>
    <row r="217" spans="2:4" ht="12.75">
      <c r="B217" s="71">
        <v>2017</v>
      </c>
      <c r="C217" s="57" t="s">
        <v>1498</v>
      </c>
      <c r="D217" s="57" t="s">
        <v>1499</v>
      </c>
    </row>
    <row r="218" spans="2:4" ht="12.75">
      <c r="B218" s="71">
        <v>2017</v>
      </c>
      <c r="C218" s="57" t="s">
        <v>1500</v>
      </c>
      <c r="D218" s="58" t="s">
        <v>559</v>
      </c>
    </row>
    <row r="219" spans="2:4" ht="12.75">
      <c r="B219" s="71">
        <v>2017</v>
      </c>
      <c r="C219" s="57" t="s">
        <v>1501</v>
      </c>
      <c r="D219" s="74" t="s">
        <v>1061</v>
      </c>
    </row>
    <row r="220" spans="2:4" ht="12.75">
      <c r="B220" s="71">
        <v>2017</v>
      </c>
      <c r="C220" s="57" t="s">
        <v>1502</v>
      </c>
      <c r="D220" s="58" t="s">
        <v>1063</v>
      </c>
    </row>
    <row r="221" spans="2:4" ht="12.75">
      <c r="B221" s="71">
        <v>2017</v>
      </c>
      <c r="C221" s="74" t="s">
        <v>557</v>
      </c>
      <c r="D221" s="57" t="s">
        <v>1503</v>
      </c>
    </row>
    <row r="222" spans="2:4" ht="12.75">
      <c r="B222" s="71">
        <v>2017</v>
      </c>
      <c r="C222" s="74" t="s">
        <v>1061</v>
      </c>
      <c r="D222" s="57" t="s">
        <v>1504</v>
      </c>
    </row>
    <row r="223" spans="2:4" ht="12.75">
      <c r="B223" s="71">
        <v>2017</v>
      </c>
      <c r="C223" s="57" t="s">
        <v>1505</v>
      </c>
      <c r="D223" s="74" t="s">
        <v>574</v>
      </c>
    </row>
    <row r="224" spans="2:4" ht="12.75">
      <c r="B224" s="71">
        <v>2017</v>
      </c>
      <c r="C224" s="74" t="s">
        <v>974</v>
      </c>
      <c r="D224" s="58" t="s">
        <v>555</v>
      </c>
    </row>
    <row r="225" spans="2:4" ht="12.75">
      <c r="B225" s="71">
        <v>2017</v>
      </c>
      <c r="C225" s="57" t="s">
        <v>1506</v>
      </c>
      <c r="D225" s="58" t="s">
        <v>553</v>
      </c>
    </row>
    <row r="226" spans="2:4" ht="12.75">
      <c r="B226" s="71">
        <v>2017</v>
      </c>
      <c r="C226" s="77" t="s">
        <v>1060</v>
      </c>
      <c r="D226" s="57" t="s">
        <v>1507</v>
      </c>
    </row>
    <row r="227" spans="2:4" ht="12.75">
      <c r="B227" s="71">
        <v>2017</v>
      </c>
      <c r="C227" s="57" t="s">
        <v>587</v>
      </c>
      <c r="D227" s="57" t="s">
        <v>1508</v>
      </c>
    </row>
    <row r="228" spans="2:4" ht="12.75">
      <c r="B228" s="71">
        <v>2017</v>
      </c>
      <c r="C228" s="76" t="s">
        <v>535</v>
      </c>
      <c r="D228" s="77" t="s">
        <v>538</v>
      </c>
    </row>
    <row r="229" spans="2:4" ht="12.75">
      <c r="B229" s="71">
        <v>2017</v>
      </c>
      <c r="C229" s="76" t="s">
        <v>525</v>
      </c>
      <c r="D229" s="78" t="s">
        <v>974</v>
      </c>
    </row>
    <row r="230" spans="2:4" ht="12.75">
      <c r="B230" s="71">
        <v>2017</v>
      </c>
      <c r="C230" s="76" t="s">
        <v>544</v>
      </c>
      <c r="D230" s="58" t="s">
        <v>1060</v>
      </c>
    </row>
    <row r="231" spans="2:4" ht="12.75">
      <c r="B231" s="71">
        <v>2017</v>
      </c>
      <c r="C231" s="76" t="s">
        <v>531</v>
      </c>
      <c r="D231" s="73" t="s">
        <v>507</v>
      </c>
    </row>
    <row r="232" spans="2:4" ht="12.75">
      <c r="B232" s="71">
        <v>2017</v>
      </c>
      <c r="C232" s="76" t="s">
        <v>542</v>
      </c>
      <c r="D232" s="58" t="s">
        <v>755</v>
      </c>
    </row>
    <row r="233" spans="2:4" ht="12.75">
      <c r="B233" s="71">
        <v>2017</v>
      </c>
      <c r="C233" s="76" t="s">
        <v>520</v>
      </c>
      <c r="D233" s="79" t="s">
        <v>617</v>
      </c>
    </row>
    <row r="234" spans="2:4" ht="12.75">
      <c r="B234" s="71">
        <v>2017</v>
      </c>
      <c r="C234" s="76" t="s">
        <v>523</v>
      </c>
      <c r="D234" s="58" t="s">
        <v>531</v>
      </c>
    </row>
    <row r="235" spans="2:4" ht="12.75">
      <c r="B235" s="71">
        <v>2017</v>
      </c>
      <c r="C235" s="76" t="s">
        <v>518</v>
      </c>
      <c r="D235" s="58"/>
    </row>
    <row r="236" spans="2:4" ht="12.75">
      <c r="B236" s="64">
        <v>2016</v>
      </c>
      <c r="C236" s="65" t="s">
        <v>1509</v>
      </c>
      <c r="D236" s="80" t="s">
        <v>1510</v>
      </c>
    </row>
    <row r="237" spans="2:4" ht="12.75">
      <c r="B237" s="64">
        <v>2016</v>
      </c>
      <c r="C237" s="65" t="s">
        <v>1511</v>
      </c>
      <c r="D237" s="65" t="s">
        <v>1512</v>
      </c>
    </row>
    <row r="238" spans="2:4" ht="12.75">
      <c r="B238" s="64">
        <v>2016</v>
      </c>
      <c r="C238" s="66" t="s">
        <v>1072</v>
      </c>
      <c r="D238" s="66" t="s">
        <v>1075</v>
      </c>
    </row>
    <row r="239" spans="2:4" ht="12.75">
      <c r="B239" s="64">
        <v>2016</v>
      </c>
      <c r="C239" s="81" t="s">
        <v>1513</v>
      </c>
      <c r="D239" s="26" t="s">
        <v>1073</v>
      </c>
    </row>
    <row r="240" spans="2:4" ht="12.75">
      <c r="B240" s="64">
        <v>2016</v>
      </c>
      <c r="C240" s="82" t="s">
        <v>614</v>
      </c>
      <c r="D240" s="83" t="s">
        <v>1072</v>
      </c>
    </row>
    <row r="241" spans="2:4" ht="12.75">
      <c r="B241" s="64">
        <v>2016</v>
      </c>
      <c r="C241" s="84" t="s">
        <v>617</v>
      </c>
      <c r="D241" s="26" t="s">
        <v>626</v>
      </c>
    </row>
    <row r="242" spans="2:4" ht="12.75">
      <c r="B242" s="64">
        <v>2016</v>
      </c>
      <c r="C242" s="66" t="s">
        <v>604</v>
      </c>
      <c r="D242" s="10" t="s">
        <v>1070</v>
      </c>
    </row>
    <row r="243" spans="2:4" ht="12.75">
      <c r="B243" s="64">
        <v>2016</v>
      </c>
      <c r="C243" s="66" t="s">
        <v>613</v>
      </c>
      <c r="D243" s="10" t="s">
        <v>768</v>
      </c>
    </row>
    <row r="244" spans="2:4" ht="12.75">
      <c r="B244" s="64">
        <v>2016</v>
      </c>
      <c r="C244" s="65" t="s">
        <v>1514</v>
      </c>
      <c r="D244" s="66" t="s">
        <v>649</v>
      </c>
    </row>
    <row r="245" spans="2:4" ht="12.75">
      <c r="B245" s="64">
        <v>2016</v>
      </c>
      <c r="C245" s="66" t="s">
        <v>1459</v>
      </c>
      <c r="D245" s="66" t="s">
        <v>641</v>
      </c>
    </row>
    <row r="246" spans="2:4" ht="12.75">
      <c r="B246" s="64">
        <v>2016</v>
      </c>
      <c r="C246" s="66" t="s">
        <v>593</v>
      </c>
      <c r="D246" s="26" t="s">
        <v>614</v>
      </c>
    </row>
    <row r="247" spans="2:4" ht="12.75">
      <c r="B247" s="64">
        <v>2016</v>
      </c>
      <c r="C247" s="66" t="s">
        <v>600</v>
      </c>
      <c r="D247" s="66" t="s">
        <v>597</v>
      </c>
    </row>
    <row r="248" spans="2:4" ht="12.75">
      <c r="B248" s="64">
        <v>2016</v>
      </c>
      <c r="C248" s="66" t="s">
        <v>597</v>
      </c>
      <c r="D248" s="66" t="s">
        <v>967</v>
      </c>
    </row>
    <row r="249" spans="2:4" ht="12.75">
      <c r="B249" s="64">
        <v>2016</v>
      </c>
      <c r="C249" s="66" t="s">
        <v>967</v>
      </c>
      <c r="D249" s="66" t="s">
        <v>607</v>
      </c>
    </row>
    <row r="250" spans="2:4" ht="12.75">
      <c r="B250" s="64">
        <v>2016</v>
      </c>
      <c r="C250" s="65" t="s">
        <v>1515</v>
      </c>
      <c r="D250" s="65" t="s">
        <v>1516</v>
      </c>
    </row>
    <row r="251" spans="2:4" ht="12.75">
      <c r="B251" s="64">
        <v>2016</v>
      </c>
      <c r="C251" s="65" t="s">
        <v>1517</v>
      </c>
      <c r="D251" s="10" t="s">
        <v>1068</v>
      </c>
    </row>
    <row r="252" spans="2:4" ht="12.75">
      <c r="B252" s="64">
        <v>2016</v>
      </c>
      <c r="C252" s="66" t="s">
        <v>603</v>
      </c>
      <c r="D252" s="10" t="s">
        <v>603</v>
      </c>
    </row>
    <row r="253" spans="2:4" ht="12.75">
      <c r="B253" s="64">
        <v>2016</v>
      </c>
      <c r="C253" s="66" t="s">
        <v>583</v>
      </c>
      <c r="D253" s="10" t="s">
        <v>570</v>
      </c>
    </row>
    <row r="254" spans="2:4" ht="12.75">
      <c r="B254" s="64">
        <v>2016</v>
      </c>
      <c r="C254" s="65" t="s">
        <v>1518</v>
      </c>
      <c r="D254" s="66" t="s">
        <v>580</v>
      </c>
    </row>
    <row r="255" spans="2:4" ht="12.75">
      <c r="B255" s="64">
        <v>2016</v>
      </c>
      <c r="C255" s="68" t="s">
        <v>1519</v>
      </c>
      <c r="D255" s="80"/>
    </row>
    <row r="256" spans="2:4" ht="12.75">
      <c r="B256" s="64">
        <v>2016</v>
      </c>
      <c r="C256" s="66" t="s">
        <v>580</v>
      </c>
      <c r="D256" s="66"/>
    </row>
    <row r="257" spans="2:4" ht="12.75">
      <c r="B257" s="64">
        <v>2016</v>
      </c>
      <c r="C257" s="66" t="s">
        <v>567</v>
      </c>
      <c r="D257" s="66"/>
    </row>
    <row r="258" spans="2:4" ht="12.75">
      <c r="B258" s="64">
        <v>2016</v>
      </c>
      <c r="C258" s="65" t="s">
        <v>1520</v>
      </c>
      <c r="D258" s="65"/>
    </row>
    <row r="259" spans="2:4" ht="12.75">
      <c r="B259" s="64">
        <v>2016</v>
      </c>
      <c r="C259" s="66" t="s">
        <v>1246</v>
      </c>
      <c r="D259" s="66"/>
    </row>
    <row r="260" spans="2:4" ht="12.75">
      <c r="B260" s="64">
        <v>2016</v>
      </c>
      <c r="C260" s="65" t="s">
        <v>1521</v>
      </c>
      <c r="D260" s="65"/>
    </row>
    <row r="261" spans="2:4" ht="12.75">
      <c r="B261" s="64">
        <v>2016</v>
      </c>
      <c r="C261" s="65" t="s">
        <v>1522</v>
      </c>
      <c r="D261" s="65"/>
    </row>
    <row r="262" spans="2:4" ht="12.75">
      <c r="B262" s="64">
        <v>2016</v>
      </c>
      <c r="C262" s="66" t="s">
        <v>574</v>
      </c>
      <c r="D262" s="66"/>
    </row>
    <row r="263" spans="2:4" ht="12.75">
      <c r="B263" s="64">
        <v>2016</v>
      </c>
      <c r="C263" s="65" t="s">
        <v>1523</v>
      </c>
      <c r="D263" s="66"/>
    </row>
    <row r="264" spans="2:4" ht="12.75">
      <c r="B264" s="64">
        <v>2016</v>
      </c>
      <c r="C264" s="65" t="s">
        <v>1524</v>
      </c>
      <c r="D264" s="85"/>
    </row>
    <row r="265" spans="2:4" ht="12.75">
      <c r="B265" s="64">
        <v>2016</v>
      </c>
      <c r="C265" s="66" t="s">
        <v>563</v>
      </c>
      <c r="D265" s="65"/>
    </row>
    <row r="266" spans="2:4" ht="12.75">
      <c r="B266" s="71">
        <v>2015</v>
      </c>
      <c r="C266" s="57" t="s">
        <v>1525</v>
      </c>
      <c r="D266" s="76" t="s">
        <v>1526</v>
      </c>
    </row>
    <row r="267" spans="2:4" ht="12.75">
      <c r="B267" s="71">
        <v>2015</v>
      </c>
      <c r="C267" s="57" t="s">
        <v>1527</v>
      </c>
      <c r="D267" s="57" t="s">
        <v>1528</v>
      </c>
    </row>
    <row r="268" spans="2:4" ht="12.75">
      <c r="B268" s="71">
        <v>2015</v>
      </c>
      <c r="C268" s="74" t="s">
        <v>707</v>
      </c>
      <c r="D268" s="74" t="s">
        <v>703</v>
      </c>
    </row>
    <row r="269" spans="2:4" ht="12.75">
      <c r="B269" s="71">
        <v>2015</v>
      </c>
      <c r="C269" s="57" t="s">
        <v>1529</v>
      </c>
      <c r="D269" s="74" t="s">
        <v>699</v>
      </c>
    </row>
    <row r="270" spans="2:4" ht="12.75">
      <c r="B270" s="71">
        <v>2015</v>
      </c>
      <c r="C270" s="57" t="s">
        <v>1530</v>
      </c>
      <c r="D270" s="74" t="s">
        <v>698</v>
      </c>
    </row>
    <row r="271" spans="2:4" ht="12.75">
      <c r="B271" s="71">
        <v>2015</v>
      </c>
      <c r="C271" s="74" t="s">
        <v>1081</v>
      </c>
      <c r="D271" s="74" t="s">
        <v>695</v>
      </c>
    </row>
    <row r="272" spans="2:4" ht="12.75">
      <c r="B272" s="71">
        <v>2015</v>
      </c>
      <c r="C272" s="74" t="s">
        <v>1036</v>
      </c>
      <c r="D272" s="57" t="s">
        <v>1135</v>
      </c>
    </row>
    <row r="273" spans="2:4" ht="12.75">
      <c r="B273" s="71">
        <v>2015</v>
      </c>
      <c r="C273" s="74" t="s">
        <v>1079</v>
      </c>
      <c r="D273" s="74" t="s">
        <v>1081</v>
      </c>
    </row>
    <row r="274" spans="2:4" ht="12.75">
      <c r="B274" s="71">
        <v>2015</v>
      </c>
      <c r="C274" s="57" t="s">
        <v>1531</v>
      </c>
      <c r="D274" s="74" t="s">
        <v>716</v>
      </c>
    </row>
    <row r="275" spans="2:4" ht="12.75">
      <c r="B275" s="71">
        <v>2015</v>
      </c>
      <c r="C275" s="74" t="s">
        <v>686</v>
      </c>
      <c r="D275" s="74" t="s">
        <v>734</v>
      </c>
    </row>
    <row r="276" spans="2:4" ht="12.75">
      <c r="B276" s="71">
        <v>2015</v>
      </c>
      <c r="C276" s="74" t="s">
        <v>691</v>
      </c>
      <c r="D276" s="57" t="s">
        <v>906</v>
      </c>
    </row>
    <row r="277" spans="2:4" ht="12.75">
      <c r="B277" s="71">
        <v>2015</v>
      </c>
      <c r="C277" s="74" t="s">
        <v>987</v>
      </c>
      <c r="D277" s="74" t="s">
        <v>1079</v>
      </c>
    </row>
    <row r="278" spans="2:4" ht="12.75">
      <c r="B278" s="71">
        <v>2015</v>
      </c>
      <c r="C278" s="57" t="s">
        <v>1532</v>
      </c>
      <c r="D278" s="57" t="s">
        <v>1533</v>
      </c>
    </row>
    <row r="279" spans="2:4" ht="12.75">
      <c r="B279" s="71">
        <v>2015</v>
      </c>
      <c r="C279" s="74" t="s">
        <v>681</v>
      </c>
      <c r="D279" s="74" t="s">
        <v>707</v>
      </c>
    </row>
    <row r="280" spans="2:4" ht="12.75">
      <c r="B280" s="71">
        <v>2015</v>
      </c>
      <c r="C280" s="57" t="s">
        <v>690</v>
      </c>
      <c r="D280" s="74" t="s">
        <v>692</v>
      </c>
    </row>
    <row r="281" spans="2:4" ht="12.75">
      <c r="B281" s="71">
        <v>2015</v>
      </c>
      <c r="C281" s="57" t="s">
        <v>1534</v>
      </c>
      <c r="D281" s="74" t="s">
        <v>691</v>
      </c>
    </row>
    <row r="282" spans="2:4" ht="12.75">
      <c r="B282" s="71">
        <v>2015</v>
      </c>
      <c r="C282" s="74" t="s">
        <v>867</v>
      </c>
      <c r="D282" s="57" t="s">
        <v>987</v>
      </c>
    </row>
    <row r="283" spans="2:4" ht="12.75">
      <c r="B283" s="71">
        <v>2015</v>
      </c>
      <c r="C283" s="57" t="s">
        <v>1486</v>
      </c>
      <c r="D283" s="57" t="s">
        <v>1036</v>
      </c>
    </row>
    <row r="284" spans="2:4" ht="12.75">
      <c r="B284" s="71">
        <v>2015</v>
      </c>
      <c r="C284" s="86" t="s">
        <v>1535</v>
      </c>
      <c r="D284" s="86" t="s">
        <v>1536</v>
      </c>
    </row>
    <row r="285" spans="2:4" ht="12.75">
      <c r="B285" s="71">
        <v>2015</v>
      </c>
      <c r="C285" s="87" t="s">
        <v>1537</v>
      </c>
      <c r="D285" s="87" t="s">
        <v>1537</v>
      </c>
    </row>
    <row r="286" spans="2:4" ht="12.75">
      <c r="B286" s="71">
        <v>2015</v>
      </c>
      <c r="C286" s="88" t="s">
        <v>661</v>
      </c>
      <c r="D286" s="76" t="s">
        <v>1090</v>
      </c>
    </row>
    <row r="287" spans="2:4" ht="12.75">
      <c r="B287" s="71">
        <v>2015</v>
      </c>
      <c r="C287" s="89" t="s">
        <v>1538</v>
      </c>
      <c r="D287" s="90" t="s">
        <v>684</v>
      </c>
    </row>
    <row r="288" spans="2:4" ht="12.75">
      <c r="B288" s="71">
        <v>2015</v>
      </c>
      <c r="C288" s="91" t="s">
        <v>665</v>
      </c>
      <c r="D288" s="74" t="s">
        <v>679</v>
      </c>
    </row>
    <row r="289" spans="2:4" ht="12.75">
      <c r="B289" s="71">
        <v>2015</v>
      </c>
      <c r="C289" s="89" t="s">
        <v>1539</v>
      </c>
      <c r="D289" s="89" t="s">
        <v>1540</v>
      </c>
    </row>
    <row r="290" spans="2:4" ht="12.75">
      <c r="B290" s="71">
        <v>2015</v>
      </c>
      <c r="C290" s="57" t="s">
        <v>762</v>
      </c>
      <c r="D290" s="74" t="s">
        <v>681</v>
      </c>
    </row>
    <row r="291" spans="2:4" ht="12.75">
      <c r="B291" s="71">
        <v>2015</v>
      </c>
      <c r="C291" s="57" t="s">
        <v>760</v>
      </c>
      <c r="D291" s="57" t="s">
        <v>1104</v>
      </c>
    </row>
    <row r="292" spans="2:4" ht="12.75">
      <c r="B292" s="71">
        <v>2015</v>
      </c>
      <c r="C292" s="57" t="s">
        <v>699</v>
      </c>
      <c r="D292" s="57" t="s">
        <v>1101</v>
      </c>
    </row>
    <row r="293" spans="2:4" ht="12.75">
      <c r="B293" s="71">
        <v>2015</v>
      </c>
      <c r="C293" s="57" t="s">
        <v>698</v>
      </c>
      <c r="D293" s="74" t="s">
        <v>1077</v>
      </c>
    </row>
    <row r="294" spans="2:4" ht="12.75">
      <c r="B294" s="71">
        <v>2015</v>
      </c>
      <c r="C294" s="57" t="s">
        <v>798</v>
      </c>
      <c r="D294" s="92" t="s">
        <v>1541</v>
      </c>
    </row>
    <row r="295" spans="2:4" ht="12.75">
      <c r="B295" s="71">
        <v>2015</v>
      </c>
      <c r="C295" s="57" t="s">
        <v>1541</v>
      </c>
      <c r="D295" s="92" t="s">
        <v>1542</v>
      </c>
    </row>
    <row r="296" spans="2:4" ht="12.75">
      <c r="B296" s="71">
        <v>2015</v>
      </c>
      <c r="C296" s="57" t="s">
        <v>1543</v>
      </c>
      <c r="D296" s="57"/>
    </row>
    <row r="297" spans="2:4" ht="12.75">
      <c r="B297" s="71">
        <v>2015</v>
      </c>
      <c r="C297" s="74" t="s">
        <v>1077</v>
      </c>
      <c r="D297" s="57"/>
    </row>
    <row r="298" spans="2:4" ht="12.75">
      <c r="B298" s="71">
        <v>2015</v>
      </c>
      <c r="C298" s="57" t="s">
        <v>1544</v>
      </c>
      <c r="D298" s="57"/>
    </row>
    <row r="299" spans="2:4" ht="12.75">
      <c r="B299" s="71">
        <v>2015</v>
      </c>
      <c r="C299" s="57" t="s">
        <v>1545</v>
      </c>
      <c r="D299" s="57"/>
    </row>
    <row r="300" spans="2:4" ht="12.75">
      <c r="B300" s="71">
        <v>2015</v>
      </c>
      <c r="C300" s="57" t="s">
        <v>1546</v>
      </c>
      <c r="D300" s="57"/>
    </row>
    <row r="301" spans="2:4" ht="12.75">
      <c r="B301" s="71">
        <v>2015</v>
      </c>
      <c r="C301" s="57" t="s">
        <v>1547</v>
      </c>
      <c r="D301" s="57"/>
    </row>
    <row r="302" spans="2:4" ht="12.75">
      <c r="B302" s="71">
        <v>2015</v>
      </c>
      <c r="C302" s="57" t="s">
        <v>1548</v>
      </c>
      <c r="D302" s="57"/>
    </row>
    <row r="303" spans="2:4" ht="12.75">
      <c r="B303" s="71">
        <v>2015</v>
      </c>
      <c r="C303" s="57" t="s">
        <v>1549</v>
      </c>
      <c r="D303" s="57"/>
    </row>
    <row r="304" spans="2:4" ht="12.75">
      <c r="B304" s="71">
        <v>2015</v>
      </c>
      <c r="C304" s="57" t="s">
        <v>1550</v>
      </c>
      <c r="D304" s="57"/>
    </row>
    <row r="305" spans="2:4" ht="12.75">
      <c r="B305" s="71">
        <v>2015</v>
      </c>
      <c r="C305" s="74" t="s">
        <v>649</v>
      </c>
      <c r="D305" s="57"/>
    </row>
    <row r="306" spans="2:4" ht="12.75">
      <c r="B306" s="71">
        <v>2015</v>
      </c>
      <c r="C306" s="57" t="s">
        <v>679</v>
      </c>
      <c r="D306" s="57"/>
    </row>
    <row r="307" spans="2:4" ht="12.75">
      <c r="B307" s="64">
        <v>2014</v>
      </c>
      <c r="C307" s="65" t="s">
        <v>759</v>
      </c>
      <c r="D307" s="65" t="s">
        <v>743</v>
      </c>
    </row>
    <row r="308" spans="2:4" ht="12.75">
      <c r="B308" s="64">
        <v>2014</v>
      </c>
      <c r="C308" s="65" t="s">
        <v>1551</v>
      </c>
      <c r="D308" s="65" t="s">
        <v>739</v>
      </c>
    </row>
    <row r="309" spans="2:4" ht="12.75">
      <c r="B309" s="64">
        <v>2014</v>
      </c>
      <c r="C309" s="65" t="s">
        <v>1552</v>
      </c>
      <c r="D309" s="65" t="s">
        <v>763</v>
      </c>
    </row>
    <row r="310" spans="2:4" ht="12.75">
      <c r="B310" s="64">
        <v>2014</v>
      </c>
      <c r="C310" s="65" t="s">
        <v>1553</v>
      </c>
      <c r="D310" s="65" t="s">
        <v>753</v>
      </c>
    </row>
    <row r="311" spans="2:4" ht="12.75">
      <c r="B311" s="64">
        <v>2014</v>
      </c>
      <c r="C311" s="65" t="s">
        <v>1554</v>
      </c>
      <c r="D311" s="65" t="s">
        <v>1555</v>
      </c>
    </row>
    <row r="312" spans="2:4" ht="12.75">
      <c r="B312" s="64">
        <v>2014</v>
      </c>
      <c r="C312" s="65" t="s">
        <v>1556</v>
      </c>
      <c r="D312" s="65" t="s">
        <v>1557</v>
      </c>
    </row>
    <row r="313" spans="2:4" ht="12.75">
      <c r="B313" s="64">
        <v>2014</v>
      </c>
      <c r="C313" s="66" t="s">
        <v>1093</v>
      </c>
      <c r="D313" s="65" t="s">
        <v>1558</v>
      </c>
    </row>
    <row r="314" spans="2:4" ht="12.75">
      <c r="B314" s="64">
        <v>2014</v>
      </c>
      <c r="C314" s="66" t="s">
        <v>1559</v>
      </c>
      <c r="D314" s="65" t="s">
        <v>1560</v>
      </c>
    </row>
    <row r="315" spans="2:4" ht="12.75">
      <c r="B315" s="64">
        <v>2014</v>
      </c>
      <c r="C315" s="65" t="s">
        <v>1561</v>
      </c>
      <c r="D315" s="65" t="s">
        <v>748</v>
      </c>
    </row>
    <row r="316" spans="2:4" ht="12.75">
      <c r="B316" s="64">
        <v>2014</v>
      </c>
      <c r="C316" s="65"/>
      <c r="D316" s="66" t="s">
        <v>746</v>
      </c>
    </row>
    <row r="317" spans="2:4" ht="12.75">
      <c r="B317" s="64">
        <v>2014</v>
      </c>
      <c r="C317" s="65"/>
      <c r="D317" s="65" t="s">
        <v>752</v>
      </c>
    </row>
    <row r="318" spans="2:4" ht="12.75">
      <c r="B318" s="64">
        <v>2014</v>
      </c>
      <c r="C318" s="65" t="s">
        <v>765</v>
      </c>
      <c r="D318" s="65" t="s">
        <v>751</v>
      </c>
    </row>
    <row r="319" spans="2:4" ht="12.75">
      <c r="B319" s="64">
        <v>2014</v>
      </c>
      <c r="C319" s="65" t="s">
        <v>1562</v>
      </c>
      <c r="D319" s="65" t="s">
        <v>750</v>
      </c>
    </row>
    <row r="320" spans="2:4" ht="12.75">
      <c r="B320" s="64">
        <v>2014</v>
      </c>
      <c r="C320" s="65" t="s">
        <v>964</v>
      </c>
      <c r="D320" s="65" t="s">
        <v>783</v>
      </c>
    </row>
    <row r="321" spans="2:4" ht="12.75">
      <c r="B321" s="64">
        <v>2014</v>
      </c>
      <c r="C321" s="65" t="s">
        <v>1563</v>
      </c>
      <c r="D321" s="93" t="s">
        <v>964</v>
      </c>
    </row>
    <row r="322" spans="2:4" ht="12.75">
      <c r="B322" s="64">
        <v>2014</v>
      </c>
      <c r="C322" s="65" t="s">
        <v>1564</v>
      </c>
      <c r="D322" s="65" t="s">
        <v>1565</v>
      </c>
    </row>
    <row r="323" spans="2:4" ht="12.75">
      <c r="B323" s="64">
        <v>2014</v>
      </c>
      <c r="C323" s="66" t="s">
        <v>1095</v>
      </c>
      <c r="D323" s="65" t="s">
        <v>1566</v>
      </c>
    </row>
    <row r="324" spans="2:4" ht="12.75">
      <c r="B324" s="64">
        <v>2014</v>
      </c>
      <c r="C324" s="65" t="s">
        <v>1567</v>
      </c>
      <c r="D324" s="65" t="s">
        <v>1568</v>
      </c>
    </row>
    <row r="325" spans="2:4" ht="12.75">
      <c r="B325" s="64">
        <v>2014</v>
      </c>
      <c r="C325" s="65" t="s">
        <v>1569</v>
      </c>
      <c r="D325" s="65" t="s">
        <v>1570</v>
      </c>
    </row>
    <row r="326" spans="2:4" ht="12.75">
      <c r="B326" s="64">
        <v>2014</v>
      </c>
      <c r="C326" s="65" t="s">
        <v>1571</v>
      </c>
      <c r="D326" s="66" t="s">
        <v>1093</v>
      </c>
    </row>
    <row r="327" spans="2:4" ht="12.75">
      <c r="B327" s="64">
        <v>2014</v>
      </c>
      <c r="C327" s="66" t="s">
        <v>1572</v>
      </c>
      <c r="D327" s="66" t="s">
        <v>798</v>
      </c>
    </row>
    <row r="328" spans="2:4" ht="12.75">
      <c r="B328" s="64">
        <v>2014</v>
      </c>
      <c r="C328" s="65" t="s">
        <v>710</v>
      </c>
      <c r="D328" s="66" t="s">
        <v>710</v>
      </c>
    </row>
    <row r="329" spans="2:4" ht="12.75">
      <c r="B329" s="64">
        <v>2014</v>
      </c>
      <c r="C329" s="65" t="s">
        <v>1573</v>
      </c>
      <c r="D329" s="66" t="s">
        <v>1572</v>
      </c>
    </row>
    <row r="330" spans="2:4" ht="12.75">
      <c r="B330" s="64">
        <v>2014</v>
      </c>
      <c r="C330" s="65" t="s">
        <v>851</v>
      </c>
      <c r="D330" s="66" t="s">
        <v>714</v>
      </c>
    </row>
    <row r="331" spans="2:4" ht="12.75">
      <c r="B331" s="64">
        <v>2014</v>
      </c>
      <c r="C331" s="65" t="s">
        <v>1574</v>
      </c>
      <c r="D331" s="66" t="s">
        <v>718</v>
      </c>
    </row>
    <row r="332" spans="2:4" ht="12.75">
      <c r="B332" s="64">
        <v>2014</v>
      </c>
      <c r="C332" s="65" t="s">
        <v>1575</v>
      </c>
      <c r="D332" s="65" t="s">
        <v>1576</v>
      </c>
    </row>
    <row r="333" spans="2:4" ht="12.75">
      <c r="B333" s="64">
        <v>2014</v>
      </c>
      <c r="C333" s="65" t="s">
        <v>1577</v>
      </c>
      <c r="D333" s="65" t="s">
        <v>1578</v>
      </c>
    </row>
    <row r="334" spans="2:4" ht="12.75">
      <c r="B334" s="64">
        <v>2014</v>
      </c>
      <c r="C334" s="65" t="s">
        <v>1579</v>
      </c>
      <c r="D334" s="65" t="s">
        <v>1580</v>
      </c>
    </row>
    <row r="335" spans="2:4" ht="12.75">
      <c r="B335" s="64">
        <v>2014</v>
      </c>
      <c r="C335" s="65" t="s">
        <v>1581</v>
      </c>
      <c r="D335" s="65" t="s">
        <v>1582</v>
      </c>
    </row>
    <row r="336" spans="2:4" ht="12.75">
      <c r="B336" s="64">
        <v>2014</v>
      </c>
      <c r="C336" s="65" t="s">
        <v>1583</v>
      </c>
      <c r="D336" s="65"/>
    </row>
    <row r="337" spans="2:4" ht="12.75">
      <c r="B337" s="64">
        <v>2014</v>
      </c>
      <c r="C337" s="66" t="s">
        <v>703</v>
      </c>
      <c r="D337" s="65"/>
    </row>
    <row r="338" spans="2:4" ht="12.75">
      <c r="B338" s="64">
        <v>2014</v>
      </c>
      <c r="C338" s="65" t="s">
        <v>1584</v>
      </c>
      <c r="D338" s="65"/>
    </row>
    <row r="339" spans="2:4" ht="12.75">
      <c r="B339" s="64">
        <v>2014</v>
      </c>
      <c r="C339" s="65" t="s">
        <v>699</v>
      </c>
      <c r="D339" s="65"/>
    </row>
    <row r="340" spans="2:4" ht="12.75">
      <c r="B340" s="64">
        <v>2014</v>
      </c>
      <c r="C340" s="65" t="s">
        <v>698</v>
      </c>
      <c r="D340" s="65"/>
    </row>
    <row r="341" spans="2:4" ht="12.75">
      <c r="B341" s="64">
        <v>2014</v>
      </c>
      <c r="C341" s="65" t="s">
        <v>695</v>
      </c>
      <c r="D341" s="65"/>
    </row>
    <row r="342" spans="2:4" ht="12.75">
      <c r="B342" s="71">
        <v>2013</v>
      </c>
      <c r="C342" s="94" t="s">
        <v>810</v>
      </c>
      <c r="D342" s="74" t="s">
        <v>1126</v>
      </c>
    </row>
    <row r="343" spans="2:4" ht="12.75">
      <c r="B343" s="71">
        <v>2013</v>
      </c>
      <c r="C343" s="74" t="s">
        <v>1125</v>
      </c>
      <c r="D343" s="74" t="s">
        <v>818</v>
      </c>
    </row>
    <row r="344" spans="2:4" ht="12.75">
      <c r="B344" s="71">
        <v>2013</v>
      </c>
      <c r="C344" s="95" t="s">
        <v>1585</v>
      </c>
      <c r="D344" s="74" t="s">
        <v>1133</v>
      </c>
    </row>
    <row r="345" spans="2:4" ht="12.75">
      <c r="B345" s="71">
        <v>2013</v>
      </c>
      <c r="C345" s="91" t="s">
        <v>1120</v>
      </c>
      <c r="D345" s="74" t="s">
        <v>1121</v>
      </c>
    </row>
    <row r="346" spans="2:4" ht="12.75">
      <c r="B346" s="71">
        <v>2013</v>
      </c>
      <c r="C346" s="91" t="s">
        <v>1121</v>
      </c>
      <c r="D346" s="74" t="s">
        <v>1125</v>
      </c>
    </row>
    <row r="347" spans="2:4" ht="12.75">
      <c r="B347" s="71">
        <v>2013</v>
      </c>
      <c r="C347" s="89" t="s">
        <v>1586</v>
      </c>
      <c r="D347" s="57" t="s">
        <v>1587</v>
      </c>
    </row>
    <row r="348" spans="2:4" ht="12.75">
      <c r="B348" s="71">
        <v>2013</v>
      </c>
      <c r="C348" s="89" t="s">
        <v>1588</v>
      </c>
      <c r="D348" s="74" t="s">
        <v>810</v>
      </c>
    </row>
    <row r="349" spans="2:4" ht="12.75">
      <c r="B349" s="71">
        <v>2013</v>
      </c>
      <c r="C349" s="89" t="s">
        <v>1589</v>
      </c>
      <c r="D349" s="74" t="s">
        <v>1039</v>
      </c>
    </row>
    <row r="350" spans="2:4" ht="12.75">
      <c r="B350" s="71">
        <v>2013</v>
      </c>
      <c r="C350" s="89" t="s">
        <v>1590</v>
      </c>
      <c r="D350" s="74" t="s">
        <v>809</v>
      </c>
    </row>
    <row r="351" spans="2:4" ht="12.75">
      <c r="B351" s="71">
        <v>2013</v>
      </c>
      <c r="C351" s="96" t="s">
        <v>1591</v>
      </c>
      <c r="D351" s="57" t="s">
        <v>1592</v>
      </c>
    </row>
    <row r="352" spans="2:4" ht="12.75">
      <c r="B352" s="71">
        <v>2013</v>
      </c>
      <c r="C352" s="89" t="s">
        <v>1593</v>
      </c>
      <c r="D352" s="57" t="s">
        <v>1594</v>
      </c>
    </row>
    <row r="353" spans="2:4" ht="12.75">
      <c r="B353" s="71">
        <v>2013</v>
      </c>
      <c r="C353" s="57" t="s">
        <v>1595</v>
      </c>
      <c r="D353" s="74" t="s">
        <v>816</v>
      </c>
    </row>
    <row r="354" spans="2:4" ht="12.75">
      <c r="B354" s="71">
        <v>2013</v>
      </c>
      <c r="C354" s="57" t="s">
        <v>1596</v>
      </c>
      <c r="D354" s="57" t="s">
        <v>1597</v>
      </c>
    </row>
    <row r="355" spans="2:4" ht="12.75">
      <c r="B355" s="71">
        <v>2013</v>
      </c>
      <c r="C355" s="57" t="s">
        <v>1598</v>
      </c>
      <c r="D355" s="74" t="s">
        <v>1108</v>
      </c>
    </row>
    <row r="356" spans="2:4" ht="12.75">
      <c r="B356" s="71">
        <v>2013</v>
      </c>
      <c r="C356" s="57" t="s">
        <v>1599</v>
      </c>
      <c r="D356" s="74" t="s">
        <v>789</v>
      </c>
    </row>
    <row r="357" spans="2:4" ht="12.75">
      <c r="B357" s="71">
        <v>2013</v>
      </c>
      <c r="C357" s="74" t="s">
        <v>795</v>
      </c>
      <c r="D357" s="74"/>
    </row>
    <row r="358" spans="2:4" ht="12.75">
      <c r="B358" s="71">
        <v>2013</v>
      </c>
      <c r="C358" s="74" t="s">
        <v>787</v>
      </c>
      <c r="D358" s="74" t="s">
        <v>795</v>
      </c>
    </row>
    <row r="359" spans="2:4" ht="12.75">
      <c r="B359" s="71">
        <v>2013</v>
      </c>
      <c r="C359" s="74" t="s">
        <v>789</v>
      </c>
      <c r="D359" s="74" t="s">
        <v>787</v>
      </c>
    </row>
    <row r="360" spans="2:4" ht="12.75">
      <c r="B360" s="71">
        <v>2013</v>
      </c>
      <c r="C360" s="57" t="s">
        <v>783</v>
      </c>
      <c r="D360" s="74" t="s">
        <v>765</v>
      </c>
    </row>
    <row r="361" spans="2:4" ht="12.75">
      <c r="B361" s="71">
        <v>2013</v>
      </c>
      <c r="C361" s="89" t="s">
        <v>1600</v>
      </c>
      <c r="D361" s="74" t="s">
        <v>824</v>
      </c>
    </row>
    <row r="362" spans="2:4" ht="12.75">
      <c r="B362" s="71">
        <v>2013</v>
      </c>
      <c r="C362" s="97" t="s">
        <v>1601</v>
      </c>
      <c r="D362" s="57" t="s">
        <v>1602</v>
      </c>
    </row>
    <row r="363" spans="2:4" ht="12.75">
      <c r="B363" s="71">
        <v>2013</v>
      </c>
      <c r="C363" s="76" t="s">
        <v>1603</v>
      </c>
      <c r="D363" s="98" t="s">
        <v>1604</v>
      </c>
    </row>
    <row r="364" spans="2:4" ht="12.75">
      <c r="B364" s="71">
        <v>2013</v>
      </c>
      <c r="C364" s="57" t="s">
        <v>1605</v>
      </c>
      <c r="D364" s="57" t="s">
        <v>1606</v>
      </c>
    </row>
    <row r="365" spans="2:4" ht="12.75">
      <c r="B365" s="71">
        <v>2013</v>
      </c>
      <c r="C365" s="57" t="s">
        <v>1607</v>
      </c>
      <c r="D365" s="78" t="s">
        <v>1095</v>
      </c>
    </row>
    <row r="366" spans="2:4" ht="12.75">
      <c r="B366" s="71">
        <v>2013</v>
      </c>
      <c r="C366" s="78" t="s">
        <v>1100</v>
      </c>
      <c r="D366" s="74" t="s">
        <v>804</v>
      </c>
    </row>
    <row r="367" spans="2:4" ht="12.75">
      <c r="B367" s="71">
        <v>2013</v>
      </c>
      <c r="C367" s="57" t="s">
        <v>1608</v>
      </c>
      <c r="D367" s="78" t="s">
        <v>1100</v>
      </c>
    </row>
    <row r="368" spans="2:4" ht="12.75">
      <c r="B368" s="71">
        <v>2013</v>
      </c>
      <c r="C368" s="57" t="s">
        <v>1609</v>
      </c>
      <c r="D368" s="57" t="s">
        <v>1610</v>
      </c>
    </row>
    <row r="369" spans="2:4" ht="12.75">
      <c r="B369" s="71">
        <v>2013</v>
      </c>
      <c r="C369" s="74" t="s">
        <v>1611</v>
      </c>
      <c r="D369" s="57" t="s">
        <v>1612</v>
      </c>
    </row>
    <row r="370" spans="2:4" ht="12.75">
      <c r="B370" s="71">
        <v>2013</v>
      </c>
      <c r="C370" s="57" t="s">
        <v>1613</v>
      </c>
      <c r="D370" s="57" t="s">
        <v>1614</v>
      </c>
    </row>
    <row r="371" spans="2:4" ht="12.75">
      <c r="B371" s="71">
        <v>2013</v>
      </c>
      <c r="C371" s="57" t="s">
        <v>784</v>
      </c>
      <c r="D371" s="57"/>
    </row>
    <row r="372" spans="2:4" ht="12.75">
      <c r="B372" s="71">
        <v>2013</v>
      </c>
      <c r="C372" s="57" t="s">
        <v>1615</v>
      </c>
      <c r="D372" s="57" t="s">
        <v>1616</v>
      </c>
    </row>
    <row r="373" spans="2:4" ht="12.75">
      <c r="B373" s="71">
        <v>2013</v>
      </c>
      <c r="C373" s="57" t="s">
        <v>1104</v>
      </c>
      <c r="D373" s="57" t="s">
        <v>1617</v>
      </c>
    </row>
    <row r="374" spans="2:4" ht="12.75">
      <c r="B374" s="71">
        <v>2013</v>
      </c>
      <c r="C374" s="57" t="s">
        <v>1101</v>
      </c>
      <c r="D374" s="74" t="s">
        <v>771</v>
      </c>
    </row>
    <row r="375" spans="2:4" ht="12.75">
      <c r="B375" s="71">
        <v>2013</v>
      </c>
      <c r="C375" s="74" t="s">
        <v>798</v>
      </c>
      <c r="D375" s="89" t="s">
        <v>1618</v>
      </c>
    </row>
    <row r="376" spans="2:4" ht="12.75">
      <c r="B376" s="71">
        <v>2013</v>
      </c>
      <c r="C376" s="74" t="s">
        <v>771</v>
      </c>
      <c r="D376" s="74" t="s">
        <v>959</v>
      </c>
    </row>
    <row r="377" spans="2:4" ht="12.75">
      <c r="B377" s="71">
        <v>2013</v>
      </c>
      <c r="C377" s="57" t="s">
        <v>1619</v>
      </c>
      <c r="D377" s="78" t="s">
        <v>759</v>
      </c>
    </row>
    <row r="378" spans="2:4" ht="12.75">
      <c r="B378" s="71">
        <v>2013</v>
      </c>
      <c r="C378" s="74" t="s">
        <v>775</v>
      </c>
      <c r="D378" s="76"/>
    </row>
    <row r="379" spans="2:4" ht="12.75">
      <c r="B379" s="71">
        <v>2013</v>
      </c>
      <c r="C379" s="78" t="s">
        <v>763</v>
      </c>
      <c r="D379" s="57"/>
    </row>
    <row r="380" spans="2:4" ht="12.75">
      <c r="B380" s="71">
        <v>2013</v>
      </c>
      <c r="C380" s="74" t="s">
        <v>743</v>
      </c>
      <c r="D380" s="98"/>
    </row>
    <row r="381" spans="2:4" ht="12.75">
      <c r="B381" s="71">
        <v>2013</v>
      </c>
      <c r="C381" s="74" t="s">
        <v>739</v>
      </c>
      <c r="D381" s="98"/>
    </row>
    <row r="382" spans="2:4" ht="12.75">
      <c r="B382" s="71">
        <v>2013</v>
      </c>
      <c r="C382" s="76" t="s">
        <v>752</v>
      </c>
      <c r="D382" s="98"/>
    </row>
    <row r="383" spans="2:4" ht="12.75">
      <c r="B383" s="71">
        <v>2013</v>
      </c>
      <c r="C383" s="76" t="s">
        <v>751</v>
      </c>
      <c r="D383" s="74"/>
    </row>
    <row r="384" spans="2:4" ht="12.75">
      <c r="B384" s="71">
        <v>2013</v>
      </c>
      <c r="C384" s="76" t="s">
        <v>750</v>
      </c>
      <c r="D384" s="72"/>
    </row>
    <row r="385" spans="2:4" ht="12.75">
      <c r="B385" s="64">
        <v>2012</v>
      </c>
      <c r="C385" s="99" t="s">
        <v>874</v>
      </c>
      <c r="D385" s="65" t="s">
        <v>1185</v>
      </c>
    </row>
    <row r="386" spans="2:4" ht="12.75">
      <c r="B386" s="64">
        <v>2012</v>
      </c>
      <c r="C386" s="99" t="s">
        <v>873</v>
      </c>
      <c r="D386" s="65" t="s">
        <v>1184</v>
      </c>
    </row>
    <row r="387" spans="2:4" ht="12.75">
      <c r="B387" s="64">
        <v>2012</v>
      </c>
      <c r="C387" s="99" t="s">
        <v>870</v>
      </c>
      <c r="D387" s="65" t="s">
        <v>1183</v>
      </c>
    </row>
    <row r="388" spans="2:4" ht="12.75">
      <c r="B388" s="64">
        <v>2012</v>
      </c>
      <c r="C388" s="81" t="s">
        <v>879</v>
      </c>
      <c r="D388" s="65" t="s">
        <v>1182</v>
      </c>
    </row>
    <row r="389" spans="2:4" ht="12.75">
      <c r="B389" s="64">
        <v>2012</v>
      </c>
      <c r="C389" s="81" t="s">
        <v>1207</v>
      </c>
      <c r="D389" s="65" t="s">
        <v>1181</v>
      </c>
    </row>
    <row r="390" spans="2:4" ht="12.75">
      <c r="B390" s="64">
        <v>2012</v>
      </c>
      <c r="C390" s="81" t="s">
        <v>1213</v>
      </c>
      <c r="D390" s="65" t="s">
        <v>1180</v>
      </c>
    </row>
    <row r="391" spans="2:4" ht="12.75">
      <c r="B391" s="64">
        <v>2012</v>
      </c>
      <c r="C391" s="81" t="s">
        <v>962</v>
      </c>
      <c r="D391" s="65" t="s">
        <v>1179</v>
      </c>
    </row>
    <row r="392" spans="2:4" ht="12.75">
      <c r="B392" s="64">
        <v>2012</v>
      </c>
      <c r="C392" s="81" t="s">
        <v>1620</v>
      </c>
      <c r="D392" s="65" t="s">
        <v>1178</v>
      </c>
    </row>
    <row r="393" spans="2:4" ht="12.75">
      <c r="B393" s="64">
        <v>2012</v>
      </c>
      <c r="C393" s="81" t="s">
        <v>867</v>
      </c>
      <c r="D393" s="65" t="s">
        <v>1177</v>
      </c>
    </row>
    <row r="394" spans="2:4" ht="12.75">
      <c r="B394" s="64">
        <v>2012</v>
      </c>
      <c r="C394" s="100">
        <v>1984</v>
      </c>
      <c r="D394" s="65" t="s">
        <v>1176</v>
      </c>
    </row>
    <row r="395" spans="2:4" ht="12.75">
      <c r="B395" s="64">
        <v>2012</v>
      </c>
      <c r="C395" s="81" t="s">
        <v>1162</v>
      </c>
      <c r="D395" s="65" t="s">
        <v>1175</v>
      </c>
    </row>
    <row r="396" spans="2:4" ht="12.75">
      <c r="B396" s="64">
        <v>2012</v>
      </c>
      <c r="C396" s="65" t="s">
        <v>881</v>
      </c>
      <c r="D396" s="65" t="s">
        <v>1174</v>
      </c>
    </row>
    <row r="397" spans="2:4" ht="12.75">
      <c r="B397" s="64">
        <v>2012</v>
      </c>
      <c r="C397" s="65" t="s">
        <v>853</v>
      </c>
      <c r="D397" s="65" t="s">
        <v>1170</v>
      </c>
    </row>
    <row r="398" spans="2:4" ht="12.75">
      <c r="B398" s="64">
        <v>2012</v>
      </c>
      <c r="C398" s="65" t="s">
        <v>861</v>
      </c>
      <c r="D398" s="65" t="s">
        <v>962</v>
      </c>
    </row>
    <row r="399" spans="2:4" ht="12.75">
      <c r="B399" s="64">
        <v>2012</v>
      </c>
      <c r="C399" s="65" t="s">
        <v>856</v>
      </c>
      <c r="D399" s="65" t="s">
        <v>1207</v>
      </c>
    </row>
    <row r="400" spans="2:4" ht="12.75">
      <c r="B400" s="64">
        <v>2012</v>
      </c>
      <c r="C400" s="65" t="s">
        <v>863</v>
      </c>
      <c r="D400" s="65" t="s">
        <v>863</v>
      </c>
    </row>
    <row r="401" spans="2:4" ht="12.75">
      <c r="B401" s="64">
        <v>2012</v>
      </c>
      <c r="C401" s="65" t="s">
        <v>1161</v>
      </c>
      <c r="D401" s="65" t="s">
        <v>873</v>
      </c>
    </row>
    <row r="402" spans="2:4" ht="12.75">
      <c r="B402" s="64">
        <v>2012</v>
      </c>
      <c r="C402" s="81" t="s">
        <v>862</v>
      </c>
      <c r="D402" s="65" t="s">
        <v>870</v>
      </c>
    </row>
    <row r="403" spans="2:4" ht="12.75">
      <c r="B403" s="64">
        <v>2012</v>
      </c>
      <c r="C403" s="10" t="s">
        <v>1149</v>
      </c>
      <c r="D403" s="101">
        <v>1984</v>
      </c>
    </row>
    <row r="404" spans="2:4" ht="12.75">
      <c r="B404" s="64">
        <v>2012</v>
      </c>
      <c r="C404" s="10" t="s">
        <v>1152</v>
      </c>
      <c r="D404" s="65" t="s">
        <v>853</v>
      </c>
    </row>
    <row r="405" spans="2:4" ht="12.75">
      <c r="B405" s="64">
        <v>2012</v>
      </c>
      <c r="C405" s="10" t="s">
        <v>1153</v>
      </c>
      <c r="D405" s="102" t="s">
        <v>1162</v>
      </c>
    </row>
    <row r="406" spans="2:4" ht="12.75">
      <c r="B406" s="64">
        <v>2012</v>
      </c>
      <c r="C406" s="10" t="s">
        <v>1154</v>
      </c>
      <c r="D406" s="65" t="s">
        <v>1161</v>
      </c>
    </row>
    <row r="407" spans="2:4" ht="12.75">
      <c r="B407" s="64">
        <v>2012</v>
      </c>
      <c r="C407" s="10" t="s">
        <v>1155</v>
      </c>
      <c r="D407" s="65" t="s">
        <v>867</v>
      </c>
    </row>
    <row r="408" spans="2:4" ht="12.75">
      <c r="B408" s="64">
        <v>2012</v>
      </c>
      <c r="C408" s="10" t="s">
        <v>1156</v>
      </c>
      <c r="D408" s="65" t="s">
        <v>994</v>
      </c>
    </row>
    <row r="409" spans="2:4" ht="12.75">
      <c r="B409" s="64">
        <v>2012</v>
      </c>
      <c r="C409" s="10" t="s">
        <v>1157</v>
      </c>
      <c r="D409" s="65" t="s">
        <v>861</v>
      </c>
    </row>
    <row r="410" spans="2:4" ht="12.75">
      <c r="B410" s="64">
        <v>2012</v>
      </c>
      <c r="C410" s="10" t="s">
        <v>1158</v>
      </c>
      <c r="D410" s="65" t="s">
        <v>1213</v>
      </c>
    </row>
    <row r="411" spans="2:4" ht="12.75">
      <c r="B411" s="64">
        <v>2012</v>
      </c>
      <c r="C411" s="10" t="s">
        <v>1159</v>
      </c>
      <c r="D411" s="65" t="s">
        <v>1164</v>
      </c>
    </row>
    <row r="412" spans="2:4" ht="12.75">
      <c r="B412" s="64">
        <v>2012</v>
      </c>
      <c r="C412" s="10" t="s">
        <v>1160</v>
      </c>
      <c r="D412" s="10" t="s">
        <v>1149</v>
      </c>
    </row>
    <row r="413" spans="2:4" ht="12.75">
      <c r="B413" s="64">
        <v>2012</v>
      </c>
      <c r="C413" s="65"/>
      <c r="D413" s="10" t="s">
        <v>1152</v>
      </c>
    </row>
    <row r="414" spans="2:4" ht="12.75">
      <c r="B414" s="64">
        <v>2012</v>
      </c>
      <c r="C414" s="65"/>
      <c r="D414" s="10" t="s">
        <v>1153</v>
      </c>
    </row>
    <row r="415" spans="2:4" ht="12.75">
      <c r="B415" s="64">
        <v>2012</v>
      </c>
      <c r="C415" s="65"/>
      <c r="D415" s="10" t="s">
        <v>1154</v>
      </c>
    </row>
    <row r="416" spans="2:4" ht="12.75">
      <c r="B416" s="64">
        <v>2012</v>
      </c>
      <c r="C416" s="65"/>
      <c r="D416" s="10" t="s">
        <v>1155</v>
      </c>
    </row>
    <row r="417" spans="2:4" ht="12.75">
      <c r="B417" s="64">
        <v>2012</v>
      </c>
      <c r="C417" s="65"/>
      <c r="D417" s="10" t="s">
        <v>1156</v>
      </c>
    </row>
    <row r="418" spans="2:4" ht="12.75">
      <c r="B418" s="64">
        <v>2012</v>
      </c>
      <c r="C418" s="65"/>
      <c r="D418" s="10" t="s">
        <v>1157</v>
      </c>
    </row>
    <row r="419" spans="2:4" ht="12.75">
      <c r="B419" s="64">
        <v>2012</v>
      </c>
      <c r="C419" s="65"/>
      <c r="D419" s="10" t="s">
        <v>1158</v>
      </c>
    </row>
    <row r="420" spans="2:4" ht="12.75">
      <c r="B420" s="64">
        <v>2012</v>
      </c>
      <c r="C420" s="65"/>
      <c r="D420" s="10" t="s">
        <v>1159</v>
      </c>
    </row>
    <row r="421" spans="2:4" ht="12.75">
      <c r="B421" s="64">
        <v>2012</v>
      </c>
      <c r="C421" s="65"/>
      <c r="D421" s="10" t="s">
        <v>1160</v>
      </c>
    </row>
    <row r="422" spans="2:4" ht="12.75">
      <c r="B422" s="64">
        <v>2012</v>
      </c>
      <c r="C422" s="65" t="s">
        <v>1621</v>
      </c>
      <c r="D422" s="65" t="s">
        <v>879</v>
      </c>
    </row>
    <row r="423" spans="2:4" ht="12.75">
      <c r="B423" s="64">
        <v>2012</v>
      </c>
      <c r="C423" s="65" t="s">
        <v>1622</v>
      </c>
      <c r="D423" s="81" t="s">
        <v>1623</v>
      </c>
    </row>
    <row r="424" spans="2:4" ht="12.75">
      <c r="B424" s="64">
        <v>2012</v>
      </c>
      <c r="C424" s="19" t="s">
        <v>1144</v>
      </c>
      <c r="D424" s="81" t="s">
        <v>1624</v>
      </c>
    </row>
    <row r="425" spans="2:4" ht="12.75">
      <c r="B425" s="64">
        <v>2012</v>
      </c>
      <c r="C425" s="65" t="s">
        <v>1625</v>
      </c>
      <c r="D425" s="81" t="s">
        <v>1626</v>
      </c>
    </row>
    <row r="426" spans="2:4" ht="12.75">
      <c r="B426" s="64">
        <v>2012</v>
      </c>
      <c r="C426" s="65" t="s">
        <v>1627</v>
      </c>
      <c r="D426" s="19" t="s">
        <v>1144</v>
      </c>
    </row>
    <row r="427" spans="2:4" ht="12.75">
      <c r="B427" s="64">
        <v>2012</v>
      </c>
      <c r="C427" s="66" t="s">
        <v>844</v>
      </c>
      <c r="D427" s="80" t="s">
        <v>1628</v>
      </c>
    </row>
    <row r="428" spans="2:4" ht="12.75">
      <c r="B428" s="64">
        <v>2012</v>
      </c>
      <c r="C428" s="65" t="s">
        <v>1629</v>
      </c>
      <c r="D428" s="65" t="s">
        <v>1630</v>
      </c>
    </row>
    <row r="429" spans="2:4" ht="12.75">
      <c r="B429" s="64">
        <v>2012</v>
      </c>
      <c r="C429" s="65" t="s">
        <v>1257</v>
      </c>
      <c r="D429" s="102" t="s">
        <v>1631</v>
      </c>
    </row>
    <row r="430" spans="2:4" ht="12.75">
      <c r="B430" s="64">
        <v>2012</v>
      </c>
      <c r="C430" s="65" t="s">
        <v>1256</v>
      </c>
      <c r="D430" s="102" t="s">
        <v>849</v>
      </c>
    </row>
    <row r="431" spans="2:4" ht="12.75">
      <c r="B431" s="64">
        <v>2012</v>
      </c>
      <c r="C431" s="65" t="s">
        <v>1255</v>
      </c>
      <c r="D431" s="102" t="s">
        <v>1632</v>
      </c>
    </row>
    <row r="432" spans="2:4" ht="12.75">
      <c r="B432" s="64">
        <v>2012</v>
      </c>
      <c r="C432" s="65" t="s">
        <v>1633</v>
      </c>
      <c r="D432" s="66" t="s">
        <v>844</v>
      </c>
    </row>
    <row r="433" spans="2:4" ht="12.75">
      <c r="B433" s="64">
        <v>2012</v>
      </c>
      <c r="C433" s="65" t="s">
        <v>1634</v>
      </c>
      <c r="D433" s="68" t="s">
        <v>886</v>
      </c>
    </row>
    <row r="434" spans="2:4" ht="12.75">
      <c r="B434" s="64">
        <v>2012</v>
      </c>
      <c r="C434" s="65" t="s">
        <v>1635</v>
      </c>
      <c r="D434" s="102" t="s">
        <v>1636</v>
      </c>
    </row>
    <row r="435" spans="2:4" ht="12.75">
      <c r="B435" s="64">
        <v>2012</v>
      </c>
      <c r="C435" s="103" t="s">
        <v>1637</v>
      </c>
      <c r="D435" s="65" t="s">
        <v>948</v>
      </c>
    </row>
    <row r="436" spans="2:4" ht="12.75">
      <c r="B436" s="64">
        <v>2012</v>
      </c>
      <c r="C436" s="19" t="s">
        <v>896</v>
      </c>
      <c r="D436" s="80" t="s">
        <v>1638</v>
      </c>
    </row>
    <row r="437" spans="2:4" ht="12.75">
      <c r="B437" s="64">
        <v>2012</v>
      </c>
      <c r="C437" s="19" t="s">
        <v>949</v>
      </c>
      <c r="D437" s="19" t="s">
        <v>836</v>
      </c>
    </row>
    <row r="438" spans="2:4" ht="12.75">
      <c r="B438" s="64">
        <v>2012</v>
      </c>
      <c r="C438" s="66" t="s">
        <v>824</v>
      </c>
      <c r="D438" s="19" t="s">
        <v>1639</v>
      </c>
    </row>
    <row r="439" spans="2:4" ht="12.75">
      <c r="B439" s="64">
        <v>2012</v>
      </c>
      <c r="C439" s="80" t="s">
        <v>838</v>
      </c>
      <c r="D439" s="80" t="s">
        <v>1640</v>
      </c>
    </row>
    <row r="440" spans="2:4" ht="12.75">
      <c r="B440" s="64">
        <v>2012</v>
      </c>
      <c r="C440" s="80" t="s">
        <v>836</v>
      </c>
      <c r="D440" s="80" t="s">
        <v>1641</v>
      </c>
    </row>
    <row r="441" spans="2:4" ht="12.75">
      <c r="B441" s="64">
        <v>2012</v>
      </c>
      <c r="C441" s="80" t="s">
        <v>822</v>
      </c>
      <c r="D441" s="80" t="s">
        <v>1642</v>
      </c>
    </row>
    <row r="442" spans="2:4" ht="12.75">
      <c r="B442" s="64">
        <v>2012</v>
      </c>
      <c r="C442" s="80" t="s">
        <v>1643</v>
      </c>
      <c r="D442" s="19" t="s">
        <v>1644</v>
      </c>
    </row>
    <row r="443" spans="2:4" ht="12.75">
      <c r="B443" s="64">
        <v>2012</v>
      </c>
      <c r="C443" s="80" t="s">
        <v>832</v>
      </c>
      <c r="D443" s="65"/>
    </row>
    <row r="444" spans="2:4" ht="12.75">
      <c r="B444" s="64">
        <v>2012</v>
      </c>
      <c r="C444" s="80" t="s">
        <v>830</v>
      </c>
      <c r="D444" s="80"/>
    </row>
    <row r="445" spans="2:4" ht="12.75">
      <c r="B445" s="64">
        <v>2012</v>
      </c>
      <c r="C445" s="80" t="s">
        <v>1645</v>
      </c>
      <c r="D445" s="19"/>
    </row>
    <row r="446" spans="2:4" ht="12.75">
      <c r="B446" s="64">
        <v>2012</v>
      </c>
      <c r="C446" s="19" t="s">
        <v>1646</v>
      </c>
      <c r="D446" s="19"/>
    </row>
    <row r="447" spans="2:4" ht="12.75">
      <c r="B447" s="64">
        <v>2012</v>
      </c>
      <c r="C447" s="19" t="s">
        <v>1126</v>
      </c>
      <c r="D447" s="80"/>
    </row>
    <row r="448" spans="2:4" ht="12.75">
      <c r="B448" s="104">
        <v>2011</v>
      </c>
      <c r="C448" s="105" t="s">
        <v>886</v>
      </c>
      <c r="D448" s="105" t="s">
        <v>1199</v>
      </c>
    </row>
    <row r="449" spans="2:4" ht="12.75">
      <c r="B449" s="104">
        <v>2011</v>
      </c>
      <c r="C449" s="106" t="s">
        <v>884</v>
      </c>
      <c r="D449" s="105" t="s">
        <v>918</v>
      </c>
    </row>
    <row r="450" spans="2:4" ht="12.75">
      <c r="B450" s="104">
        <v>2011</v>
      </c>
      <c r="C450" s="105" t="s">
        <v>1167</v>
      </c>
      <c r="D450" s="105" t="s">
        <v>874</v>
      </c>
    </row>
    <row r="451" spans="2:4" ht="12.75">
      <c r="B451" s="104">
        <v>2011</v>
      </c>
      <c r="C451" s="106" t="s">
        <v>877</v>
      </c>
      <c r="D451" s="105" t="s">
        <v>955</v>
      </c>
    </row>
    <row r="452" spans="2:4" ht="12.75">
      <c r="B452" s="104">
        <v>2011</v>
      </c>
      <c r="C452" s="107" t="s">
        <v>1009</v>
      </c>
      <c r="D452" s="105" t="s">
        <v>954</v>
      </c>
    </row>
    <row r="453" spans="2:4" ht="12.75">
      <c r="B453" s="104">
        <v>2011</v>
      </c>
      <c r="C453" s="107" t="s">
        <v>1010</v>
      </c>
      <c r="D453" s="105" t="s">
        <v>877</v>
      </c>
    </row>
    <row r="454" spans="2:4" ht="12.75">
      <c r="B454" s="104">
        <v>2011</v>
      </c>
      <c r="C454" s="107" t="s">
        <v>1011</v>
      </c>
      <c r="D454" s="105" t="s">
        <v>942</v>
      </c>
    </row>
    <row r="455" spans="2:4" ht="12.75">
      <c r="B455" s="104">
        <v>2011</v>
      </c>
      <c r="C455" s="107" t="s">
        <v>1012</v>
      </c>
      <c r="D455" s="105" t="s">
        <v>941</v>
      </c>
    </row>
    <row r="456" spans="2:4" ht="12.75">
      <c r="B456" s="104">
        <v>2011</v>
      </c>
      <c r="C456" s="107" t="s">
        <v>1013</v>
      </c>
      <c r="D456" s="105" t="s">
        <v>1277</v>
      </c>
    </row>
    <row r="457" spans="2:4" ht="12.75">
      <c r="B457" s="104">
        <v>2011</v>
      </c>
      <c r="C457" s="107" t="s">
        <v>1014</v>
      </c>
      <c r="D457" s="105" t="s">
        <v>1280</v>
      </c>
    </row>
    <row r="458" spans="2:4" ht="12.75">
      <c r="B458" s="104">
        <v>2011</v>
      </c>
      <c r="C458" s="107" t="s">
        <v>1016</v>
      </c>
      <c r="D458" s="105" t="s">
        <v>1279</v>
      </c>
    </row>
    <row r="459" spans="2:4" ht="12.75">
      <c r="B459" s="104">
        <v>2011</v>
      </c>
      <c r="C459" s="107" t="s">
        <v>1018</v>
      </c>
      <c r="D459" s="105" t="s">
        <v>1209</v>
      </c>
    </row>
    <row r="460" spans="2:4" ht="12.75">
      <c r="B460" s="104">
        <v>2011</v>
      </c>
      <c r="C460" s="107" t="s">
        <v>1019</v>
      </c>
      <c r="D460" s="105" t="s">
        <v>926</v>
      </c>
    </row>
    <row r="461" spans="2:4" ht="12.75">
      <c r="B461" s="104">
        <v>2011</v>
      </c>
      <c r="C461" s="107" t="s">
        <v>1020</v>
      </c>
      <c r="D461" s="105" t="s">
        <v>1281</v>
      </c>
    </row>
    <row r="462" spans="2:4" ht="12.75">
      <c r="B462" s="104">
        <v>2011</v>
      </c>
      <c r="C462" s="107" t="s">
        <v>1021</v>
      </c>
      <c r="D462" s="105" t="s">
        <v>1274</v>
      </c>
    </row>
    <row r="463" spans="2:4" ht="12.75">
      <c r="B463" s="104">
        <v>2011</v>
      </c>
      <c r="C463" s="107" t="s">
        <v>1022</v>
      </c>
      <c r="D463" s="105" t="s">
        <v>913</v>
      </c>
    </row>
    <row r="464" spans="2:4" ht="12.75">
      <c r="B464" s="104">
        <v>2011</v>
      </c>
      <c r="C464" s="107" t="s">
        <v>1023</v>
      </c>
      <c r="D464" s="105" t="s">
        <v>1258</v>
      </c>
    </row>
    <row r="465" spans="2:4" ht="12.75">
      <c r="B465" s="104">
        <v>2011</v>
      </c>
      <c r="C465" s="107" t="s">
        <v>710</v>
      </c>
      <c r="D465" s="105" t="s">
        <v>888</v>
      </c>
    </row>
    <row r="466" spans="2:4" ht="12.75">
      <c r="B466" s="104">
        <v>2011</v>
      </c>
      <c r="C466" s="107" t="s">
        <v>1201</v>
      </c>
      <c r="D466" s="105" t="s">
        <v>920</v>
      </c>
    </row>
    <row r="467" spans="2:4" ht="12.75">
      <c r="B467" s="104">
        <v>2011</v>
      </c>
      <c r="C467" s="107" t="s">
        <v>559</v>
      </c>
      <c r="D467" s="107" t="s">
        <v>1016</v>
      </c>
    </row>
    <row r="468" spans="2:4" ht="12.75">
      <c r="B468" s="104">
        <v>2011</v>
      </c>
      <c r="C468" s="107" t="s">
        <v>1203</v>
      </c>
      <c r="D468" s="107" t="s">
        <v>1018</v>
      </c>
    </row>
    <row r="469" spans="2:4" ht="12.75">
      <c r="B469" s="104">
        <v>2011</v>
      </c>
      <c r="C469" s="107" t="s">
        <v>1205</v>
      </c>
      <c r="D469" s="107" t="s">
        <v>1019</v>
      </c>
    </row>
    <row r="470" spans="2:4" ht="12.75">
      <c r="B470" s="104">
        <v>2011</v>
      </c>
      <c r="C470" s="107" t="s">
        <v>1207</v>
      </c>
      <c r="D470" s="105" t="s">
        <v>915</v>
      </c>
    </row>
    <row r="471" spans="2:4" ht="12.75">
      <c r="B471" s="104">
        <v>2011</v>
      </c>
      <c r="C471" s="107" t="s">
        <v>1209</v>
      </c>
      <c r="D471" s="105" t="s">
        <v>1260</v>
      </c>
    </row>
    <row r="472" spans="2:4" ht="12.75">
      <c r="B472" s="104">
        <v>2011</v>
      </c>
      <c r="C472" s="107" t="s">
        <v>1210</v>
      </c>
      <c r="D472" s="105" t="s">
        <v>884</v>
      </c>
    </row>
    <row r="473" spans="2:4" ht="12.75">
      <c r="B473" s="104">
        <v>2011</v>
      </c>
      <c r="C473" s="107" t="s">
        <v>1213</v>
      </c>
      <c r="D473" s="105" t="s">
        <v>1267</v>
      </c>
    </row>
    <row r="474" spans="2:4" ht="12.75">
      <c r="B474" s="104">
        <v>2011</v>
      </c>
      <c r="C474" s="107" t="s">
        <v>1215</v>
      </c>
      <c r="D474" s="105" t="s">
        <v>1012</v>
      </c>
    </row>
    <row r="475" spans="2:4" ht="12.75">
      <c r="B475" s="104">
        <v>2011</v>
      </c>
      <c r="C475" s="107" t="s">
        <v>1233</v>
      </c>
      <c r="D475" s="105" t="s">
        <v>1233</v>
      </c>
    </row>
    <row r="476" spans="2:4" ht="12.75">
      <c r="B476" s="104">
        <v>2011</v>
      </c>
      <c r="C476" s="107" t="s">
        <v>1235</v>
      </c>
      <c r="D476" s="105" t="s">
        <v>949</v>
      </c>
    </row>
    <row r="477" spans="2:4" ht="12.75">
      <c r="B477" s="104">
        <v>2011</v>
      </c>
      <c r="C477" s="107" t="s">
        <v>1240</v>
      </c>
      <c r="D477" s="105" t="s">
        <v>883</v>
      </c>
    </row>
    <row r="478" spans="2:4" ht="12.75">
      <c r="B478" s="104">
        <v>2011</v>
      </c>
      <c r="C478" s="107" t="s">
        <v>1250</v>
      </c>
      <c r="D478" s="105" t="s">
        <v>956</v>
      </c>
    </row>
    <row r="479" spans="2:4" ht="12.75">
      <c r="B479" s="104">
        <v>2011</v>
      </c>
      <c r="C479" s="107" t="s">
        <v>1251</v>
      </c>
      <c r="D479" s="105" t="s">
        <v>957</v>
      </c>
    </row>
    <row r="480" spans="2:4" ht="12.75">
      <c r="B480" s="104">
        <v>2011</v>
      </c>
      <c r="C480" s="107" t="s">
        <v>1252</v>
      </c>
      <c r="D480" s="105" t="s">
        <v>958</v>
      </c>
    </row>
    <row r="481" spans="2:4" ht="12.75">
      <c r="B481" s="104">
        <v>2011</v>
      </c>
      <c r="C481" s="107" t="s">
        <v>1255</v>
      </c>
      <c r="D481" s="105"/>
    </row>
    <row r="482" spans="2:4" ht="12.75">
      <c r="B482" s="104">
        <v>2011</v>
      </c>
      <c r="C482" s="107" t="s">
        <v>1256</v>
      </c>
      <c r="D482" s="105" t="s">
        <v>902</v>
      </c>
    </row>
    <row r="483" spans="2:4" ht="12.75">
      <c r="B483" s="104">
        <v>2011</v>
      </c>
      <c r="C483" s="107" t="s">
        <v>1257</v>
      </c>
      <c r="D483" s="105" t="s">
        <v>1620</v>
      </c>
    </row>
    <row r="484" spans="2:4" ht="12.75">
      <c r="B484" s="104">
        <v>2011</v>
      </c>
      <c r="C484" s="107" t="s">
        <v>1258</v>
      </c>
      <c r="D484" s="107" t="s">
        <v>1255</v>
      </c>
    </row>
    <row r="485" spans="2:4" ht="12.75">
      <c r="B485" s="104">
        <v>2011</v>
      </c>
      <c r="C485" s="107" t="s">
        <v>1260</v>
      </c>
      <c r="D485" s="107" t="s">
        <v>1256</v>
      </c>
    </row>
    <row r="486" spans="2:4" ht="12.75">
      <c r="B486" s="104">
        <v>2011</v>
      </c>
      <c r="C486" s="107" t="s">
        <v>1261</v>
      </c>
      <c r="D486" s="107" t="s">
        <v>1257</v>
      </c>
    </row>
    <row r="487" spans="2:4" ht="12.75">
      <c r="B487" s="104">
        <v>2011</v>
      </c>
      <c r="C487" s="107" t="s">
        <v>1264</v>
      </c>
      <c r="D487" s="108" t="s">
        <v>1195</v>
      </c>
    </row>
    <row r="488" spans="2:4" ht="12.75">
      <c r="B488" s="104">
        <v>2011</v>
      </c>
      <c r="C488" s="107" t="s">
        <v>1267</v>
      </c>
      <c r="D488" s="108" t="s">
        <v>1194</v>
      </c>
    </row>
    <row r="489" spans="2:4" ht="12.75">
      <c r="B489" s="104">
        <v>2011</v>
      </c>
      <c r="C489" s="107" t="s">
        <v>1272</v>
      </c>
      <c r="D489" s="108" t="s">
        <v>1193</v>
      </c>
    </row>
    <row r="490" spans="2:4" ht="12.75">
      <c r="B490" s="104">
        <v>2011</v>
      </c>
      <c r="C490" s="107" t="s">
        <v>1274</v>
      </c>
      <c r="D490" s="108" t="s">
        <v>1192</v>
      </c>
    </row>
    <row r="491" spans="2:4" ht="12.75">
      <c r="B491" s="104">
        <v>2011</v>
      </c>
      <c r="C491" s="107" t="s">
        <v>1277</v>
      </c>
      <c r="D491" s="108" t="s">
        <v>1191</v>
      </c>
    </row>
    <row r="492" spans="2:4" ht="12.75">
      <c r="B492" s="104">
        <v>2011</v>
      </c>
      <c r="C492" s="107" t="s">
        <v>1279</v>
      </c>
      <c r="D492" s="108" t="s">
        <v>1190</v>
      </c>
    </row>
    <row r="493" spans="2:4" ht="12.75">
      <c r="B493" s="104">
        <v>2011</v>
      </c>
      <c r="C493" s="107" t="s">
        <v>1280</v>
      </c>
      <c r="D493" s="105" t="s">
        <v>1167</v>
      </c>
    </row>
    <row r="494" spans="2:4" ht="12.75">
      <c r="B494" s="104">
        <v>2011</v>
      </c>
      <c r="C494" s="107" t="s">
        <v>1281</v>
      </c>
      <c r="D494" s="105" t="s">
        <v>1186</v>
      </c>
    </row>
    <row r="495" spans="2:4" ht="12.75">
      <c r="B495" s="104">
        <v>2011</v>
      </c>
      <c r="C495" s="107" t="s">
        <v>1284</v>
      </c>
      <c r="D495" s="105" t="s">
        <v>1187</v>
      </c>
    </row>
    <row r="496" spans="2:4" ht="12.75">
      <c r="B496" s="104">
        <v>2011</v>
      </c>
      <c r="C496" s="107" t="s">
        <v>1287</v>
      </c>
      <c r="D496" s="109" t="s">
        <v>1188</v>
      </c>
    </row>
    <row r="497" spans="2:4" ht="12.75">
      <c r="B497" s="104">
        <v>2011</v>
      </c>
      <c r="C497" s="107" t="s">
        <v>1290</v>
      </c>
      <c r="D497" s="109" t="s">
        <v>1189</v>
      </c>
    </row>
    <row r="498" spans="2:4" ht="12.75">
      <c r="B498" s="104">
        <v>2011</v>
      </c>
      <c r="C498" s="107" t="s">
        <v>1292</v>
      </c>
      <c r="D498" s="109"/>
    </row>
    <row r="499" spans="2:4" ht="12.75">
      <c r="B499" s="104">
        <v>2011</v>
      </c>
      <c r="C499" s="107" t="s">
        <v>1294</v>
      </c>
      <c r="D499" s="109"/>
    </row>
    <row r="500" spans="2:4" ht="12.75">
      <c r="B500" s="104">
        <v>2011</v>
      </c>
      <c r="C500" s="107" t="s">
        <v>1299</v>
      </c>
      <c r="D500" s="109"/>
    </row>
    <row r="501" spans="2:4" ht="12.75">
      <c r="B501" s="104">
        <v>2011</v>
      </c>
      <c r="C501" s="107" t="s">
        <v>1300</v>
      </c>
      <c r="D501" s="109"/>
    </row>
    <row r="502" spans="2:4" ht="12.75">
      <c r="B502" s="104">
        <v>2011</v>
      </c>
      <c r="C502" s="107" t="s">
        <v>507</v>
      </c>
      <c r="D502" s="109"/>
    </row>
    <row r="503" spans="2:4" ht="12.75">
      <c r="B503" s="64">
        <v>2010</v>
      </c>
      <c r="C503" s="10" t="s">
        <v>888</v>
      </c>
      <c r="D503" s="10" t="s">
        <v>1010</v>
      </c>
    </row>
    <row r="504" spans="2:4" ht="12.75">
      <c r="B504" s="64">
        <v>2010</v>
      </c>
      <c r="C504" s="10" t="s">
        <v>891</v>
      </c>
      <c r="D504" s="10" t="s">
        <v>1011</v>
      </c>
    </row>
    <row r="505" spans="2:4" ht="12.75">
      <c r="B505" s="64">
        <v>2010</v>
      </c>
      <c r="C505" s="10" t="s">
        <v>899</v>
      </c>
      <c r="D505" s="10" t="s">
        <v>1217</v>
      </c>
    </row>
    <row r="506" spans="2:4" ht="12.75">
      <c r="B506" s="64">
        <v>2010</v>
      </c>
      <c r="C506" s="10" t="s">
        <v>902</v>
      </c>
      <c r="D506" s="10" t="s">
        <v>1219</v>
      </c>
    </row>
    <row r="507" spans="2:4" ht="12.75">
      <c r="B507" s="64">
        <v>2010</v>
      </c>
      <c r="C507" s="10" t="s">
        <v>904</v>
      </c>
      <c r="D507" s="10" t="s">
        <v>1220</v>
      </c>
    </row>
    <row r="508" spans="2:4" ht="12.75">
      <c r="B508" s="64">
        <v>2010</v>
      </c>
      <c r="C508" s="10" t="s">
        <v>906</v>
      </c>
      <c r="D508" s="68" t="s">
        <v>1270</v>
      </c>
    </row>
    <row r="509" spans="2:4" ht="12.75">
      <c r="B509" s="64">
        <v>2010</v>
      </c>
      <c r="C509" s="10" t="s">
        <v>1647</v>
      </c>
      <c r="D509" s="68" t="s">
        <v>710</v>
      </c>
    </row>
    <row r="510" spans="2:4" ht="12.75">
      <c r="B510" s="64">
        <v>2010</v>
      </c>
      <c r="C510" s="10" t="s">
        <v>913</v>
      </c>
      <c r="D510" s="68" t="s">
        <v>938</v>
      </c>
    </row>
    <row r="511" spans="2:4" ht="12.75">
      <c r="B511" s="64">
        <v>2010</v>
      </c>
      <c r="C511" s="10" t="s">
        <v>915</v>
      </c>
      <c r="D511" s="68" t="s">
        <v>1272</v>
      </c>
    </row>
    <row r="512" spans="2:4" ht="12.75">
      <c r="B512" s="64">
        <v>2010</v>
      </c>
      <c r="C512" s="10" t="s">
        <v>920</v>
      </c>
      <c r="D512" s="68" t="s">
        <v>1014</v>
      </c>
    </row>
    <row r="513" spans="2:4" ht="12.75">
      <c r="B513" s="64">
        <v>2010</v>
      </c>
      <c r="C513" s="23" t="s">
        <v>922</v>
      </c>
      <c r="D513" s="68" t="s">
        <v>1013</v>
      </c>
    </row>
    <row r="514" spans="2:4" ht="12.75">
      <c r="B514" s="64">
        <v>2010</v>
      </c>
      <c r="C514" s="10" t="s">
        <v>923</v>
      </c>
      <c r="D514" s="68" t="s">
        <v>925</v>
      </c>
    </row>
    <row r="515" spans="2:4" ht="12.75">
      <c r="B515" s="64">
        <v>2010</v>
      </c>
      <c r="C515" s="10" t="s">
        <v>924</v>
      </c>
      <c r="D515" s="68" t="s">
        <v>1215</v>
      </c>
    </row>
    <row r="516" spans="2:4" ht="12.75">
      <c r="B516" s="64">
        <v>2010</v>
      </c>
      <c r="C516" s="10" t="s">
        <v>925</v>
      </c>
      <c r="D516" s="68" t="s">
        <v>927</v>
      </c>
    </row>
    <row r="517" spans="2:4" ht="12.75">
      <c r="B517" s="64">
        <v>2010</v>
      </c>
      <c r="C517" s="10" t="s">
        <v>926</v>
      </c>
      <c r="D517" s="68" t="s">
        <v>931</v>
      </c>
    </row>
    <row r="518" spans="2:4" ht="12.75">
      <c r="B518" s="64">
        <v>2010</v>
      </c>
      <c r="C518" s="10" t="s">
        <v>927</v>
      </c>
      <c r="D518" s="68" t="s">
        <v>935</v>
      </c>
    </row>
    <row r="519" spans="2:4" ht="12.75">
      <c r="B519" s="64">
        <v>2010</v>
      </c>
      <c r="C519" s="10" t="s">
        <v>928</v>
      </c>
      <c r="D519" s="68" t="s">
        <v>1235</v>
      </c>
    </row>
    <row r="520" spans="2:4" ht="12.75">
      <c r="B520" s="64">
        <v>2010</v>
      </c>
      <c r="C520" s="10" t="s">
        <v>931</v>
      </c>
      <c r="D520" s="68" t="s">
        <v>924</v>
      </c>
    </row>
    <row r="521" spans="2:4" ht="12.75">
      <c r="B521" s="64">
        <v>2010</v>
      </c>
      <c r="C521" s="10" t="s">
        <v>933</v>
      </c>
      <c r="D521" s="10" t="s">
        <v>1020</v>
      </c>
    </row>
    <row r="522" spans="2:4" ht="12.75">
      <c r="B522" s="64">
        <v>2010</v>
      </c>
      <c r="C522" s="10" t="s">
        <v>935</v>
      </c>
      <c r="D522" s="10" t="s">
        <v>1021</v>
      </c>
    </row>
    <row r="523" spans="2:4" ht="12.75">
      <c r="B523" s="64">
        <v>2010</v>
      </c>
      <c r="C523" s="10" t="s">
        <v>941</v>
      </c>
      <c r="D523" s="10" t="s">
        <v>1022</v>
      </c>
    </row>
    <row r="524" spans="2:4" ht="12.75">
      <c r="B524" s="64">
        <v>2010</v>
      </c>
      <c r="C524" s="10" t="s">
        <v>942</v>
      </c>
      <c r="D524" s="68" t="s">
        <v>1287</v>
      </c>
    </row>
    <row r="525" spans="2:4" ht="12.75">
      <c r="B525" s="64">
        <v>2010</v>
      </c>
      <c r="C525" s="10" t="s">
        <v>1648</v>
      </c>
      <c r="D525" s="68" t="s">
        <v>1292</v>
      </c>
    </row>
    <row r="526" spans="2:4" ht="12.75">
      <c r="B526" s="64">
        <v>2010</v>
      </c>
      <c r="C526" s="10" t="s">
        <v>1649</v>
      </c>
      <c r="D526" s="68" t="s">
        <v>1294</v>
      </c>
    </row>
    <row r="527" spans="2:4" ht="12.75">
      <c r="B527" s="64">
        <v>2010</v>
      </c>
      <c r="C527" s="10" t="s">
        <v>949</v>
      </c>
      <c r="D527" s="68" t="s">
        <v>933</v>
      </c>
    </row>
    <row r="528" spans="2:4" ht="12.75">
      <c r="B528" s="64">
        <v>2010</v>
      </c>
      <c r="C528" s="10" t="s">
        <v>951</v>
      </c>
      <c r="D528" s="68" t="s">
        <v>1023</v>
      </c>
    </row>
    <row r="529" spans="2:4" ht="12.75">
      <c r="B529" s="64">
        <v>2010</v>
      </c>
      <c r="C529" s="10" t="s">
        <v>953</v>
      </c>
      <c r="D529" s="68" t="s">
        <v>1221</v>
      </c>
    </row>
    <row r="530" spans="2:4" ht="12.75">
      <c r="B530" s="64">
        <v>2010</v>
      </c>
      <c r="C530" s="10" t="s">
        <v>954</v>
      </c>
      <c r="D530" s="68" t="s">
        <v>1224</v>
      </c>
    </row>
    <row r="531" spans="2:4" ht="12.75">
      <c r="B531" s="64">
        <v>2010</v>
      </c>
      <c r="C531" s="10" t="s">
        <v>955</v>
      </c>
      <c r="D531" s="68" t="s">
        <v>1226</v>
      </c>
    </row>
    <row r="532" spans="2:4" ht="12.75">
      <c r="B532" s="64">
        <v>2010</v>
      </c>
      <c r="C532" s="10" t="s">
        <v>956</v>
      </c>
      <c r="D532" s="68" t="s">
        <v>1210</v>
      </c>
    </row>
    <row r="533" spans="2:4" ht="12.75">
      <c r="B533" s="64">
        <v>2010</v>
      </c>
      <c r="C533" s="10" t="s">
        <v>957</v>
      </c>
      <c r="D533" s="68" t="s">
        <v>899</v>
      </c>
    </row>
    <row r="534" spans="2:4" ht="12.75">
      <c r="B534" s="64">
        <v>2010</v>
      </c>
      <c r="C534" s="10" t="s">
        <v>958</v>
      </c>
      <c r="D534" s="68" t="s">
        <v>1650</v>
      </c>
    </row>
    <row r="535" spans="2:4" ht="12.75">
      <c r="B535" s="64">
        <v>2010</v>
      </c>
      <c r="C535" s="10" t="s">
        <v>1006</v>
      </c>
      <c r="D535" s="68" t="s">
        <v>987</v>
      </c>
    </row>
    <row r="536" spans="2:4" ht="12.75">
      <c r="B536" s="64">
        <v>2010</v>
      </c>
      <c r="C536" s="10" t="s">
        <v>1008</v>
      </c>
      <c r="D536" s="68" t="s">
        <v>923</v>
      </c>
    </row>
    <row r="537" spans="2:4" ht="12.75">
      <c r="B537" s="64">
        <v>2010</v>
      </c>
      <c r="C537" s="10" t="s">
        <v>1221</v>
      </c>
      <c r="D537" s="68" t="s">
        <v>997</v>
      </c>
    </row>
    <row r="538" spans="2:4" ht="12.75">
      <c r="B538" s="64">
        <v>2010</v>
      </c>
      <c r="C538" s="10" t="s">
        <v>1224</v>
      </c>
      <c r="D538" s="68" t="s">
        <v>1227</v>
      </c>
    </row>
    <row r="539" spans="2:4" ht="12.75">
      <c r="B539" s="64">
        <v>2010</v>
      </c>
      <c r="C539" s="10" t="s">
        <v>1226</v>
      </c>
      <c r="D539" s="68" t="s">
        <v>1230</v>
      </c>
    </row>
    <row r="540" spans="2:4" ht="12.75">
      <c r="B540" s="64">
        <v>2010</v>
      </c>
      <c r="C540" s="10" t="s">
        <v>1227</v>
      </c>
      <c r="D540" s="68" t="s">
        <v>1231</v>
      </c>
    </row>
    <row r="541" spans="2:4" ht="12.75">
      <c r="B541" s="64">
        <v>2010</v>
      </c>
      <c r="C541" s="10" t="s">
        <v>1230</v>
      </c>
      <c r="D541" s="68" t="s">
        <v>1232</v>
      </c>
    </row>
    <row r="542" spans="2:4" ht="12.75">
      <c r="B542" s="64">
        <v>2010</v>
      </c>
      <c r="C542" s="10" t="s">
        <v>1231</v>
      </c>
      <c r="D542" s="68" t="s">
        <v>928</v>
      </c>
    </row>
    <row r="543" spans="2:4" ht="12.75">
      <c r="B543" s="64">
        <v>2010</v>
      </c>
      <c r="C543" s="10" t="s">
        <v>1232</v>
      </c>
      <c r="D543" s="68" t="s">
        <v>922</v>
      </c>
    </row>
    <row r="544" spans="2:4" ht="12.75">
      <c r="B544" s="64">
        <v>2010</v>
      </c>
      <c r="C544" s="69"/>
      <c r="D544" s="68" t="s">
        <v>911</v>
      </c>
    </row>
    <row r="545" spans="2:4" ht="12.75">
      <c r="B545" s="64">
        <v>2010</v>
      </c>
      <c r="C545" s="69"/>
      <c r="D545" s="68" t="s">
        <v>1651</v>
      </c>
    </row>
    <row r="546" spans="2:4" ht="12.75">
      <c r="B546" s="64">
        <v>2010</v>
      </c>
      <c r="C546" s="69"/>
      <c r="D546" s="68" t="s">
        <v>1299</v>
      </c>
    </row>
    <row r="547" spans="2:4" ht="12.75">
      <c r="B547" s="64">
        <v>2010</v>
      </c>
      <c r="C547" s="69"/>
      <c r="D547" s="68" t="s">
        <v>1300</v>
      </c>
    </row>
    <row r="548" spans="2:4" ht="12.75">
      <c r="B548" s="64">
        <v>2010</v>
      </c>
      <c r="C548" s="69"/>
      <c r="D548" s="10"/>
    </row>
    <row r="549" spans="2:4" ht="12.75">
      <c r="B549" s="64">
        <v>2010</v>
      </c>
      <c r="C549" s="69"/>
      <c r="D549" s="10" t="s">
        <v>1201</v>
      </c>
    </row>
    <row r="550" spans="2:4" ht="12.75">
      <c r="B550" s="64">
        <v>2010</v>
      </c>
      <c r="C550" s="69"/>
      <c r="D550" s="68" t="s">
        <v>1652</v>
      </c>
    </row>
    <row r="551" spans="2:4" ht="12.75">
      <c r="B551" s="104" t="s">
        <v>1474</v>
      </c>
      <c r="C551" s="106"/>
      <c r="D551" s="105" t="s">
        <v>974</v>
      </c>
    </row>
    <row r="552" spans="2:4" ht="12.75">
      <c r="B552" s="104" t="s">
        <v>1474</v>
      </c>
      <c r="C552" s="106"/>
      <c r="D552" s="105" t="s">
        <v>997</v>
      </c>
    </row>
    <row r="553" spans="2:4" ht="12.75">
      <c r="B553" s="104" t="s">
        <v>1474</v>
      </c>
      <c r="C553" s="106"/>
      <c r="D553" s="105" t="s">
        <v>1000</v>
      </c>
    </row>
    <row r="554" spans="2:4" ht="12.75">
      <c r="B554" s="104" t="s">
        <v>1474</v>
      </c>
      <c r="C554" s="106"/>
      <c r="D554" s="105" t="s">
        <v>1003</v>
      </c>
    </row>
    <row r="555" spans="2:4" ht="12.75">
      <c r="B555" s="104" t="s">
        <v>1474</v>
      </c>
      <c r="C555" s="106"/>
      <c r="D555" s="105" t="s">
        <v>1006</v>
      </c>
    </row>
    <row r="556" spans="2:4" ht="12.75">
      <c r="B556" s="104" t="s">
        <v>1474</v>
      </c>
      <c r="C556" s="106"/>
      <c r="D556" s="105" t="s">
        <v>1008</v>
      </c>
    </row>
    <row r="557" spans="2:4" ht="12.75">
      <c r="B557" s="104" t="s">
        <v>1474</v>
      </c>
      <c r="C557" s="106"/>
      <c r="D557" s="105" t="s">
        <v>1009</v>
      </c>
    </row>
    <row r="558" spans="2:4" ht="12.75">
      <c r="B558" s="104" t="s">
        <v>1474</v>
      </c>
      <c r="C558" s="106"/>
      <c r="D558" s="105" t="s">
        <v>1010</v>
      </c>
    </row>
    <row r="559" spans="2:4" ht="12.75">
      <c r="B559" s="104" t="s">
        <v>1474</v>
      </c>
      <c r="C559" s="106"/>
      <c r="D559" s="105" t="s">
        <v>1011</v>
      </c>
    </row>
    <row r="560" spans="2:4" ht="12.75">
      <c r="B560" s="104" t="s">
        <v>1474</v>
      </c>
      <c r="C560" s="106"/>
      <c r="D560" s="105" t="s">
        <v>1013</v>
      </c>
    </row>
    <row r="561" spans="2:4" ht="12.75">
      <c r="B561" s="104" t="s">
        <v>1474</v>
      </c>
      <c r="C561" s="106"/>
      <c r="D561" s="105" t="s">
        <v>1014</v>
      </c>
    </row>
    <row r="562" spans="2:4" ht="12.75">
      <c r="B562" s="104" t="s">
        <v>1474</v>
      </c>
      <c r="C562" s="106"/>
      <c r="D562" s="105" t="s">
        <v>1016</v>
      </c>
    </row>
    <row r="563" spans="2:4" ht="12.75">
      <c r="B563" s="104" t="s">
        <v>1474</v>
      </c>
      <c r="C563" s="106"/>
      <c r="D563" s="105" t="s">
        <v>1018</v>
      </c>
    </row>
    <row r="564" spans="2:4" ht="12.75">
      <c r="B564" s="104" t="s">
        <v>1474</v>
      </c>
      <c r="C564" s="106"/>
      <c r="D564" s="105" t="s">
        <v>1019</v>
      </c>
    </row>
    <row r="565" spans="2:4" ht="12.75">
      <c r="B565" s="104" t="s">
        <v>1474</v>
      </c>
      <c r="C565" s="106"/>
      <c r="D565" s="105" t="s">
        <v>1020</v>
      </c>
    </row>
    <row r="566" spans="2:4" ht="12.75">
      <c r="B566" s="104" t="s">
        <v>1474</v>
      </c>
      <c r="C566" s="106"/>
      <c r="D566" s="105" t="s">
        <v>1021</v>
      </c>
    </row>
    <row r="567" spans="2:4" ht="12.75">
      <c r="B567" s="104" t="s">
        <v>1474</v>
      </c>
      <c r="C567" s="106"/>
      <c r="D567" s="105" t="s">
        <v>1022</v>
      </c>
    </row>
    <row r="568" spans="2:4" ht="12.75">
      <c r="B568" s="104" t="s">
        <v>1474</v>
      </c>
      <c r="C568" s="106"/>
      <c r="D568" s="105" t="s">
        <v>1023</v>
      </c>
    </row>
    <row r="569" spans="2:4" ht="12.75">
      <c r="B569" s="104" t="s">
        <v>1474</v>
      </c>
      <c r="C569" s="106"/>
      <c r="D569" s="105" t="s">
        <v>1118</v>
      </c>
    </row>
    <row r="570" spans="2:4" ht="12.75">
      <c r="B570" s="104" t="s">
        <v>1474</v>
      </c>
      <c r="C570" s="106"/>
      <c r="D570" s="105" t="s">
        <v>1149</v>
      </c>
    </row>
    <row r="571" spans="2:4" ht="12.75">
      <c r="B571" s="104" t="s">
        <v>1474</v>
      </c>
      <c r="C571" s="106"/>
      <c r="D571" s="105" t="s">
        <v>1152</v>
      </c>
    </row>
    <row r="572" spans="2:4" ht="12.75">
      <c r="B572" s="104" t="s">
        <v>1474</v>
      </c>
      <c r="C572" s="106"/>
      <c r="D572" s="105" t="s">
        <v>1153</v>
      </c>
    </row>
    <row r="573" spans="2:4" ht="12.75">
      <c r="B573" s="104" t="s">
        <v>1474</v>
      </c>
      <c r="C573" s="106"/>
      <c r="D573" s="105" t="s">
        <v>1154</v>
      </c>
    </row>
    <row r="574" spans="2:4" ht="12.75">
      <c r="B574" s="104" t="s">
        <v>1474</v>
      </c>
      <c r="C574" s="106"/>
      <c r="D574" s="105" t="s">
        <v>1155</v>
      </c>
    </row>
    <row r="575" spans="2:4" ht="12.75">
      <c r="B575" s="104" t="s">
        <v>1474</v>
      </c>
      <c r="C575" s="106"/>
      <c r="D575" s="105" t="s">
        <v>1156</v>
      </c>
    </row>
    <row r="576" spans="2:4" ht="12.75">
      <c r="B576" s="104" t="s">
        <v>1474</v>
      </c>
      <c r="C576" s="106"/>
      <c r="D576" s="105" t="s">
        <v>1157</v>
      </c>
    </row>
    <row r="577" spans="2:4" ht="12.75">
      <c r="B577" s="104" t="s">
        <v>1474</v>
      </c>
      <c r="C577" s="106"/>
      <c r="D577" s="105" t="s">
        <v>1158</v>
      </c>
    </row>
    <row r="578" spans="2:4" ht="12.75">
      <c r="B578" s="104" t="s">
        <v>1474</v>
      </c>
      <c r="C578" s="106"/>
      <c r="D578" s="105" t="s">
        <v>1159</v>
      </c>
    </row>
    <row r="579" spans="2:4" ht="12.75">
      <c r="B579" s="104" t="s">
        <v>1474</v>
      </c>
      <c r="C579" s="106"/>
      <c r="D579" s="105" t="s">
        <v>1160</v>
      </c>
    </row>
    <row r="580" spans="2:4" ht="12.75">
      <c r="B580" s="104" t="s">
        <v>1474</v>
      </c>
      <c r="C580" s="106"/>
      <c r="D580" s="105" t="s">
        <v>1170</v>
      </c>
    </row>
    <row r="581" spans="2:4" ht="12.75">
      <c r="B581" s="104" t="s">
        <v>1474</v>
      </c>
      <c r="C581" s="106"/>
      <c r="D581" s="105" t="s">
        <v>1174</v>
      </c>
    </row>
    <row r="582" spans="2:4" ht="12.75">
      <c r="B582" s="104" t="s">
        <v>1474</v>
      </c>
      <c r="C582" s="106"/>
      <c r="D582" s="105" t="s">
        <v>1175</v>
      </c>
    </row>
    <row r="583" spans="2:4" ht="12.75">
      <c r="B583" s="104" t="s">
        <v>1474</v>
      </c>
      <c r="C583" s="106"/>
      <c r="D583" s="105" t="s">
        <v>1176</v>
      </c>
    </row>
    <row r="584" spans="2:4" ht="12.75">
      <c r="B584" s="104" t="s">
        <v>1474</v>
      </c>
      <c r="C584" s="106"/>
      <c r="D584" s="105" t="s">
        <v>1181</v>
      </c>
    </row>
    <row r="585" spans="2:4" ht="12.75">
      <c r="B585" s="104" t="s">
        <v>1474</v>
      </c>
      <c r="C585" s="106"/>
      <c r="D585" s="105" t="s">
        <v>1182</v>
      </c>
    </row>
    <row r="586" spans="2:4" ht="12.75">
      <c r="B586" s="104" t="s">
        <v>1474</v>
      </c>
      <c r="C586" s="106"/>
      <c r="D586" s="105" t="s">
        <v>1183</v>
      </c>
    </row>
    <row r="587" spans="2:4" ht="12.75">
      <c r="B587" s="104" t="s">
        <v>1474</v>
      </c>
      <c r="C587" s="106"/>
      <c r="D587" s="105" t="s">
        <v>1184</v>
      </c>
    </row>
    <row r="588" spans="2:4" ht="12.75">
      <c r="B588" s="104" t="s">
        <v>1474</v>
      </c>
      <c r="C588" s="106"/>
      <c r="D588" s="105" t="s">
        <v>1185</v>
      </c>
    </row>
    <row r="589" spans="2:4" ht="12.75">
      <c r="B589" s="104" t="s">
        <v>1474</v>
      </c>
      <c r="C589" s="106"/>
      <c r="D589" s="105" t="s">
        <v>1186</v>
      </c>
    </row>
    <row r="590" spans="2:4" ht="12.75">
      <c r="B590" s="104" t="s">
        <v>1474</v>
      </c>
      <c r="C590" s="106"/>
      <c r="D590" s="105" t="s">
        <v>1187</v>
      </c>
    </row>
    <row r="591" spans="2:4" ht="12.75">
      <c r="B591" s="104" t="s">
        <v>1474</v>
      </c>
      <c r="C591" s="106"/>
      <c r="D591" s="105" t="s">
        <v>1188</v>
      </c>
    </row>
    <row r="592" spans="2:4" ht="12.75">
      <c r="B592" s="104" t="s">
        <v>1474</v>
      </c>
      <c r="C592" s="106"/>
      <c r="D592" s="105" t="s">
        <v>1189</v>
      </c>
    </row>
    <row r="593" spans="2:4" ht="12.75">
      <c r="B593" s="104" t="s">
        <v>1474</v>
      </c>
      <c r="C593" s="106"/>
      <c r="D593" s="105" t="s">
        <v>1196</v>
      </c>
    </row>
    <row r="594" spans="2:4" ht="12.75">
      <c r="B594" s="104" t="s">
        <v>1474</v>
      </c>
      <c r="C594" s="106"/>
      <c r="D594" s="105" t="s">
        <v>1201</v>
      </c>
    </row>
    <row r="595" spans="2:4" ht="12.75">
      <c r="B595" s="104" t="s">
        <v>1474</v>
      </c>
      <c r="C595" s="106"/>
      <c r="D595" s="105" t="s">
        <v>1203</v>
      </c>
    </row>
    <row r="596" spans="2:4" ht="12.75">
      <c r="B596" s="104" t="s">
        <v>1474</v>
      </c>
      <c r="C596" s="106"/>
      <c r="D596" s="105" t="s">
        <v>1205</v>
      </c>
    </row>
    <row r="597" spans="2:4" ht="12.75">
      <c r="B597" s="104" t="s">
        <v>1474</v>
      </c>
      <c r="C597" s="106"/>
      <c r="D597" s="105" t="s">
        <v>1207</v>
      </c>
    </row>
    <row r="598" spans="2:4" ht="12.75">
      <c r="B598" s="104" t="s">
        <v>1474</v>
      </c>
      <c r="C598" s="106"/>
      <c r="D598" s="105" t="s">
        <v>1210</v>
      </c>
    </row>
    <row r="599" spans="2:4" ht="12.75">
      <c r="B599" s="104" t="s">
        <v>1474</v>
      </c>
      <c r="C599" s="106"/>
      <c r="D599" s="105" t="s">
        <v>1217</v>
      </c>
    </row>
    <row r="600" spans="2:4" ht="12.75">
      <c r="B600" s="104" t="s">
        <v>1474</v>
      </c>
      <c r="C600" s="106"/>
      <c r="D600" s="105" t="s">
        <v>1219</v>
      </c>
    </row>
    <row r="601" spans="2:4" ht="12.75">
      <c r="B601" s="104" t="s">
        <v>1474</v>
      </c>
      <c r="C601" s="106"/>
      <c r="D601" s="105" t="s">
        <v>1220</v>
      </c>
    </row>
    <row r="602" spans="2:4" ht="12.75">
      <c r="B602" s="104" t="s">
        <v>1474</v>
      </c>
      <c r="C602" s="106"/>
      <c r="D602" s="105" t="s">
        <v>1221</v>
      </c>
    </row>
    <row r="603" spans="2:4" ht="12.75">
      <c r="B603" s="104" t="s">
        <v>1474</v>
      </c>
      <c r="C603" s="106"/>
      <c r="D603" s="105" t="s">
        <v>1224</v>
      </c>
    </row>
    <row r="604" spans="2:4" ht="12.75">
      <c r="B604" s="104" t="s">
        <v>1474</v>
      </c>
      <c r="C604" s="106"/>
      <c r="D604" s="105" t="s">
        <v>1226</v>
      </c>
    </row>
    <row r="605" spans="2:4" ht="12.75">
      <c r="B605" s="104" t="s">
        <v>1474</v>
      </c>
      <c r="C605" s="106"/>
      <c r="D605" s="105" t="s">
        <v>1227</v>
      </c>
    </row>
    <row r="606" spans="2:4" ht="12.75">
      <c r="B606" s="104" t="s">
        <v>1474</v>
      </c>
      <c r="C606" s="106"/>
      <c r="D606" s="105" t="s">
        <v>1230</v>
      </c>
    </row>
    <row r="607" spans="2:4" ht="12.75">
      <c r="B607" s="104" t="s">
        <v>1474</v>
      </c>
      <c r="C607" s="106"/>
      <c r="D607" s="105" t="s">
        <v>1231</v>
      </c>
    </row>
    <row r="608" spans="2:4" ht="12.75">
      <c r="B608" s="104" t="s">
        <v>1474</v>
      </c>
      <c r="C608" s="106"/>
      <c r="D608" s="105" t="s">
        <v>1232</v>
      </c>
    </row>
    <row r="609" spans="2:4" ht="12.75">
      <c r="B609" s="104" t="s">
        <v>1474</v>
      </c>
      <c r="C609" s="106"/>
      <c r="D609" s="105" t="s">
        <v>1235</v>
      </c>
    </row>
    <row r="610" spans="2:4" ht="12.75">
      <c r="B610" s="104" t="s">
        <v>1474</v>
      </c>
      <c r="C610" s="106"/>
      <c r="D610" s="105" t="s">
        <v>1243</v>
      </c>
    </row>
    <row r="611" spans="2:4" ht="12.75">
      <c r="B611" s="104" t="s">
        <v>1474</v>
      </c>
      <c r="C611" s="106"/>
      <c r="D611" s="105" t="s">
        <v>1255</v>
      </c>
    </row>
    <row r="612" spans="2:4" ht="12.75">
      <c r="B612" s="104" t="s">
        <v>1474</v>
      </c>
      <c r="C612" s="106"/>
      <c r="D612" s="105" t="s">
        <v>1256</v>
      </c>
    </row>
    <row r="613" spans="2:4" ht="12.75">
      <c r="B613" s="104" t="s">
        <v>1474</v>
      </c>
      <c r="C613" s="106"/>
      <c r="D613" s="105" t="s">
        <v>1257</v>
      </c>
    </row>
    <row r="614" spans="2:4" ht="12.75">
      <c r="B614" s="104" t="s">
        <v>1474</v>
      </c>
      <c r="C614" s="106"/>
      <c r="D614" s="105" t="s">
        <v>1258</v>
      </c>
    </row>
    <row r="615" spans="2:4" ht="12.75">
      <c r="B615" s="104" t="s">
        <v>1474</v>
      </c>
      <c r="C615" s="106"/>
      <c r="D615" s="105" t="s">
        <v>1261</v>
      </c>
    </row>
    <row r="616" spans="2:4" ht="12.75">
      <c r="B616" s="104" t="s">
        <v>1474</v>
      </c>
      <c r="C616" s="106"/>
      <c r="D616" s="105" t="s">
        <v>1264</v>
      </c>
    </row>
    <row r="617" spans="2:4" ht="12.75">
      <c r="B617" s="104" t="s">
        <v>1474</v>
      </c>
      <c r="C617" s="106"/>
      <c r="D617" s="105" t="s">
        <v>1267</v>
      </c>
    </row>
    <row r="618" spans="2:4" ht="12.75">
      <c r="B618" s="104" t="s">
        <v>1474</v>
      </c>
      <c r="C618" s="106"/>
      <c r="D618" s="105" t="s">
        <v>1270</v>
      </c>
    </row>
    <row r="619" spans="2:4" ht="12.75">
      <c r="B619" s="104" t="s">
        <v>1474</v>
      </c>
      <c r="C619" s="106"/>
      <c r="D619" s="105" t="s">
        <v>1272</v>
      </c>
    </row>
    <row r="620" spans="2:4" ht="12.75">
      <c r="B620" s="104" t="s">
        <v>1474</v>
      </c>
      <c r="C620" s="106"/>
      <c r="D620" s="105" t="s">
        <v>1279</v>
      </c>
    </row>
    <row r="621" spans="2:4" ht="12.75">
      <c r="B621" s="104" t="s">
        <v>1474</v>
      </c>
      <c r="C621" s="106"/>
      <c r="D621" s="105" t="s">
        <v>1281</v>
      </c>
    </row>
    <row r="622" spans="2:4" ht="12.75">
      <c r="B622" s="104" t="s">
        <v>1474</v>
      </c>
      <c r="C622" s="106"/>
      <c r="D622" s="105" t="s">
        <v>1284</v>
      </c>
    </row>
    <row r="623" spans="2:4" ht="12.75">
      <c r="B623" s="104" t="s">
        <v>1474</v>
      </c>
      <c r="C623" s="106"/>
      <c r="D623" s="105" t="s">
        <v>1287</v>
      </c>
    </row>
    <row r="624" spans="2:4" ht="12.75">
      <c r="B624" s="104" t="s">
        <v>1474</v>
      </c>
      <c r="C624" s="106"/>
      <c r="D624" s="105" t="s">
        <v>1290</v>
      </c>
    </row>
    <row r="625" spans="2:4" ht="12.75">
      <c r="B625" s="104" t="s">
        <v>1474</v>
      </c>
      <c r="C625" s="106"/>
      <c r="D625" s="105" t="s">
        <v>1292</v>
      </c>
    </row>
    <row r="626" spans="2:4" ht="12.75">
      <c r="B626" s="104" t="s">
        <v>1474</v>
      </c>
      <c r="C626" s="106"/>
      <c r="D626" s="105" t="s">
        <v>1294</v>
      </c>
    </row>
    <row r="627" spans="2:4" ht="12.75">
      <c r="B627" s="104" t="s">
        <v>1474</v>
      </c>
      <c r="C627" s="106"/>
      <c r="D627" s="105" t="s">
        <v>1653</v>
      </c>
    </row>
    <row r="628" spans="2:4" ht="12.75">
      <c r="B628" s="104" t="s">
        <v>1474</v>
      </c>
      <c r="C628" s="106"/>
      <c r="D628" s="105" t="s">
        <v>1299</v>
      </c>
    </row>
    <row r="629" spans="2:4" ht="12.75">
      <c r="B629" s="104" t="s">
        <v>1474</v>
      </c>
      <c r="C629" s="106"/>
      <c r="D629" s="105" t="s">
        <v>1300</v>
      </c>
    </row>
    <row r="630" spans="2:4" ht="12.75">
      <c r="B630" s="110" t="s">
        <v>1474</v>
      </c>
      <c r="C630" s="106"/>
      <c r="D630" s="105" t="s">
        <v>1161</v>
      </c>
    </row>
    <row r="631" spans="2:4" ht="12.75">
      <c r="B631" s="50"/>
      <c r="D631" s="111"/>
    </row>
    <row r="632" spans="2:4" ht="12.75">
      <c r="B632" s="50"/>
      <c r="D632" s="111"/>
    </row>
    <row r="633" spans="2:4" ht="12.75">
      <c r="B633" s="50"/>
      <c r="D633" s="111"/>
    </row>
    <row r="634" spans="2:4" ht="12.75">
      <c r="B634" s="50"/>
      <c r="D634" s="111"/>
    </row>
    <row r="635" spans="2:4" ht="12.75">
      <c r="B635" s="50"/>
      <c r="D635" s="111"/>
    </row>
    <row r="636" spans="2:4" ht="12.75">
      <c r="B636" s="50"/>
      <c r="D636" s="111"/>
    </row>
    <row r="637" spans="2:4" ht="12.75">
      <c r="B637" s="50"/>
      <c r="D637" s="111"/>
    </row>
    <row r="638" spans="2:4" ht="12.75">
      <c r="B638" s="50"/>
      <c r="D638" s="111"/>
    </row>
    <row r="639" spans="2:4" ht="12.75">
      <c r="B639" s="50"/>
      <c r="D639" s="111"/>
    </row>
    <row r="640" spans="2:4" ht="12.75">
      <c r="B640" s="50"/>
      <c r="D640" s="111"/>
    </row>
    <row r="641" spans="2:4" ht="12.75">
      <c r="B641" s="50"/>
      <c r="D641" s="111"/>
    </row>
    <row r="642" spans="2:4" ht="12.75">
      <c r="B642" s="50"/>
      <c r="D642" s="111"/>
    </row>
    <row r="643" spans="2:4" ht="12.75">
      <c r="B643" s="50"/>
      <c r="D643" s="111"/>
    </row>
    <row r="644" spans="2:4" ht="12.75">
      <c r="B644" s="50"/>
      <c r="D644" s="111"/>
    </row>
    <row r="645" spans="2:4" ht="12.75">
      <c r="B645" s="50"/>
      <c r="D645" s="111"/>
    </row>
    <row r="646" spans="2:4" ht="12.75">
      <c r="B646" s="50"/>
      <c r="D646" s="111"/>
    </row>
    <row r="647" spans="2:4" ht="12.75">
      <c r="B647" s="50"/>
      <c r="D647" s="111"/>
    </row>
    <row r="648" spans="2:4" ht="12.75">
      <c r="B648" s="50"/>
      <c r="D648" s="111"/>
    </row>
    <row r="649" spans="2:4" ht="12.75">
      <c r="B649" s="50"/>
      <c r="D649" s="111"/>
    </row>
    <row r="650" spans="2:4" ht="12.75">
      <c r="B650" s="50"/>
      <c r="D650" s="111"/>
    </row>
  </sheetData>
  <phoneticPr fontId="2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C89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1" max="1" width="3.42578125" customWidth="1"/>
    <col min="2" max="3" width="39.28515625" customWidth="1"/>
  </cols>
  <sheetData>
    <row r="2" spans="2:3" ht="18" customHeight="1">
      <c r="B2" s="7" t="s">
        <v>1304</v>
      </c>
      <c r="C2" s="7" t="s">
        <v>1305</v>
      </c>
    </row>
    <row r="3" spans="2:3" ht="12.75">
      <c r="B3" s="10" t="s">
        <v>313</v>
      </c>
      <c r="C3" s="10" t="s">
        <v>313</v>
      </c>
    </row>
    <row r="4" spans="2:3" ht="13.5">
      <c r="B4" s="10" t="s">
        <v>1253</v>
      </c>
      <c r="C4" s="10" t="s">
        <v>1654</v>
      </c>
    </row>
    <row r="5" spans="2:3" ht="12.75">
      <c r="B5" s="10" t="s">
        <v>1270</v>
      </c>
      <c r="C5" s="10" t="s">
        <v>778</v>
      </c>
    </row>
    <row r="6" spans="2:3" ht="12.75">
      <c r="B6" s="10" t="s">
        <v>948</v>
      </c>
      <c r="C6" s="10" t="s">
        <v>780</v>
      </c>
    </row>
    <row r="7" spans="2:3" ht="12.75">
      <c r="B7" s="10" t="s">
        <v>997</v>
      </c>
      <c r="C7" s="10" t="s">
        <v>896</v>
      </c>
    </row>
    <row r="8" spans="2:3" ht="12.75">
      <c r="B8" s="10" t="s">
        <v>1000</v>
      </c>
      <c r="C8" s="10" t="s">
        <v>979</v>
      </c>
    </row>
    <row r="9" spans="2:3" ht="12.75">
      <c r="B9" s="10" t="s">
        <v>1003</v>
      </c>
      <c r="C9" s="10" t="s">
        <v>1024</v>
      </c>
    </row>
    <row r="10" spans="2:3" ht="12.75">
      <c r="B10" s="10" t="s">
        <v>1024</v>
      </c>
      <c r="C10" s="10" t="s">
        <v>1031</v>
      </c>
    </row>
    <row r="11" spans="2:3" ht="12.75">
      <c r="B11" s="10" t="s">
        <v>1045</v>
      </c>
      <c r="C11" s="10" t="s">
        <v>1032</v>
      </c>
    </row>
    <row r="12" spans="2:3" ht="12.75">
      <c r="B12" s="10" t="s">
        <v>1057</v>
      </c>
      <c r="C12" s="10" t="s">
        <v>1110</v>
      </c>
    </row>
    <row r="13" spans="2:3" ht="12.75">
      <c r="B13" s="10" t="s">
        <v>1068</v>
      </c>
      <c r="C13" s="10" t="s">
        <v>1111</v>
      </c>
    </row>
    <row r="14" spans="2:3" ht="12.75">
      <c r="B14" s="10" t="s">
        <v>1070</v>
      </c>
      <c r="C14" s="10" t="s">
        <v>1112</v>
      </c>
    </row>
    <row r="15" spans="2:3" ht="12.75">
      <c r="B15" s="10" t="s">
        <v>1075</v>
      </c>
      <c r="C15" s="10" t="s">
        <v>1113</v>
      </c>
    </row>
    <row r="16" spans="2:3" ht="12.75">
      <c r="B16" s="10" t="s">
        <v>1076</v>
      </c>
      <c r="C16" s="10" t="s">
        <v>1114</v>
      </c>
    </row>
    <row r="17" spans="2:3" ht="12.75">
      <c r="B17" s="10" t="s">
        <v>1090</v>
      </c>
      <c r="C17" s="10" t="s">
        <v>1115</v>
      </c>
    </row>
    <row r="18" spans="2:3" ht="12.75">
      <c r="B18" s="10" t="s">
        <v>1108</v>
      </c>
      <c r="C18" s="10" t="s">
        <v>1116</v>
      </c>
    </row>
    <row r="19" spans="2:3" ht="12.75">
      <c r="B19" s="10" t="s">
        <v>1110</v>
      </c>
      <c r="C19" s="10" t="s">
        <v>1117</v>
      </c>
    </row>
    <row r="20" spans="2:3" ht="12.75">
      <c r="B20" s="10" t="s">
        <v>1111</v>
      </c>
      <c r="C20" s="10" t="s">
        <v>1123</v>
      </c>
    </row>
    <row r="21" spans="2:3" ht="12.75">
      <c r="B21" s="10" t="s">
        <v>1112</v>
      </c>
      <c r="C21" s="10" t="s">
        <v>1137</v>
      </c>
    </row>
    <row r="22" spans="2:3" ht="12.75">
      <c r="B22" s="10" t="s">
        <v>1113</v>
      </c>
      <c r="C22" s="10" t="s">
        <v>1140</v>
      </c>
    </row>
    <row r="23" spans="2:3" ht="12.75">
      <c r="B23" s="10" t="s">
        <v>1114</v>
      </c>
      <c r="C23" s="10" t="s">
        <v>1141</v>
      </c>
    </row>
    <row r="24" spans="2:3" ht="12.75">
      <c r="B24" s="10" t="s">
        <v>1115</v>
      </c>
      <c r="C24" s="10" t="s">
        <v>1253</v>
      </c>
    </row>
    <row r="25" spans="2:3" ht="12.75">
      <c r="B25" s="10" t="s">
        <v>1116</v>
      </c>
      <c r="C25" s="10" t="s">
        <v>1237</v>
      </c>
    </row>
    <row r="26" spans="2:3" ht="12.75">
      <c r="B26" s="10" t="s">
        <v>1117</v>
      </c>
      <c r="C26" s="10" t="s">
        <v>1240</v>
      </c>
    </row>
    <row r="27" spans="2:3" ht="12.75">
      <c r="B27" s="10" t="s">
        <v>1123</v>
      </c>
      <c r="C27" s="10" t="s">
        <v>1246</v>
      </c>
    </row>
    <row r="28" spans="2:3" ht="12.75">
      <c r="B28" s="10" t="s">
        <v>1133</v>
      </c>
      <c r="C28" s="10" t="s">
        <v>1249</v>
      </c>
    </row>
    <row r="29" spans="2:3" ht="12.75">
      <c r="B29" s="10" t="s">
        <v>1137</v>
      </c>
      <c r="C29" s="10" t="s">
        <v>1250</v>
      </c>
    </row>
    <row r="30" spans="2:3" ht="12.75">
      <c r="B30" s="10" t="s">
        <v>1140</v>
      </c>
      <c r="C30" s="10" t="s">
        <v>1251</v>
      </c>
    </row>
    <row r="31" spans="2:3" ht="12.75">
      <c r="B31" s="10" t="s">
        <v>1141</v>
      </c>
      <c r="C31" s="10" t="s">
        <v>1252</v>
      </c>
    </row>
    <row r="32" spans="2:3" ht="12.75">
      <c r="B32" s="10" t="s">
        <v>1170</v>
      </c>
      <c r="C32" s="26" t="s">
        <v>881</v>
      </c>
    </row>
    <row r="33" spans="2:3" ht="12.75">
      <c r="B33" s="10" t="s">
        <v>1174</v>
      </c>
      <c r="C33" s="10" t="s">
        <v>792</v>
      </c>
    </row>
    <row r="34" spans="2:3" ht="12.75">
      <c r="B34" s="10" t="s">
        <v>1175</v>
      </c>
      <c r="C34" s="10" t="s">
        <v>700</v>
      </c>
    </row>
    <row r="35" spans="2:3" ht="12.75">
      <c r="B35" s="10" t="s">
        <v>1176</v>
      </c>
      <c r="C35" s="10" t="s">
        <v>686</v>
      </c>
    </row>
    <row r="36" spans="2:3" ht="12.75">
      <c r="B36" s="10" t="s">
        <v>1177</v>
      </c>
      <c r="C36" s="69"/>
    </row>
    <row r="37" spans="2:3" ht="12.75">
      <c r="B37" s="10" t="s">
        <v>1178</v>
      </c>
      <c r="C37" s="69"/>
    </row>
    <row r="38" spans="2:3" ht="12.75">
      <c r="B38" s="10" t="s">
        <v>1179</v>
      </c>
      <c r="C38" s="69"/>
    </row>
    <row r="39" spans="2:3" ht="12.75">
      <c r="B39" s="10" t="s">
        <v>1180</v>
      </c>
      <c r="C39" s="69"/>
    </row>
    <row r="40" spans="2:3" ht="12.75">
      <c r="B40" s="10" t="s">
        <v>1181</v>
      </c>
      <c r="C40" s="69"/>
    </row>
    <row r="41" spans="2:3" ht="12.75">
      <c r="B41" s="10" t="s">
        <v>1182</v>
      </c>
      <c r="C41" s="69"/>
    </row>
    <row r="42" spans="2:3" ht="12.75">
      <c r="B42" s="10" t="s">
        <v>1183</v>
      </c>
      <c r="C42" s="69"/>
    </row>
    <row r="43" spans="2:3" ht="12.75">
      <c r="B43" s="10" t="s">
        <v>1184</v>
      </c>
      <c r="C43" s="69"/>
    </row>
    <row r="44" spans="2:3" ht="12.75">
      <c r="B44" s="10" t="s">
        <v>1185</v>
      </c>
      <c r="C44" s="69"/>
    </row>
    <row r="45" spans="2:3" ht="12.75">
      <c r="B45" s="10" t="s">
        <v>1186</v>
      </c>
      <c r="C45" s="69"/>
    </row>
    <row r="46" spans="2:3" ht="12.75">
      <c r="B46" s="10" t="s">
        <v>1187</v>
      </c>
      <c r="C46" s="69"/>
    </row>
    <row r="47" spans="2:3" ht="12.75">
      <c r="B47" s="10" t="s">
        <v>1188</v>
      </c>
      <c r="C47" s="69"/>
    </row>
    <row r="48" spans="2:3" ht="12.75">
      <c r="B48" s="10" t="s">
        <v>1189</v>
      </c>
      <c r="C48" s="69"/>
    </row>
    <row r="49" spans="2:3" ht="12.75">
      <c r="B49" s="10" t="s">
        <v>1190</v>
      </c>
      <c r="C49" s="69"/>
    </row>
    <row r="50" spans="2:3" ht="12.75">
      <c r="B50" s="10" t="s">
        <v>1191</v>
      </c>
      <c r="C50" s="69"/>
    </row>
    <row r="51" spans="2:3" ht="12.75">
      <c r="B51" s="10" t="s">
        <v>1192</v>
      </c>
      <c r="C51" s="69"/>
    </row>
    <row r="52" spans="2:3" ht="12.75">
      <c r="B52" s="10" t="s">
        <v>1193</v>
      </c>
      <c r="C52" s="69"/>
    </row>
    <row r="53" spans="2:3" ht="12.75">
      <c r="B53" s="10" t="s">
        <v>1194</v>
      </c>
      <c r="C53" s="69"/>
    </row>
    <row r="54" spans="2:3" ht="12.75">
      <c r="B54" s="10" t="s">
        <v>1195</v>
      </c>
      <c r="C54" s="69"/>
    </row>
    <row r="55" spans="2:3" ht="12.75">
      <c r="B55" s="10" t="s">
        <v>1196</v>
      </c>
      <c r="C55" s="69"/>
    </row>
    <row r="56" spans="2:3" ht="12.75">
      <c r="B56" s="10" t="s">
        <v>1217</v>
      </c>
      <c r="C56" s="69"/>
    </row>
    <row r="57" spans="2:3" ht="12.75">
      <c r="B57" s="10" t="s">
        <v>1219</v>
      </c>
      <c r="C57" s="69"/>
    </row>
    <row r="58" spans="2:3" ht="12.75">
      <c r="B58" s="10" t="s">
        <v>1220</v>
      </c>
      <c r="C58" s="69"/>
    </row>
    <row r="59" spans="2:3" ht="12.75">
      <c r="B59" s="10" t="s">
        <v>1237</v>
      </c>
      <c r="C59" s="69"/>
    </row>
    <row r="60" spans="2:3" ht="12.75">
      <c r="B60" s="10" t="s">
        <v>1243</v>
      </c>
      <c r="C60" s="69"/>
    </row>
    <row r="61" spans="2:3" ht="12.75">
      <c r="B61" s="10"/>
      <c r="C61" s="69"/>
    </row>
    <row r="62" spans="2:3" ht="12.75">
      <c r="B62" s="10"/>
      <c r="C62" s="69"/>
    </row>
    <row r="63" spans="2:3" ht="12.75">
      <c r="B63" s="10"/>
      <c r="C63" s="69"/>
    </row>
    <row r="64" spans="2:3" ht="12.75">
      <c r="B64" s="10"/>
      <c r="C64" s="69"/>
    </row>
    <row r="65" spans="2:3" ht="12.75">
      <c r="B65" s="10"/>
      <c r="C65" s="69"/>
    </row>
    <row r="66" spans="2:3" ht="12.75">
      <c r="B66" s="10"/>
      <c r="C66" s="69"/>
    </row>
    <row r="67" spans="2:3" ht="12.75">
      <c r="B67" s="10"/>
      <c r="C67" s="69"/>
    </row>
    <row r="68" spans="2:3" ht="12.75">
      <c r="B68" s="10"/>
      <c r="C68" s="69"/>
    </row>
    <row r="69" spans="2:3" ht="12.75">
      <c r="B69" s="10"/>
      <c r="C69" s="69"/>
    </row>
    <row r="70" spans="2:3" ht="12.75">
      <c r="B70" s="10"/>
      <c r="C70" s="69"/>
    </row>
    <row r="71" spans="2:3" ht="12.75">
      <c r="B71" s="10"/>
      <c r="C71" s="69"/>
    </row>
    <row r="72" spans="2:3" ht="12.75">
      <c r="B72" s="10"/>
      <c r="C72" s="69"/>
    </row>
    <row r="73" spans="2:3" ht="12.75">
      <c r="B73" s="10"/>
      <c r="C73" s="69"/>
    </row>
    <row r="74" spans="2:3" ht="12.75">
      <c r="B74" s="10"/>
      <c r="C74" s="69"/>
    </row>
    <row r="75" spans="2:3" ht="12.75">
      <c r="B75" s="10"/>
      <c r="C75" s="69"/>
    </row>
    <row r="76" spans="2:3" ht="12.75">
      <c r="B76" s="69"/>
      <c r="C76" s="69"/>
    </row>
    <row r="77" spans="2:3" ht="12.75">
      <c r="B77" s="69"/>
      <c r="C77" s="69"/>
    </row>
    <row r="78" spans="2:3" ht="12.75">
      <c r="B78" s="69"/>
      <c r="C78" s="69"/>
    </row>
    <row r="79" spans="2:3" ht="12.75">
      <c r="B79" s="69"/>
      <c r="C79" s="69"/>
    </row>
    <row r="80" spans="2:3" ht="12.75">
      <c r="B80" s="69"/>
      <c r="C80" s="69"/>
    </row>
    <row r="81" spans="2:3" ht="12.75">
      <c r="B81" s="69"/>
      <c r="C81" s="69"/>
    </row>
    <row r="82" spans="2:3" ht="12.75">
      <c r="B82" s="69"/>
      <c r="C82" s="69"/>
    </row>
    <row r="83" spans="2:3" ht="12.75">
      <c r="B83" s="69"/>
      <c r="C83" s="69"/>
    </row>
    <row r="84" spans="2:3" ht="12.75">
      <c r="B84" s="69"/>
      <c r="C84" s="69"/>
    </row>
    <row r="85" spans="2:3" ht="12.75">
      <c r="B85" s="69"/>
      <c r="C85" s="69"/>
    </row>
    <row r="86" spans="2:3" ht="12.75">
      <c r="B86" s="69"/>
      <c r="C86" s="69"/>
    </row>
    <row r="87" spans="2:3" ht="12.75">
      <c r="B87" s="69"/>
      <c r="C87" s="69"/>
    </row>
    <row r="88" spans="2:3" ht="12.75">
      <c r="B88" s="69"/>
      <c r="C88" s="69"/>
    </row>
    <row r="89" spans="2:3" ht="12.75">
      <c r="B89" s="69"/>
      <c r="C89" s="69"/>
    </row>
  </sheetData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도서목록</vt:lpstr>
      <vt:lpstr>IT서적</vt:lpstr>
      <vt:lpstr>통계</vt:lpstr>
      <vt:lpstr>독서목록</vt:lpstr>
      <vt:lpstr>보류목록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대현 이</cp:lastModifiedBy>
  <dcterms:modified xsi:type="dcterms:W3CDTF">2026-04-10T01:30:52Z</dcterms:modified>
</cp:coreProperties>
</file>