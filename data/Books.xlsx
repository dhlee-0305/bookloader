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1995" yWindow="-660" windowWidth="28800" windowHeight="15345" tabRatio="600" firstSheet="0" activeTab="0" autoFilterDateGrouping="1"/>
  </bookViews>
  <sheets>
    <sheet xmlns:r="http://schemas.openxmlformats.org/officeDocument/2006/relationships" name="도서목록" sheetId="1" state="visible" r:id="rId1"/>
    <sheet xmlns:r="http://schemas.openxmlformats.org/officeDocument/2006/relationships" name="IT서적" sheetId="2" state="visible" r:id="rId2"/>
    <sheet xmlns:r="http://schemas.openxmlformats.org/officeDocument/2006/relationships" name="통계" sheetId="3" state="visible" r:id="rId3"/>
    <sheet xmlns:r="http://schemas.openxmlformats.org/officeDocument/2006/relationships" name="독서목록" sheetId="4" state="visible" r:id="rId4"/>
    <sheet xmlns:r="http://schemas.openxmlformats.org/officeDocument/2006/relationships" name="보류목록" sheetId="5" state="visible" r:id="rId5"/>
  </sheets>
  <definedNames>
    <definedName name="_xlnm._FilterDatabase" localSheetId="0" hidden="1">'도서목록'!$B$2:$H$576</definedName>
    <definedName name="_xlnm._FilterDatabase" localSheetId="1" hidden="1">'IT서적'!$B$2:$G$67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6">
    <font>
      <name val="Arial"/>
      <color rgb="FF000000"/>
      <sz val="10"/>
    </font>
    <font>
      <name val="Arial"/>
      <b val="1"/>
      <color rgb="FFFFFFFF"/>
      <sz val="18"/>
    </font>
    <font>
      <name val="Verdana"/>
      <b val="1"/>
      <i val="1"/>
      <color rgb="FF000000"/>
      <sz val="18"/>
    </font>
    <font>
      <name val="Arial"/>
      <sz val="10"/>
    </font>
    <font>
      <name val="Arial"/>
      <color rgb="FF000000"/>
      <sz val="8"/>
    </font>
    <font>
      <name val="Arial"/>
      <b val="1"/>
      <color rgb="FFFFFFFF"/>
      <sz val="9"/>
    </font>
    <font>
      <name val="Arial"/>
      <b val="1"/>
      <color rgb="FF000000"/>
      <sz val="9"/>
    </font>
    <font>
      <name val="Arial"/>
      <b val="1"/>
      <color rgb="FF000000"/>
      <sz val="10"/>
    </font>
    <font>
      <name val="맑은 고딕"/>
      <charset val="129"/>
      <family val="3"/>
      <color rgb="FF000000"/>
      <sz val="9"/>
    </font>
    <font>
      <name val="Arial"/>
      <color rgb="FF000000"/>
      <sz val="9"/>
    </font>
    <font>
      <name val="Arial"/>
      <color rgb="FF000000"/>
      <sz val="10"/>
    </font>
    <font>
      <name val="Arial"/>
      <color rgb="FF000000"/>
      <sz val="10"/>
      <u val="single"/>
    </font>
    <font>
      <name val="Arial"/>
      <color rgb="FF0000FF"/>
      <sz val="10"/>
      <u val="single"/>
    </font>
    <font>
      <name val="Arial"/>
      <color rgb="FF0000FF"/>
      <sz val="10"/>
      <u val="single"/>
    </font>
    <font>
      <name val="Arial"/>
      <color rgb="FF222222"/>
      <sz val="9"/>
    </font>
    <font>
      <name val="돋움"/>
      <charset val="129"/>
      <family val="3"/>
      <color rgb="FF000000"/>
      <sz val="10"/>
    </font>
    <font>
      <name val="맑은 고딕"/>
      <charset val="129"/>
      <family val="3"/>
      <color rgb="FF000000"/>
      <sz val="10"/>
    </font>
    <font>
      <name val="Arial"/>
      <sz val="9"/>
    </font>
    <font>
      <name val="돋움"/>
      <charset val="129"/>
      <family val="3"/>
      <color rgb="FF444444"/>
      <sz val="9"/>
    </font>
    <font>
      <name val="돋움"/>
      <charset val="129"/>
      <family val="3"/>
      <color rgb="FF333333"/>
      <sz val="9"/>
    </font>
    <font>
      <name val="Malgun"/>
      <color rgb="FF222222"/>
      <sz val="9"/>
    </font>
    <font>
      <name val="&quot;Apple SD Gothic Neo&quot;"/>
      <color rgb="FF222222"/>
      <sz val="9"/>
    </font>
    <font>
      <name val="&quot;Noto Sans KR&quot;"/>
      <color rgb="FF222222"/>
      <sz val="9"/>
    </font>
    <font>
      <name val="Arial"/>
      <family val="2"/>
      <color rgb="FF444444"/>
      <sz val="9"/>
    </font>
    <font>
      <name val="Arial"/>
      <family val="2"/>
      <b val="1"/>
      <sz val="10"/>
    </font>
    <font>
      <name val="-webkit-standard"/>
      <color rgb="FF000000"/>
      <sz val="9"/>
    </font>
    <font>
      <name val="돋움"/>
      <charset val="129"/>
      <family val="3"/>
      <color rgb="FF000000"/>
      <sz val="9"/>
    </font>
    <font>
      <name val="Roboto"/>
      <color rgb="FF000000"/>
      <sz val="9"/>
    </font>
    <font>
      <name val="돋움"/>
      <charset val="129"/>
      <family val="3"/>
      <sz val="8"/>
    </font>
    <font>
      <name val="맑은 고딕"/>
      <charset val="129"/>
      <family val="3"/>
      <b val="1"/>
      <color rgb="FF000000"/>
      <sz val="9"/>
    </font>
    <font>
      <name val="Arial"/>
      <family val="2"/>
      <color rgb="FF000000"/>
      <sz val="9"/>
    </font>
    <font>
      <name val="Arial"/>
      <charset val="129"/>
      <family val="3"/>
      <color rgb="FF000000"/>
      <sz val="9"/>
    </font>
    <font>
      <name val="맑은 고딕"/>
      <charset val="129"/>
      <family val="3"/>
      <sz val="10"/>
    </font>
    <font>
      <name val="Arial"/>
      <family val="2"/>
      <sz val="10"/>
    </font>
    <font>
      <name val="Arial"/>
      <charset val="129"/>
      <family val="3"/>
      <sz val="10"/>
    </font>
    <font>
      <name val="Arial"/>
      <family val="2"/>
      <color rgb="FF000000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CFE2F3"/>
        <bgColor rgb="FFCFE2F3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EFEFEF"/>
        <bgColor rgb="FFEFEFEF"/>
      </patternFill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10" fillId="0" borderId="0"/>
  </cellStyleXfs>
  <cellXfs count="125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 wrapText="1"/>
    </xf>
    <xf numFmtId="0" fontId="6" fillId="3" borderId="2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/>
    </xf>
    <xf numFmtId="0" fontId="8" fillId="0" borderId="2" applyAlignment="1" pivotButton="0" quotePrefix="0" xfId="0">
      <alignment horizontal="center" vertical="center" wrapText="1"/>
    </xf>
    <xf numFmtId="0" fontId="8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0" fillId="0" borderId="2" applyAlignment="1" pivotButton="0" quotePrefix="0" xfId="0">
      <alignment vertical="center"/>
    </xf>
    <xf numFmtId="0" fontId="10" fillId="0" borderId="2" applyAlignment="1" pivotButton="0" quotePrefix="0" xfId="0">
      <alignment vertical="center"/>
    </xf>
    <xf numFmtId="0" fontId="11" fillId="0" borderId="2" applyAlignment="1" pivotButton="0" quotePrefix="0" xfId="0">
      <alignment vertical="center"/>
    </xf>
    <xf numFmtId="0" fontId="12" fillId="0" borderId="2" applyAlignment="1" pivotButton="0" quotePrefix="0" xfId="0">
      <alignment vertical="center"/>
    </xf>
    <xf numFmtId="0" fontId="13" fillId="0" borderId="2" applyAlignment="1" pivotButton="0" quotePrefix="0" xfId="0">
      <alignment vertical="center"/>
    </xf>
    <xf numFmtId="0" fontId="14" fillId="2" borderId="0" applyAlignment="1" pivotButton="0" quotePrefix="0" xfId="0">
      <alignment horizontal="left" vertical="center"/>
    </xf>
    <xf numFmtId="0" fontId="8" fillId="0" borderId="2" applyAlignment="1" pivotButton="0" quotePrefix="0" xfId="0">
      <alignment horizontal="left" vertical="center" wrapText="1"/>
    </xf>
    <xf numFmtId="0" fontId="9" fillId="2" borderId="2" applyAlignment="1" pivotButton="0" quotePrefix="0" xfId="0">
      <alignment horizontal="center" vertical="center"/>
    </xf>
    <xf numFmtId="0" fontId="15" fillId="0" borderId="0" applyAlignment="1" pivotButton="0" quotePrefix="0" xfId="0">
      <alignment vertical="center"/>
    </xf>
    <xf numFmtId="0" fontId="15" fillId="0" borderId="2" applyAlignment="1" pivotButton="0" quotePrefix="0" xfId="0">
      <alignment vertical="center"/>
    </xf>
    <xf numFmtId="0" fontId="16" fillId="0" borderId="2" applyAlignment="1" pivotButton="0" quotePrefix="0" xfId="0">
      <alignment vertical="center"/>
    </xf>
    <xf numFmtId="0" fontId="16" fillId="0" borderId="2" applyAlignment="1" pivotButton="0" quotePrefix="0" xfId="0">
      <alignment vertical="center" wrapText="1"/>
    </xf>
    <xf numFmtId="0" fontId="16" fillId="0" borderId="2" applyAlignment="1" pivotButton="0" quotePrefix="0" xfId="0">
      <alignment horizontal="center" vertical="center"/>
    </xf>
    <xf numFmtId="0" fontId="16" fillId="0" borderId="0" applyAlignment="1" pivotButton="0" quotePrefix="0" xfId="0">
      <alignment vertical="center"/>
    </xf>
    <xf numFmtId="0" fontId="8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 wrapText="1"/>
    </xf>
    <xf numFmtId="0" fontId="8" fillId="0" borderId="4" applyAlignment="1" pivotButton="0" quotePrefix="0" xfId="0">
      <alignment vertical="center" wrapText="1"/>
    </xf>
    <xf numFmtId="0" fontId="8" fillId="0" borderId="4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 wrapText="1"/>
    </xf>
    <xf numFmtId="0" fontId="8" fillId="0" borderId="0" applyAlignment="1" pivotButton="0" quotePrefix="0" xfId="0">
      <alignment vertical="center"/>
    </xf>
    <xf numFmtId="0" fontId="9" fillId="2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center" vertical="center"/>
    </xf>
    <xf numFmtId="0" fontId="18" fillId="0" borderId="2" applyAlignment="1" pivotButton="0" quotePrefix="0" xfId="0">
      <alignment horizontal="left" vertical="center"/>
    </xf>
    <xf numFmtId="0" fontId="18" fillId="2" borderId="2" applyAlignment="1" pivotButton="0" quotePrefix="0" xfId="0">
      <alignment horizontal="left" vertical="center"/>
    </xf>
    <xf numFmtId="0" fontId="17" fillId="0" borderId="2" applyAlignment="1" pivotButton="0" quotePrefix="0" xfId="0">
      <alignment vertical="center"/>
    </xf>
    <xf numFmtId="0" fontId="17" fillId="0" borderId="2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0" fontId="19" fillId="2" borderId="2" applyAlignment="1" pivotButton="0" quotePrefix="0" xfId="0">
      <alignment horizontal="left" vertical="center"/>
    </xf>
    <xf numFmtId="0" fontId="20" fillId="2" borderId="2" applyAlignment="1" pivotButton="0" quotePrefix="0" xfId="0">
      <alignment horizontal="left" vertical="center"/>
    </xf>
    <xf numFmtId="0" fontId="21" fillId="2" borderId="2" applyAlignment="1" pivotButton="0" quotePrefix="0" xfId="0">
      <alignment horizontal="left" vertical="center"/>
    </xf>
    <xf numFmtId="0" fontId="14" fillId="2" borderId="2" applyAlignment="1" pivotButton="0" quotePrefix="0" xfId="0">
      <alignment horizontal="left" vertical="center"/>
    </xf>
    <xf numFmtId="0" fontId="22" fillId="2" borderId="2" applyAlignment="1" pivotButton="0" quotePrefix="0" xfId="0">
      <alignment horizontal="left" vertical="center"/>
    </xf>
    <xf numFmtId="0" fontId="23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horizontal="left" vertical="center"/>
    </xf>
    <xf numFmtId="0" fontId="24" fillId="0" borderId="0" applyAlignment="1" pivotButton="0" quotePrefix="0" xfId="0">
      <alignment vertical="center"/>
    </xf>
    <xf numFmtId="0" fontId="24" fillId="3" borderId="2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24" fillId="5" borderId="2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7" borderId="2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9" fillId="2" borderId="2" applyAlignment="1" pivotButton="0" quotePrefix="0" xfId="0">
      <alignment vertical="center" wrapText="1"/>
    </xf>
    <xf numFmtId="0" fontId="3" fillId="9" borderId="2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 wrapText="1"/>
    </xf>
    <xf numFmtId="0" fontId="8" fillId="9" borderId="2" applyAlignment="1" pivotButton="0" quotePrefix="0" xfId="0">
      <alignment vertical="center" wrapText="1"/>
    </xf>
    <xf numFmtId="0" fontId="18" fillId="9" borderId="2" applyAlignment="1" pivotButton="0" quotePrefix="0" xfId="0">
      <alignment horizontal="left" vertical="center"/>
    </xf>
    <xf numFmtId="0" fontId="8" fillId="2" borderId="2" applyAlignment="1" pivotButton="0" quotePrefix="0" xfId="0">
      <alignment vertical="center" wrapText="1"/>
    </xf>
    <xf numFmtId="0" fontId="25" fillId="0" borderId="0" applyAlignment="1" pivotButton="0" quotePrefix="0" xfId="0">
      <alignment vertical="center"/>
    </xf>
    <xf numFmtId="0" fontId="9" fillId="9" borderId="2" applyAlignment="1" pivotButton="0" quotePrefix="0" xfId="0">
      <alignment horizontal="left" vertical="center"/>
    </xf>
    <xf numFmtId="0" fontId="9" fillId="9" borderId="0" applyAlignment="1" pivotButton="0" quotePrefix="0" xfId="0">
      <alignment horizontal="left" vertical="center"/>
    </xf>
    <xf numFmtId="0" fontId="3" fillId="0" borderId="4" applyAlignment="1" pivotButton="0" quotePrefix="0" xfId="0">
      <alignment horizontal="center" vertical="center"/>
    </xf>
    <xf numFmtId="0" fontId="9" fillId="0" borderId="2" applyAlignment="1" pivotButton="0" quotePrefix="0" xfId="0">
      <alignment vertical="center" wrapText="1"/>
    </xf>
    <xf numFmtId="0" fontId="26" fillId="0" borderId="2" applyAlignment="1" pivotButton="0" quotePrefix="0" xfId="0">
      <alignment vertical="center" wrapText="1"/>
    </xf>
    <xf numFmtId="0" fontId="27" fillId="2" borderId="2" applyAlignment="1" pivotButton="0" quotePrefix="0" xfId="0">
      <alignment vertical="center"/>
    </xf>
    <xf numFmtId="0" fontId="9" fillId="0" borderId="2" applyAlignment="1" pivotButton="0" quotePrefix="0" xfId="0">
      <alignment vertical="center"/>
    </xf>
    <xf numFmtId="0" fontId="9" fillId="2" borderId="2" applyAlignment="1" pivotButton="0" quotePrefix="0" xfId="0">
      <alignment vertical="center"/>
    </xf>
    <xf numFmtId="0" fontId="3" fillId="9" borderId="4" applyAlignment="1" pivotButton="0" quotePrefix="0" xfId="0">
      <alignment horizontal="center" vertical="center"/>
    </xf>
    <xf numFmtId="0" fontId="9" fillId="9" borderId="2" applyAlignment="1" pivotButton="0" quotePrefix="0" xfId="0">
      <alignment vertical="center"/>
    </xf>
    <xf numFmtId="0" fontId="3" fillId="9" borderId="2" applyAlignment="1" pivotButton="0" quotePrefix="0" xfId="0">
      <alignment vertical="center"/>
    </xf>
    <xf numFmtId="0" fontId="26" fillId="9" borderId="2" applyAlignment="1" pivotButton="0" quotePrefix="0" xfId="0">
      <alignment vertical="center" wrapText="1"/>
    </xf>
    <xf numFmtId="0" fontId="17" fillId="9" borderId="2" applyAlignment="1" pivotButton="0" quotePrefix="0" xfId="0">
      <alignment vertical="center"/>
    </xf>
    <xf numFmtId="0" fontId="0" fillId="9" borderId="2" applyAlignment="1" pivotButton="0" quotePrefix="0" xfId="0">
      <alignment vertical="center"/>
    </xf>
    <xf numFmtId="0" fontId="9" fillId="9" borderId="3" applyAlignment="1" pivotButton="0" quotePrefix="0" xfId="0">
      <alignment vertical="center" wrapText="1"/>
    </xf>
    <xf numFmtId="0" fontId="15" fillId="9" borderId="2" applyAlignment="1" pivotButton="0" quotePrefix="0" xfId="0">
      <alignment vertical="center"/>
    </xf>
    <xf numFmtId="0" fontId="8" fillId="9" borderId="4" applyAlignment="1" pivotButton="0" quotePrefix="0" xfId="0">
      <alignment vertical="center" wrapText="1"/>
    </xf>
    <xf numFmtId="0" fontId="9" fillId="0" borderId="5" applyAlignment="1" pivotButton="0" quotePrefix="0" xfId="0">
      <alignment vertical="center" wrapText="1"/>
    </xf>
    <xf numFmtId="0" fontId="26" fillId="0" borderId="6" applyAlignment="1" pivotButton="0" quotePrefix="0" xfId="0">
      <alignment vertical="center" wrapText="1"/>
    </xf>
    <xf numFmtId="0" fontId="26" fillId="0" borderId="4" applyAlignment="1" pivotButton="0" quotePrefix="0" xfId="0">
      <alignment vertical="center" wrapText="1"/>
    </xf>
    <xf numFmtId="0" fontId="26" fillId="0" borderId="5" applyAlignment="1" pivotButton="0" quotePrefix="0" xfId="0">
      <alignment vertical="center" wrapText="1"/>
    </xf>
    <xf numFmtId="0" fontId="15" fillId="0" borderId="2" applyAlignment="1" pivotButton="0" quotePrefix="0" xfId="0">
      <alignment vertical="center" wrapText="1"/>
    </xf>
    <xf numFmtId="0" fontId="9" fillId="9" borderId="5" applyAlignment="1" pivotButton="0" quotePrefix="0" xfId="0">
      <alignment vertical="center"/>
    </xf>
    <xf numFmtId="0" fontId="26" fillId="9" borderId="6" applyAlignment="1" pivotButton="0" quotePrefix="0" xfId="0">
      <alignment vertical="center" wrapText="1"/>
    </xf>
    <xf numFmtId="0" fontId="26" fillId="9" borderId="7" applyAlignment="1" pivotButton="0" quotePrefix="0" xfId="0">
      <alignment vertical="center" wrapText="1"/>
    </xf>
    <xf numFmtId="0" fontId="9" fillId="9" borderId="5" applyAlignment="1" pivotButton="0" quotePrefix="0" xfId="0">
      <alignment vertical="center" wrapText="1"/>
    </xf>
    <xf numFmtId="0" fontId="26" fillId="9" borderId="3" applyAlignment="1" pivotButton="0" quotePrefix="0" xfId="0">
      <alignment vertical="center" wrapText="1"/>
    </xf>
    <xf numFmtId="0" fontId="26" fillId="9" borderId="5" applyAlignment="1" pivotButton="0" quotePrefix="0" xfId="0">
      <alignment vertical="center" wrapText="1"/>
    </xf>
    <xf numFmtId="0" fontId="15" fillId="9" borderId="2" applyAlignment="1" pivotButton="0" quotePrefix="0" xfId="0">
      <alignment vertical="center" wrapText="1"/>
    </xf>
    <xf numFmtId="0" fontId="26" fillId="0" borderId="3" applyAlignment="1" pivotButton="0" quotePrefix="0" xfId="0">
      <alignment vertical="center" wrapText="1"/>
    </xf>
    <xf numFmtId="0" fontId="15" fillId="9" borderId="5" applyAlignment="1" pivotButton="0" quotePrefix="0" xfId="0">
      <alignment vertical="center" wrapText="1"/>
    </xf>
    <xf numFmtId="0" fontId="0" fillId="9" borderId="5" applyAlignment="1" pivotButton="0" quotePrefix="0" xfId="0">
      <alignment vertical="center" wrapText="1"/>
    </xf>
    <xf numFmtId="0" fontId="9" fillId="9" borderId="5" applyAlignment="1" pivotButton="0" quotePrefix="0" xfId="0">
      <alignment horizontal="left" vertical="center" wrapText="1"/>
    </xf>
    <xf numFmtId="0" fontId="9" fillId="9" borderId="6" applyAlignment="1" pivotButton="0" quotePrefix="0" xfId="0">
      <alignment vertical="center" wrapText="1"/>
    </xf>
    <xf numFmtId="0" fontId="0" fillId="9" borderId="2" applyAlignment="1" pivotButton="0" quotePrefix="0" xfId="0">
      <alignment vertical="center" wrapText="1"/>
    </xf>
    <xf numFmtId="0" fontId="0" fillId="0" borderId="5" applyAlignment="1" pivotButton="0" quotePrefix="0" xfId="0">
      <alignment vertical="center" wrapText="1"/>
    </xf>
    <xf numFmtId="0" fontId="9" fillId="0" borderId="5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vertical="center" wrapText="1"/>
    </xf>
    <xf numFmtId="0" fontId="9" fillId="0" borderId="4" applyAlignment="1" pivotButton="0" quotePrefix="0" xfId="0">
      <alignment vertical="center" wrapText="1"/>
    </xf>
    <xf numFmtId="0" fontId="3" fillId="10" borderId="4" applyAlignment="1" pivotButton="0" quotePrefix="0" xfId="0">
      <alignment horizontal="center" vertical="center"/>
    </xf>
    <xf numFmtId="0" fontId="9" fillId="10" borderId="2" applyAlignment="1" pivotButton="0" quotePrefix="0" xfId="0">
      <alignment vertical="center"/>
    </xf>
    <xf numFmtId="0" fontId="3" fillId="10" borderId="2" applyAlignment="1" pivotButton="0" quotePrefix="0" xfId="0">
      <alignment vertical="center"/>
    </xf>
    <xf numFmtId="0" fontId="8" fillId="10" borderId="2" applyAlignment="1" pivotButton="0" quotePrefix="0" xfId="0">
      <alignment vertical="center" wrapText="1"/>
    </xf>
    <xf numFmtId="0" fontId="0" fillId="10" borderId="2" applyAlignment="1" pivotButton="0" quotePrefix="0" xfId="0">
      <alignment vertical="center" wrapText="1"/>
    </xf>
    <xf numFmtId="0" fontId="9" fillId="10" borderId="2" applyAlignment="1" pivotButton="0" quotePrefix="0" xfId="0">
      <alignment vertical="center" wrapText="1"/>
    </xf>
    <xf numFmtId="0" fontId="3" fillId="10" borderId="2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29" fillId="3" borderId="2" applyAlignment="1" pivotButton="0" quotePrefix="0" xfId="0">
      <alignment horizontal="center" vertical="center" wrapText="1"/>
    </xf>
    <xf numFmtId="0" fontId="0" fillId="0" borderId="0" pivotButton="0" quotePrefix="0" xfId="0"/>
    <xf numFmtId="0" fontId="29" fillId="4" borderId="2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31" fillId="0" borderId="2" applyAlignment="1" pivotButton="0" quotePrefix="0" xfId="0">
      <alignment vertical="center"/>
    </xf>
    <xf numFmtId="0" fontId="34" fillId="0" borderId="2" applyAlignment="1" pivotButton="0" quotePrefix="0" xfId="0">
      <alignment vertical="center"/>
    </xf>
    <xf numFmtId="0" fontId="35" fillId="0" borderId="2" applyAlignment="1" pivotButton="0" quotePrefix="0" xfId="0">
      <alignment vertical="center"/>
    </xf>
  </cellXfs>
  <cellStyles count="1">
    <cellStyle name="표준" xfId="0" builtinId="0"/>
  </cellStyles>
  <dxfs count="2">
    <dxf>
      <fill>
        <patternFill patternType="solid">
          <fgColor rgb="FFD9EAD3"/>
          <bgColor rgb="FFD9EAD3"/>
        </patternFill>
      </fill>
    </dxf>
    <dxf>
      <fill>
        <patternFill patternType="solid">
          <fgColor rgb="FFD9EAD3"/>
          <bgColor rgb="FF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rPr b="0">
                <a:solidFill>
                  <a:srgbClr val="000000"/>
                </a:solidFill>
                <a:latin typeface="Roboto"/>
              </a:rPr>
              <a:t>연도별 독서량</a:t>
            </a:r>
          </a:p>
        </rich>
      </tx>
      <overlay val="0"/>
    </title>
    <plotArea>
      <layout/>
      <barChart>
        <barDir val="col"/>
        <grouping val="clustered"/>
        <varyColors val="1"/>
        <ser>
          <idx val="0"/>
          <order val="0"/>
          <tx>
            <strRef>
              <f>통계!$C$2</f>
              <strCache>
                <ptCount val="1"/>
                <pt idx="0">
                  <v>대현</v>
                </pt>
              </strCache>
            </strRef>
          </tx>
          <spPr>
            <a:solidFill xmlns:a="http://schemas.openxmlformats.org/drawingml/2006/main">
              <a:srgbClr val="4285F4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통계!$C$3:$C$20</f>
              <numCache>
                <formatCode>General</formatCode>
                <ptCount val="18"/>
                <pt idx="0">
                  <v>0</v>
                </pt>
                <pt idx="1">
                  <v>41</v>
                </pt>
                <pt idx="2">
                  <v>55</v>
                </pt>
                <pt idx="3">
                  <v>53</v>
                </pt>
                <pt idx="4">
                  <v>43</v>
                </pt>
                <pt idx="5">
                  <v>33</v>
                </pt>
                <pt idx="6">
                  <v>41</v>
                </pt>
                <pt idx="7">
                  <v>30</v>
                </pt>
                <pt idx="8">
                  <v>25</v>
                </pt>
                <pt idx="9">
                  <v>43</v>
                </pt>
                <pt idx="10">
                  <v>10</v>
                </pt>
                <pt idx="11">
                  <v>11</v>
                </pt>
                <pt idx="12">
                  <v>15</v>
                </pt>
                <pt idx="13">
                  <v>17</v>
                </pt>
                <pt idx="14">
                  <v>32</v>
                </pt>
                <pt idx="15">
                  <v>30</v>
                </pt>
                <pt idx="16">
                  <v>26</v>
                </pt>
                <pt idx="17">
                  <v>12</v>
                </pt>
              </numCache>
            </numRef>
          </val>
        </ser>
        <ser>
          <idx val="1"/>
          <order val="1"/>
          <tx>
            <strRef>
              <f>통계!$D$2</f>
              <strCache>
                <ptCount val="1"/>
                <pt idx="0">
                  <v>문선</v>
                </pt>
              </strCache>
            </strRef>
          </tx>
          <spPr>
            <a:solidFill xmlns:a="http://schemas.openxmlformats.org/drawingml/2006/main">
              <a:srgbClr val="DB4437"/>
            </a:solidFill>
            <a:ln xmlns:a="http://schemas.openxmlformats.org/drawingml/2006/main" cmpd="sng">
              <a:solidFill>
                <a:srgbClr val="000000"/>
              </a:solidFill>
              <a:prstDash val="solid"/>
            </a:ln>
          </spPr>
          <invertIfNegative val="1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/>
                </a:pPr>
                <a:r>
                  <a:t>None</a:t>
                </a:r>
                <a:endParaRPr lang="ko-KR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통계!$B$3:$B$20</f>
              <strCache>
                <ptCount val="18"/>
                <pt idx="0">
                  <v>연도불명</v>
                </pt>
                <pt idx="1">
                  <v>2010</v>
                </pt>
                <pt idx="2">
                  <v>2011</v>
                </pt>
                <pt idx="3">
                  <v>2012</v>
                </pt>
                <pt idx="4">
                  <v>2013</v>
                </pt>
                <pt idx="5">
                  <v>2014</v>
                </pt>
                <pt idx="6">
                  <v>2015</v>
                </pt>
                <pt idx="7">
                  <v>2016</v>
                </pt>
                <pt idx="8">
                  <v>2017</v>
                </pt>
                <pt idx="9">
                  <v>2018</v>
                </pt>
                <pt idx="10">
                  <v>2019</v>
                </pt>
                <pt idx="11">
                  <v>2020</v>
                </pt>
                <pt idx="12">
                  <v>2021</v>
                </pt>
                <pt idx="13">
                  <v>2022</v>
                </pt>
                <pt idx="14">
                  <v>2023</v>
                </pt>
                <pt idx="15">
                  <v>2024</v>
                </pt>
                <pt idx="16">
                  <v>2025</v>
                </pt>
                <pt idx="17">
                  <v>2026</v>
                </pt>
              </strCache>
            </strRef>
          </cat>
          <val>
            <numRef>
              <f>통계!$D$3:$D$20</f>
              <numCache>
                <formatCode>General</formatCode>
                <ptCount val="18"/>
                <pt idx="0">
                  <v>76</v>
                </pt>
                <pt idx="1">
                  <v>47</v>
                </pt>
                <pt idx="2">
                  <v>49</v>
                </pt>
                <pt idx="3">
                  <v>57</v>
                </pt>
                <pt idx="4">
                  <v>34</v>
                </pt>
                <pt idx="5">
                  <v>29</v>
                </pt>
                <pt idx="6">
                  <v>30</v>
                </pt>
                <pt idx="7">
                  <v>19</v>
                </pt>
                <pt idx="8">
                  <v>24</v>
                </pt>
                <pt idx="9">
                  <v>34</v>
                </pt>
                <pt idx="10">
                  <v>4</v>
                </pt>
                <pt idx="11">
                  <v>17</v>
                </pt>
                <pt idx="12">
                  <v>14</v>
                </pt>
                <pt idx="13">
                  <v>10</v>
                </pt>
                <pt idx="14">
                  <v>26</v>
                </pt>
                <pt idx="15">
                  <v>31</v>
                </pt>
                <pt idx="16">
                  <v>20</v>
                </pt>
                <pt idx="17">
                  <v>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16505911"/>
        <axId val="1524520437"/>
      </barChart>
      <catAx>
        <axId val="116505911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rPr b="0">
                    <a:solidFill>
                      <a:srgbClr val="000000"/>
                    </a:solidFill>
                    <a:latin typeface="Roboto"/>
                  </a:rPr>
                  <a:t>Year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txPr>
          <a:bodyPr xmlns:a="http://schemas.openxmlformats.org/drawingml/2006/main" rot="-3600000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524520437"/>
        <crosses val="autoZero"/>
        <auto val="1"/>
        <lblAlgn val="ctr"/>
        <lblOffset val="100"/>
        <noMultiLvlLbl val="1"/>
      </catAx>
      <valAx>
        <axId val="1524520437"/>
        <scaling>
          <orientation val="minMax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Roboto"/>
                  </a:defRPr>
                </a:pPr>
                <a: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b="0">
                <a:solidFill>
                  <a:srgbClr val="000000"/>
                </a:solidFill>
                <a:latin typeface="Roboto"/>
              </a:defRPr>
            </a:pPr>
            <a:r>
              <a:t>None</a:t>
            </a:r>
            <a:endParaRPr lang="ko-KR"/>
          </a:p>
        </txPr>
        <crossAx val="116505911"/>
        <crosses val="autoZero"/>
        <crossBetween val="between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000000"/>
              </a:solidFill>
              <a:latin typeface="Roboto"/>
            </a:defRPr>
          </a:pPr>
          <a:r>
            <a:t>None</a:t>
          </a:r>
          <a:endParaRPr lang="ko-KR"/>
        </a:p>
      </txPr>
    </legend>
    <plotVisOnly val="1"/>
    <dispBlanksAs val="zero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133350</colOff>
      <row>0</row>
      <rowOff>180975</rowOff>
    </from>
    <ext cx="7343775" cy="437197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5116614%3Ftimestamp%3D20260401115732" TargetMode="External" Id="rId1"/><Relationship Type="http://schemas.openxmlformats.org/officeDocument/2006/relationships/hyperlink" Target="https://search1.kakaocdn.net/thumb/R120x174.q85/?fname=http%3A%2F%2Ft1.daumcdn.net%2Flbook%2Fimage%2F5116541%3Ftimestamp%3D20260225130958" TargetMode="External" Id="rId2"/><Relationship Type="http://schemas.openxmlformats.org/officeDocument/2006/relationships/hyperlink" Target="https://search1.kakaocdn.net/thumb/R120x174.q85/?fname=http%3A%2F%2Ft1.daumcdn.net%2Flbook%2Fimage%2F6700452%3Ftimestamp%3D20251128151643" TargetMode="External" Id="rId3"/><Relationship Type="http://schemas.openxmlformats.org/officeDocument/2006/relationships/hyperlink" Target="https://search1.kakaocdn.net/thumb/R120x174.q85/?fname=http%3A%2F%2Ft1.daumcdn.net%2Flbook%2Fimage%2F6821031%3Ftimestamp%3D20260327125531" TargetMode="External" Id="rId4"/><Relationship Type="http://schemas.openxmlformats.org/officeDocument/2006/relationships/hyperlink" Target="https://search1.kakaocdn.net/thumb/R120x174.q85/?fname=http%3A%2F%2Ft1.daumcdn.net%2Flbook%2Fimage%2F1500252%3Ftimestamp%3D20260109111005" TargetMode="External" Id="rId5"/><Relationship Type="http://schemas.openxmlformats.org/officeDocument/2006/relationships/hyperlink" Target="https://search1.kakaocdn.net/thumb/R120x174.q85/?fname=http%3A%2F%2Ft1.daumcdn.net%2Flbook%2Fimage%2F7139629%3Ftimestamp%3D20260321123846" TargetMode="External" Id="rId6"/><Relationship Type="http://schemas.openxmlformats.org/officeDocument/2006/relationships/hyperlink" Target="https://search1.kakaocdn.net/thumb/R120x174.q85/?fname=http%3A%2F%2Ft1.daumcdn.net%2Flbook%2Fimage%2F5820803%3Ftimestamp%3D20260401123023" TargetMode="External" Id="rId7"/><Relationship Type="http://schemas.openxmlformats.org/officeDocument/2006/relationships/hyperlink" Target="https://search1.kakaocdn.net/thumb/R120x174.q85/?fname=http%3A%2F%2Ft1.daumcdn.net%2Flbook%2Fimage%2F7171253%3Ftimestamp%3D20260313130241" TargetMode="External" Id="rId8"/><Relationship Type="http://schemas.openxmlformats.org/officeDocument/2006/relationships/hyperlink" Target="https://search1.kakaocdn.net/thumb/R120x174.q85/?fname=http%3A%2F%2Ft1.daumcdn.net%2Flbook%2Fimage%2F7071530%3Ftimestamp%3D20260305151548" TargetMode="External" Id="rId9"/><Relationship Type="http://schemas.openxmlformats.org/officeDocument/2006/relationships/hyperlink" Target="https://search1.kakaocdn.net/thumb/R120x174.q85/?fname=http%3A%2F%2Ft1.daumcdn.net%2Flbook%2Fimage%2F6934321%3Ftimestamp%3D20260206151033" TargetMode="External" Id="rId10"/><Relationship Type="http://schemas.openxmlformats.org/officeDocument/2006/relationships/hyperlink" Target="https://search1.kakaocdn.net/thumb/R120x174.q85/?fname=http%3A%2F%2Ft1.daumcdn.net%2Flbook%2Fimage%2F6942029%3Ftimestamp%3D20260205150947" TargetMode="External" Id="rId11"/><Relationship Type="http://schemas.openxmlformats.org/officeDocument/2006/relationships/hyperlink" Target="https://search1.kakaocdn.net/thumb/R120x174.q85/?fname=http%3A%2F%2Ft1.daumcdn.net%2Flbook%2Fimage%2F6740924%3Ftimestamp%3D20260113152340" TargetMode="External" Id="rId12"/><Relationship Type="http://schemas.openxmlformats.org/officeDocument/2006/relationships/hyperlink" Target="https://search1.kakaocdn.net/thumb/R120x174.q85/?fname=http%3A%2F%2Ft1.daumcdn.net%2Flbook%2Fimage%2F5912160%3Ftimestamp%3D20260326125642" TargetMode="External" Id="rId13"/><Relationship Type="http://schemas.openxmlformats.org/officeDocument/2006/relationships/hyperlink" Target="https://search1.kakaocdn.net/thumb/R120x174.q85/?fname=http%3A%2F%2Ft1.daumcdn.net%2Flbook%2Fimage%2F6328209%3Ftimestamp%3D20250903141642" TargetMode="External" Id="rId14"/><Relationship Type="http://schemas.openxmlformats.org/officeDocument/2006/relationships/hyperlink" Target="https://search1.kakaocdn.net/thumb/R120x174.q85/?fname=http%3A%2F%2Ft1.daumcdn.net%2Flbook%2Fimage%2F6150269%3Ftimestamp%3D20260409123903" TargetMode="External" Id="rId15"/><Relationship Type="http://schemas.openxmlformats.org/officeDocument/2006/relationships/hyperlink" Target="https://search1.kakaocdn.net/thumb/R120x174.q85/?fname=http%3A%2F%2Ft1.daumcdn.net%2Flbook%2Fimage%2F6127558%3Ftimestamp%3D20260112150219" TargetMode="External" Id="rId16"/><Relationship Type="http://schemas.openxmlformats.org/officeDocument/2006/relationships/hyperlink" Target="https://search1.kakaocdn.net/thumb/R120x174.q85/?fname=http%3A%2F%2Ft1.daumcdn.net%2Flbook%2Fimage%2F6579893%3Ftimestamp%3D20240912080703" TargetMode="External" Id="rId17"/><Relationship Type="http://schemas.openxmlformats.org/officeDocument/2006/relationships/hyperlink" Target="https://search1.kakaocdn.net/thumb/R120x174.q85/?fname=http%3A%2F%2Ft1.daumcdn.net%2Flbook%2Fimage%2F1366024%3Ftimestamp%3D20250906110345" TargetMode="External" Id="rId18"/><Relationship Type="http://schemas.openxmlformats.org/officeDocument/2006/relationships/hyperlink" Target="https://search1.kakaocdn.net/thumb/R120x174.q85/?fname=http%3A%2F%2Ft1.daumcdn.net%2Flbook%2Fimage%2F5551075%3Ftimestamp%3D20260127142624" TargetMode="External" Id="rId19"/><Relationship Type="http://schemas.openxmlformats.org/officeDocument/2006/relationships/hyperlink" Target="https://search1.kakaocdn.net/thumb/R120x174.q85/?fname=http%3A%2F%2Ft1.daumcdn.net%2Flbook%2Fimage%2F7014087%3Ftimestamp%3D20251213150435" TargetMode="External" Id="rId20"/><Relationship Type="http://schemas.openxmlformats.org/officeDocument/2006/relationships/hyperlink" Target="https://search1.kakaocdn.net/thumb/R120x174.q85/?fname=http%3A%2F%2Ft1.daumcdn.net%2Flbook%2Fimage%2F6851843%3Ftimestamp%3D20260227121526" TargetMode="External" Id="rId21"/><Relationship Type="http://schemas.openxmlformats.org/officeDocument/2006/relationships/hyperlink" Target="https://search1.kakaocdn.net/thumb/R120x174.q85/?fname=http%3A%2F%2Ft1.daumcdn.net%2Flbook%2Fimage%2F5431170%3Ftimestamp%3D20251112142444" TargetMode="External" Id="rId22"/><Relationship Type="http://schemas.openxmlformats.org/officeDocument/2006/relationships/hyperlink" Target="https://search1.kakaocdn.net/thumb/R120x174.q85/?fname=http%3A%2F%2Ft1.daumcdn.net%2Flbook%2Fimage%2F6967276%3Ftimestamp%3D20260326131404" TargetMode="External" Id="rId23"/><Relationship Type="http://schemas.openxmlformats.org/officeDocument/2006/relationships/hyperlink" Target="https://search1.kakaocdn.net/thumb/R120x174.q85/?fname=http%3A%2F%2Ft1.daumcdn.net%2Flbook%2Fimage%2F4966995%3Ftimestamp%3D20260307114601" TargetMode="External" Id="rId24"/><Relationship Type="http://schemas.openxmlformats.org/officeDocument/2006/relationships/hyperlink" Target="https://search1.kakaocdn.net/thumb/R120x174.q85/?fname=http%3A%2F%2Ft1.daumcdn.net%2Flbook%2Fimage%2F6708295%3Ftimestamp%3D20251001141216" TargetMode="External" Id="rId25"/><Relationship Type="http://schemas.openxmlformats.org/officeDocument/2006/relationships/hyperlink" Target="https://search1.kakaocdn.net/thumb/R120x174.q85/?fname=http%3A%2F%2Ft1.daumcdn.net%2Flbook%2Fimage%2F495264%3Ftimestamp%3D20260404110623" TargetMode="External" Id="rId26"/><Relationship Type="http://schemas.openxmlformats.org/officeDocument/2006/relationships/hyperlink" Target="https://search1.kakaocdn.net/thumb/R120x174.q85/?fname=http%3A%2F%2Ft1.daumcdn.net%2Flbook%2Fimage%2F1407647%3Ftimestamp%3D20250427115511" TargetMode="External" Id="rId27"/><Relationship Type="http://schemas.openxmlformats.org/officeDocument/2006/relationships/hyperlink" Target="https://search1.kakaocdn.net/thumb/R120x174.q85/?fname=http%3A%2F%2Ft1.daumcdn.net%2Flbook%2Fimage%2F6732902%3Ftimestamp%3D20251108151633" TargetMode="External" Id="rId28"/><Relationship Type="http://schemas.openxmlformats.org/officeDocument/2006/relationships/hyperlink" Target="https://search1.kakaocdn.net/thumb/R120x174.q85/?fname=http%3A%2F%2Ft1.daumcdn.net%2Flbook%2Fimage%2F5625726%3Ftimestamp%3D20260325144245" TargetMode="External" Id="rId29"/><Relationship Type="http://schemas.openxmlformats.org/officeDocument/2006/relationships/hyperlink" Target="https://search1.kakaocdn.net/thumb/R120x174.q85/?fname=http%3A%2F%2Ft1.daumcdn.net%2Flbook%2Fimage%2F6771460%3Ftimestamp%3D20260115151435" TargetMode="External" Id="rId30"/><Relationship Type="http://schemas.openxmlformats.org/officeDocument/2006/relationships/hyperlink" Target="https://search1.kakaocdn.net/thumb/R120x174.q85/?fname=http%3A%2F%2Ft1.daumcdn.net%2Flbook%2Fimage%2F6336898%3Ftimestamp%3D20240416170234" TargetMode="External" Id="rId31"/><Relationship Type="http://schemas.openxmlformats.org/officeDocument/2006/relationships/hyperlink" Target="https://search1.kakaocdn.net/thumb/R120x174.q85/?fname=http%3A%2F%2Ft1.daumcdn.net%2Flbook%2Fimage%2F6719315%3Ftimestamp%3D20260411121612" TargetMode="External" Id="rId32"/><Relationship Type="http://schemas.openxmlformats.org/officeDocument/2006/relationships/hyperlink" Target="https://search1.kakaocdn.net/thumb/R120x174.q85/?fname=http%3A%2F%2Ft1.daumcdn.net%2Flbook%2Fimage%2F5851260%3Ftimestamp%3D20260410120656" TargetMode="External" Id="rId33"/><Relationship Type="http://schemas.openxmlformats.org/officeDocument/2006/relationships/hyperlink" Target="https://search1.kakaocdn.net/thumb/R120x174.q85/?fname=http%3A%2F%2Ft1.daumcdn.net%2Flbook%2Fimage%2F6776255%3Ftimestamp%3D20260403154120" TargetMode="External" Id="rId34"/><Relationship Type="http://schemas.openxmlformats.org/officeDocument/2006/relationships/hyperlink" Target="https://search1.kakaocdn.net/thumb/R120x174.q85/?fname=http%3A%2F%2Ft1.daumcdn.net%2Flbook%2Fimage%2F1639933%3Ftimestamp%3D20260310111023" TargetMode="External" Id="rId35"/><Relationship Type="http://schemas.openxmlformats.org/officeDocument/2006/relationships/hyperlink" Target="https://search1.kakaocdn.net/thumb/R120x174.q85/?fname=http%3A%2F%2Ft1.daumcdn.net%2Flbook%2Fimage%2F5816792%3Ftimestamp%3D20240803150618" TargetMode="External" Id="rId36"/><Relationship Type="http://schemas.openxmlformats.org/officeDocument/2006/relationships/hyperlink" Target="https://search1.kakaocdn.net/thumb/R120x174.q85/?fname=http%3A%2F%2Ft1.daumcdn.net%2Flbook%2Fimage%2F738968%3Ftimestamp%3D20260408111120" TargetMode="External" Id="rId37"/><Relationship Type="http://schemas.openxmlformats.org/officeDocument/2006/relationships/hyperlink" Target="https://search1.kakaocdn.net/thumb/R120x174.q85/?fname=http%3A%2F%2Ft1.daumcdn.net%2Flbook%2Fimage%2F6633286%3Ftimestamp%3D20250208153008" TargetMode="External" Id="rId38"/><Relationship Type="http://schemas.openxmlformats.org/officeDocument/2006/relationships/hyperlink" Target="https://search1.kakaocdn.net/thumb/R120x174.q85/?fname=http%3A%2F%2Ft1.daumcdn.net%2Flbook%2Fimage%2F6389509%3Ftimestamp%3D20251126161041" TargetMode="External" Id="rId39"/><Relationship Type="http://schemas.openxmlformats.org/officeDocument/2006/relationships/hyperlink" Target="https://search1.kakaocdn.net/thumb/R120x174.q85/?fname=http%3A%2F%2Ft1.daumcdn.net%2Flbook%2Fimage%2F6780061%3Ftimestamp%3D20251227150336" TargetMode="External" Id="rId40"/><Relationship Type="http://schemas.openxmlformats.org/officeDocument/2006/relationships/hyperlink" Target="https://search1.kakaocdn.net/thumb/R120x174.q85/?fname=http%3A%2F%2Ft1.daumcdn.net%2Flbook%2Fimage%2F690963%3Ftimestamp%3D20250328113738" TargetMode="External" Id="rId41"/><Relationship Type="http://schemas.openxmlformats.org/officeDocument/2006/relationships/hyperlink" Target="https://search1.kakaocdn.net/thumb/R120x174.q85/?fname=http%3A%2F%2Ft1.daumcdn.net%2Flbook%2Fimage%2F6773054%3Ftimestamp%3D20260113152333" TargetMode="External" Id="rId42"/><Relationship Type="http://schemas.openxmlformats.org/officeDocument/2006/relationships/hyperlink" Target="https://search1.kakaocdn.net/thumb/R120x174.q85/?fname=http%3A%2F%2Ft1.daumcdn.net%2Flbook%2Fimage%2F532683%3Ftimestamp%3D20260411110651" TargetMode="External" Id="rId43"/><Relationship Type="http://schemas.openxmlformats.org/officeDocument/2006/relationships/hyperlink" Target="https://search1.kakaocdn.net/thumb/R120x174.q85/?fname=http%3A%2F%2Ft1.daumcdn.net%2Flbook%2Fimage%2F5824679%3Ftimestamp%3D20251223144054" TargetMode="External" Id="rId44"/><Relationship Type="http://schemas.openxmlformats.org/officeDocument/2006/relationships/hyperlink" Target="https://search1.kakaocdn.net/thumb/R120x174.q85/?fname=http%3A%2F%2Ft1.daumcdn.net%2Flbook%2Fimage%2F6042324%3Ftimestamp%3D20260410121142" TargetMode="External" Id="rId45"/><Relationship Type="http://schemas.openxmlformats.org/officeDocument/2006/relationships/hyperlink" Target="https://search1.kakaocdn.net/thumb/R120x174.q85/?fname=http%3A%2F%2Ft1.daumcdn.net%2Flbook%2Fimage%2F6789372%3Ftimestamp%3D20260408153058" TargetMode="External" Id="rId46"/><Relationship Type="http://schemas.openxmlformats.org/officeDocument/2006/relationships/hyperlink" Target="https://search1.kakaocdn.net/thumb/R120x174.q85/?fname=http%3A%2F%2Ft1.daumcdn.net%2Flbook%2Fimage%2F540980%3Ftimestamp%3D20251209110751" TargetMode="External" Id="rId47"/><Relationship Type="http://schemas.openxmlformats.org/officeDocument/2006/relationships/hyperlink" Target="https://search1.kakaocdn.net/thumb/R120x174.q85/?fname=http%3A%2F%2Ft1.daumcdn.net%2Flbook%2Fimage%2F4861843%3Ftimestamp%3D20260411113249" TargetMode="External" Id="rId48"/><Relationship Type="http://schemas.openxmlformats.org/officeDocument/2006/relationships/hyperlink" Target="https://search1.kakaocdn.net/thumb/R120x174.q85/?fname=http%3A%2F%2Ft1.daumcdn.net%2Flbook%2Fimage%2F6608037" TargetMode="External" Id="rId49"/><Relationship Type="http://schemas.openxmlformats.org/officeDocument/2006/relationships/hyperlink" Target="https://search1.kakaocdn.net/thumb/R120x174.q85/?fname=http%3A%2F%2Ft1.daumcdn.net%2Flbook%2Fimage%2F6794436%3Ftimestamp%3D20250705145210" TargetMode="External" Id="rId50"/><Relationship Type="http://schemas.openxmlformats.org/officeDocument/2006/relationships/hyperlink" Target="https://search1.kakaocdn.net/thumb/R120x174.q85/?fname=http%3A%2F%2Ft1.daumcdn.net%2Flbook%2Fimage%2F6712998%3Ftimestamp%3D20241001160620" TargetMode="External" Id="rId51"/><Relationship Type="http://schemas.openxmlformats.org/officeDocument/2006/relationships/hyperlink" Target="https://search1.kakaocdn.net/thumb/R120x174.q85/?fname=http%3A%2F%2Ft1.daumcdn.net%2Flbook%2Fimage%2F6701645%3Ftimestamp%3D20250925141731" TargetMode="External" Id="rId52"/><Relationship Type="http://schemas.openxmlformats.org/officeDocument/2006/relationships/hyperlink" Target="https://search1.kakaocdn.net/thumb/R120x174.q85/?fname=http%3A%2F%2Ft1.daumcdn.net%2Flbook%2Fimage%2F6609777%3Ftimestamp%3D20251128151620" TargetMode="External" Id="rId53"/><Relationship Type="http://schemas.openxmlformats.org/officeDocument/2006/relationships/hyperlink" Target="https://search1.kakaocdn.net/thumb/R120x174.q85/?fname=http%3A%2F%2Ft1.daumcdn.net%2Flbook%2Fimage%2F6768791%3Ftimestamp%3D20251219151456" TargetMode="External" Id="rId54"/><Relationship Type="http://schemas.openxmlformats.org/officeDocument/2006/relationships/hyperlink" Target="https://search1.kakaocdn.net/thumb/R120x174.q85/?fname=http%3A%2F%2Ft1.daumcdn.net%2Flbook%2Fimage%2F6686287%3Ftimestamp%3D20250619150730" TargetMode="External" Id="rId55"/><Relationship Type="http://schemas.openxmlformats.org/officeDocument/2006/relationships/hyperlink" Target="https://search1.kakaocdn.net/thumb/R120x174.q85/?fname=http%3A%2F%2Ft1.daumcdn.net%2Flbook%2Fimage%2F774869%3Ftimestamp%3D20241009114714" TargetMode="External" Id="rId56"/><Relationship Type="http://schemas.openxmlformats.org/officeDocument/2006/relationships/hyperlink" Target="https://search1.kakaocdn.net/thumb/R120x174.q85/?fname=http%3A%2F%2Ft1.daumcdn.net%2Flbook%2Fimage%2F1122307%3Ftimestamp%3D20260301110633" TargetMode="External" Id="rId57"/><Relationship Type="http://schemas.openxmlformats.org/officeDocument/2006/relationships/hyperlink" Target="https://search1.kakaocdn.net/thumb/R120x174.q85/?fname=http%3A%2F%2Ft1.daumcdn.net%2Flbook%2Fimage%2F6620559%3Ftimestamp%3D20251016143450" TargetMode="External" Id="rId58"/><Relationship Type="http://schemas.openxmlformats.org/officeDocument/2006/relationships/hyperlink" Target="https://search1.kakaocdn.net/thumb/R120x174.q85/?fname=http%3A%2F%2Ft1.daumcdn.net%2Flbook%2Fimage%2F6631273%3Ftimestamp%3D20260310124831" TargetMode="External" Id="rId59"/><Relationship Type="http://schemas.openxmlformats.org/officeDocument/2006/relationships/hyperlink" Target="https://search1.kakaocdn.net/thumb/R120x174.q85/?fname=http%3A%2F%2Ft1.daumcdn.net%2Flbook%2Fimage%2F6617749%3Ftimestamp%3D20240806155521" TargetMode="External" Id="rId60"/><Relationship Type="http://schemas.openxmlformats.org/officeDocument/2006/relationships/hyperlink" Target="https://search1.kakaocdn.net/thumb/R120x174.q85/?fname=http%3A%2F%2Ft1.daumcdn.net%2Flbook%2Fimage%2F6317703%3Ftimestamp%3D20240512132428" TargetMode="External" Id="rId61"/><Relationship Type="http://schemas.openxmlformats.org/officeDocument/2006/relationships/hyperlink" Target="https://search1.kakaocdn.net/thumb/R120x174.q85/?fname=http%3A%2F%2Ft1.daumcdn.net%2Flbook%2Fimage%2F1555693%3Ftimestamp%3D20251025110345" TargetMode="External" Id="rId62"/><Relationship Type="http://schemas.openxmlformats.org/officeDocument/2006/relationships/hyperlink" Target="https://search1.kakaocdn.net/thumb/R120x174.q85/?fname=http%3A%2F%2Ft1.daumcdn.net%2Flbook%2Fimage%2F519290%3Ftimestamp%3D20250718110326" TargetMode="External" Id="rId63"/><Relationship Type="http://schemas.openxmlformats.org/officeDocument/2006/relationships/hyperlink" Target="https://search1.kakaocdn.net/thumb/R120x174.q85/?fname=http%3A%2F%2Ft1.daumcdn.net%2Flbook%2Fimage%2F1011270%3Ftimestamp%3D20251122110758" TargetMode="External" Id="rId64"/><Relationship Type="http://schemas.openxmlformats.org/officeDocument/2006/relationships/hyperlink" Target="https://search1.kakaocdn.net/thumb/R120x174.q85/?fname=http%3A%2F%2Ft1.daumcdn.net%2Flbook%2Fimage%2F5383127%3Ftimestamp%3D20260323120802" TargetMode="External" Id="rId65"/><Relationship Type="http://schemas.openxmlformats.org/officeDocument/2006/relationships/hyperlink" Target="https://search1.kakaocdn.net/thumb/R120x174.q85/?fname=http%3A%2F%2Ft1.daumcdn.net%2Flbook%2Fimage%2F5847708%3Ftimestamp%3D20251014135303" TargetMode="External" Id="rId66"/><Relationship Type="http://schemas.openxmlformats.org/officeDocument/2006/relationships/hyperlink" Target="https://search1.kakaocdn.net/thumb/R120x174.q85/?fname=http%3A%2F%2Ft1.daumcdn.net%2Flbook%2Fimage%2F521052%3Ftimestamp%3D20260325110855" TargetMode="External" Id="rId67"/><Relationship Type="http://schemas.openxmlformats.org/officeDocument/2006/relationships/hyperlink" Target="https://search1.kakaocdn.net/thumb/R120x174.q85/?fname=http%3A%2F%2Ft1.daumcdn.net%2Flbook%2Fimage%2F540365%3Ftimestamp%3D20250106113344" TargetMode="External" Id="rId68"/><Relationship Type="http://schemas.openxmlformats.org/officeDocument/2006/relationships/hyperlink" Target="https://search1.kakaocdn.net/thumb/R120x174.q85/?fname=http%3A%2F%2Ft1.daumcdn.net%2Flbook%2Fimage%2F1027553%3Ftimestamp%3D20260110110821" TargetMode="External" Id="rId69"/><Relationship Type="http://schemas.openxmlformats.org/officeDocument/2006/relationships/hyperlink" Target="https://search1.kakaocdn.net/thumb/R120x174.q85/?fname=http%3A%2F%2Ft1.daumcdn.net%2Flbook%2Fimage%2F7076947%3Ftimestamp%3D20251204151019" TargetMode="External" Id="rId70"/><Relationship Type="http://schemas.openxmlformats.org/officeDocument/2006/relationships/hyperlink" Target="https://search1.kakaocdn.net/thumb/R120x174.q85/?fname=http%3A%2F%2Ft1.daumcdn.net%2Flbook%2Fimage%2F6579425%3Ftimestamp%3D20240824161329" TargetMode="External" Id="rId71"/><Relationship Type="http://schemas.openxmlformats.org/officeDocument/2006/relationships/hyperlink" Target="https://search1.kakaocdn.net/thumb/R120x174.q85/?fname=http%3A%2F%2Ft1.daumcdn.net%2Flbook%2Fimage%2F1478013%3Ftimestamp%3D20251211110703" TargetMode="External" Id="rId72"/><Relationship Type="http://schemas.openxmlformats.org/officeDocument/2006/relationships/hyperlink" Target="https://search1.kakaocdn.net/thumb/R120x174.q85/?fname=http%3A%2F%2Ft1.daumcdn.net%2Flbook%2Fimage%2F790203%3Ftimestamp%3D20250829110242" TargetMode="External" Id="rId73"/><Relationship Type="http://schemas.openxmlformats.org/officeDocument/2006/relationships/hyperlink" Target="https://search1.kakaocdn.net/thumb/R120x174.q85/?fname=http%3A%2F%2Ft1.daumcdn.net%2Flbook%2Fimage%2F5440730%3Ftimestamp%3D20250605143339" TargetMode="External" Id="rId74"/><Relationship Type="http://schemas.openxmlformats.org/officeDocument/2006/relationships/hyperlink" Target="https://search1.kakaocdn.net/thumb/R120x174.q85/?fname=http%3A%2F%2Ft1.daumcdn.net%2Flbook%2Fimage%2F1486275%3Ftimestamp%3D20260411110726" TargetMode="External" Id="rId75"/><Relationship Type="http://schemas.openxmlformats.org/officeDocument/2006/relationships/hyperlink" Target="https://search1.kakaocdn.net/thumb/R120x174.q85/?fname=http%3A%2F%2Ft1.daumcdn.net%2Flbook%2Fimage%2F6442214%3Ftimestamp%3D20250130132753" TargetMode="External" Id="rId76"/><Relationship Type="http://schemas.openxmlformats.org/officeDocument/2006/relationships/hyperlink" Target="https://search1.kakaocdn.net/thumb/R120x174.q85/?fname=http%3A%2F%2Ft1.daumcdn.net%2Flbook%2Fimage%2F6426562%3Ftimestamp%3D20260314123144" TargetMode="External" Id="rId77"/><Relationship Type="http://schemas.openxmlformats.org/officeDocument/2006/relationships/hyperlink" Target="https://search1.kakaocdn.net/thumb/R120x174.q85/?fname=http%3A%2F%2Ft1.daumcdn.net%2Flbook%2Fimage%2F5127086%3Ftimestamp%3D20260116130954" TargetMode="External" Id="rId78"/><Relationship Type="http://schemas.openxmlformats.org/officeDocument/2006/relationships/hyperlink" Target="https://search1.kakaocdn.net/thumb/R120x174.q85/?fname=http%3A%2F%2Ft1.daumcdn.net%2Flbook%2Fimage%2F6292841%3Ftimestamp%3D20260305151322" TargetMode="External" Id="rId79"/><Relationship Type="http://schemas.openxmlformats.org/officeDocument/2006/relationships/hyperlink" Target="https://search1.kakaocdn.net/thumb/R120x174.q85/?fname=http%3A%2F%2Ft1.daumcdn.net%2Flbook%2Fimage%2F415420%3Ftimestamp%3D20250812110242" TargetMode="External" Id="rId80"/><Relationship Type="http://schemas.openxmlformats.org/officeDocument/2006/relationships/hyperlink" Target="https://search1.kakaocdn.net/thumb/R120x174.q85/?fname=http%3A%2F%2Ft1.daumcdn.net%2Flbook%2Fimage%2F873075%3Ftimestamp%3D20240426113049" TargetMode="External" Id="rId81"/><Relationship Type="http://schemas.openxmlformats.org/officeDocument/2006/relationships/hyperlink" Target="https://search1.kakaocdn.net/thumb/R120x174.q85/?fname=http%3A%2F%2Ft1.daumcdn.net%2Flbook%2Fimage%2F5477394%3Ftimestamp%3D20251111143405" TargetMode="External" Id="rId82"/><Relationship Type="http://schemas.openxmlformats.org/officeDocument/2006/relationships/hyperlink" Target="https://search1.kakaocdn.net/thumb/R120x174.q85/?fname=http%3A%2F%2Ft1.daumcdn.net%2Flbook%2Fimage%2F728386%3Ftimestamp%3D20260310110945" TargetMode="External" Id="rId83"/><Relationship Type="http://schemas.openxmlformats.org/officeDocument/2006/relationships/hyperlink" Target="https://search1.kakaocdn.net/thumb/R120x174.q85/?fname=http%3A%2F%2Ft1.daumcdn.net%2Flbook%2Fimage%2F6579587%3Ftimestamp%3D20240821193735" TargetMode="External" Id="rId84"/><Relationship Type="http://schemas.openxmlformats.org/officeDocument/2006/relationships/hyperlink" Target="https://search1.kakaocdn.net/thumb/R120x174.q85/?fname=http%3A%2F%2Ft1.daumcdn.net%2Flbook%2Fimage%2F5627028%3Ftimestamp%3D20260411120302" TargetMode="External" Id="rId85"/><Relationship Type="http://schemas.openxmlformats.org/officeDocument/2006/relationships/hyperlink" Target="https://search1.kakaocdn.net/thumb/R120x174.q85/?fname=http%3A%2F%2Ft1.daumcdn.net%2Flbook%2Fimage%2F6425899%3Ftimestamp%3D20260326131318" TargetMode="External" Id="rId86"/><Relationship Type="http://schemas.openxmlformats.org/officeDocument/2006/relationships/hyperlink" Target="https://search1.kakaocdn.net/thumb/R120x174.q85/?fname=http%3A%2F%2Ft1.daumcdn.net%2Flbook%2Fimage%2F540859%3Ftimestamp%3D20251217110853" TargetMode="External" Id="rId87"/><Relationship Type="http://schemas.openxmlformats.org/officeDocument/2006/relationships/hyperlink" Target="https://search1.kakaocdn.net/thumb/R120x174.q85/?fname=http%3A%2F%2Ft1.daumcdn.net%2Flbook%2Fimage%2F1315879%3Ftimestamp%3D20241107114216" TargetMode="External" Id="rId88"/><Relationship Type="http://schemas.openxmlformats.org/officeDocument/2006/relationships/hyperlink" Target="https://search1.kakaocdn.net/thumb/R120x174.q85/?fname=http%3A%2F%2Ft1.daumcdn.net%2Flbook%2Fimage%2F6336810%3Ftimestamp%3D20260108151957" TargetMode="External" Id="rId89"/><Relationship Type="http://schemas.openxmlformats.org/officeDocument/2006/relationships/hyperlink" Target="https://search1.kakaocdn.net/thumb/R120x174.q85/?fname=http%3A%2F%2Ft1.daumcdn.net%2Flbook%2Fimage%2F6359781%3Ftimestamp%3D20250328155502" TargetMode="External" Id="rId90"/><Relationship Type="http://schemas.openxmlformats.org/officeDocument/2006/relationships/hyperlink" Target="https://search1.kakaocdn.net/thumb/R120x174.q85/?fname=http%3A%2F%2Ft1.daumcdn.net%2Flbook%2Fimage%2F523209%3Ftimestamp%3D20250918110329" TargetMode="External" Id="rId91"/><Relationship Type="http://schemas.openxmlformats.org/officeDocument/2006/relationships/hyperlink" Target="https://search1.kakaocdn.net/thumb/R120x174.q85/?fname=http%3A%2F%2Ft1.daumcdn.net%2Flbook%2Fimage%2F6369770%3Ftimestamp%3D20240412160655" TargetMode="External" Id="rId92"/><Relationship Type="http://schemas.openxmlformats.org/officeDocument/2006/relationships/hyperlink" Target="https://search1.kakaocdn.net/thumb/R120x174.q85/?fname=http%3A%2F%2Ft1.daumcdn.net%2Flbook%2Fimage%2F348100%3Ftimestamp%3D20220803203450" TargetMode="External" Id="rId93"/><Relationship Type="http://schemas.openxmlformats.org/officeDocument/2006/relationships/hyperlink" Target="https://search1.kakaocdn.net/thumb/R120x174.q85/?fname=http%3A%2F%2Ft1.daumcdn.net%2Flbook%2Fimage%2F908991%3Ftimestamp%3D20250521180954" TargetMode="External" Id="rId94"/><Relationship Type="http://schemas.openxmlformats.org/officeDocument/2006/relationships/hyperlink" Target="https://search1.kakaocdn.net/thumb/R120x174.q85/?fname=http%3A%2F%2Ft1.daumcdn.net%2Flbook%2Fimage%2F6258101%3Ftimestamp%3D20250521220828" TargetMode="External" Id="rId95"/><Relationship Type="http://schemas.openxmlformats.org/officeDocument/2006/relationships/hyperlink" Target="https://search1.kakaocdn.net/thumb/R120x174.q85/?fname=http%3A%2F%2Ft1.daumcdn.net%2Flbook%2Fimage%2F1633952%3Ftimestamp%3D20221011190119" TargetMode="External" Id="rId96"/><Relationship Type="http://schemas.openxmlformats.org/officeDocument/2006/relationships/hyperlink" Target="https://search1.kakaocdn.net/thumb/R120x174.q85/?fname=http%3A%2F%2Ft1.daumcdn.net%2Flbook%2Fimage%2F523470%3Ftimestamp%3D20240405114200" TargetMode="External" Id="rId97"/><Relationship Type="http://schemas.openxmlformats.org/officeDocument/2006/relationships/hyperlink" Target="https://search1.kakaocdn.net/thumb/R120x174.q85/?fname=http%3A%2F%2Ft1.daumcdn.net%2Flbook%2Fimage%2F5647115%3Ftimestamp%3D20260115142917" TargetMode="External" Id="rId98"/><Relationship Type="http://schemas.openxmlformats.org/officeDocument/2006/relationships/hyperlink" Target="https://search1.kakaocdn.net/thumb/R120x174.q85/?fname=http%3A%2F%2Ft1.daumcdn.net%2Flbook%2Fimage%2F6186059%3Ftimestamp%3D20251216151826" TargetMode="External" Id="rId99"/><Relationship Type="http://schemas.openxmlformats.org/officeDocument/2006/relationships/hyperlink" Target="https://search1.kakaocdn.net/thumb/R120x174.q85/?fname=http%3A%2F%2Ft1.daumcdn.net%2Flbook%2Fimage%2F5618514%3Ftimestamp%3D20251112144443" TargetMode="External" Id="rId100"/><Relationship Type="http://schemas.openxmlformats.org/officeDocument/2006/relationships/hyperlink" Target="https://search1.kakaocdn.net/thumb/R120x174.q85/?fname=http%3A%2F%2Ft1.daumcdn.net%2Flbook%2Fimage%2F6225570%3Ftimestamp%3D20251221133344" TargetMode="External" Id="rId101"/><Relationship Type="http://schemas.openxmlformats.org/officeDocument/2006/relationships/hyperlink" Target="https://search1.kakaocdn.net/thumb/R120x174.q85/?fname=http%3A%2F%2Ft1.daumcdn.net%2Flbook%2Fimage%2F6083998%3Ftimestamp%3D20260317122740" TargetMode="External" Id="rId102"/><Relationship Type="http://schemas.openxmlformats.org/officeDocument/2006/relationships/hyperlink" Target="https://search1.kakaocdn.net/thumb/R120x174.q85/?fname=http%3A%2F%2Ft1.daumcdn.net%2Flbook%2Fimage%2F4944866%3Ftimestamp%3D20250919121817" TargetMode="External" Id="rId103"/><Relationship Type="http://schemas.openxmlformats.org/officeDocument/2006/relationships/hyperlink" Target="https://search1.kakaocdn.net/thumb/R120x174.q85/?fname=http%3A%2F%2Ft1.daumcdn.net%2Flbook%2Fimage%2F944573%3Ftimestamp%3D20251015110542" TargetMode="External" Id="rId104"/><Relationship Type="http://schemas.openxmlformats.org/officeDocument/2006/relationships/hyperlink" Target="https://search1.kakaocdn.net/thumb/R120x174.q85/?fname=http%3A%2F%2Ft1.daumcdn.net%2Flbook%2Fimage%2F540827%3Ftimestamp%3D20251130110509" TargetMode="External" Id="rId105"/><Relationship Type="http://schemas.openxmlformats.org/officeDocument/2006/relationships/hyperlink" Target="https://search1.kakaocdn.net/thumb/R120x174.q85/?fname=http%3A%2F%2Ft1.daumcdn.net%2Flbook%2Fimage%2F541100%3Ftimestamp%3D20251126110912" TargetMode="External" Id="rId106"/><Relationship Type="http://schemas.openxmlformats.org/officeDocument/2006/relationships/hyperlink" Target="https://search1.kakaocdn.net/thumb/R120x174.q85/?fname=http%3A%2F%2Ft1.daumcdn.net%2Flbook%2Fimage%2F1324690%3Ftimestamp%3D20190127203555" TargetMode="External" Id="rId107"/><Relationship Type="http://schemas.openxmlformats.org/officeDocument/2006/relationships/hyperlink" Target="https://search1.kakaocdn.net/thumb/R120x174.q85/?fname=http%3A%2F%2Ft1.daumcdn.net%2Flbook%2Fimage%2F5005911%3Ftimestamp%3D20260403125316" TargetMode="External" Id="rId108"/><Relationship Type="http://schemas.openxmlformats.org/officeDocument/2006/relationships/hyperlink" Target="https://search1.kakaocdn.net/thumb/R120x174.q85/?fname=http%3A%2F%2Ft1.daumcdn.net%2Flbook%2Fimage%2F1163427%3Ftimestamp%3D20221025130516" TargetMode="External" Id="rId109"/><Relationship Type="http://schemas.openxmlformats.org/officeDocument/2006/relationships/hyperlink" Target="https://search1.kakaocdn.net/thumb/R120x174.q85/?fname=http%3A%2F%2Ft1.daumcdn.net%2Flbook%2Fimage%2F927018%3Ftimestamp%3D20231124183326" TargetMode="External" Id="rId110"/><Relationship Type="http://schemas.openxmlformats.org/officeDocument/2006/relationships/hyperlink" Target="https://search1.kakaocdn.net/thumb/R120x174.q85/?fname=http%3A%2F%2Ft1.daumcdn.net%2Flbook%2Fimage%2F1605146%3Ftimestamp%3D20260227110901" TargetMode="External" Id="rId111"/><Relationship Type="http://schemas.openxmlformats.org/officeDocument/2006/relationships/hyperlink" Target="https://search1.kakaocdn.net/thumb/R120x174.q85/?fname=http%3A%2F%2Ft1.daumcdn.net%2Flbook%2Fimage%2F6160669%3Ftimestamp%3D20260118144958" TargetMode="External" Id="rId112"/><Relationship Type="http://schemas.openxmlformats.org/officeDocument/2006/relationships/hyperlink" Target="https://search1.kakaocdn.net/thumb/R120x174.q85/?fname=http%3A%2F%2Ft1.daumcdn.net%2Flbook%2Fimage%2F6147253%3Ftimestamp%3D20251214121134" TargetMode="External" Id="rId113"/><Relationship Type="http://schemas.openxmlformats.org/officeDocument/2006/relationships/hyperlink" Target="https://search1.kakaocdn.net/thumb/R120x174.q85/?fname=http%3A%2F%2Ft1.daumcdn.net%2Flbook%2Fimage%2F5423065%3Ftimestamp%3D20251129135912" TargetMode="External" Id="rId114"/><Relationship Type="http://schemas.openxmlformats.org/officeDocument/2006/relationships/hyperlink" Target="https://search1.kakaocdn.net/thumb/R120x174.q85/?fname=http%3A%2F%2Ft1.daumcdn.net%2Flbook%2Fimage%2F540877%3Ftimestamp%3D20230428194708" TargetMode="External" Id="rId115"/><Relationship Type="http://schemas.openxmlformats.org/officeDocument/2006/relationships/hyperlink" Target="https://search1.kakaocdn.net/thumb/R120x174.q85/?fname=http%3A%2F%2Ft1.daumcdn.net%2Flbook%2Fimage%2F1469643%3Ftimestamp%3D20240801112454" TargetMode="External" Id="rId116"/><Relationship Type="http://schemas.openxmlformats.org/officeDocument/2006/relationships/hyperlink" Target="https://search1.kakaocdn.net/thumb/R120x174.q85/?fname=http%3A%2F%2Ft1.daumcdn.net%2Flbook%2Fimage%2F545855%3Ftimestamp%3D20260113110841" TargetMode="External" Id="rId117"/><Relationship Type="http://schemas.openxmlformats.org/officeDocument/2006/relationships/hyperlink" Target="https://search1.kakaocdn.net/thumb/R120x174.q85/?fname=http%3A%2F%2Ft1.daumcdn.net%2Flbook%2Fimage%2F924390%3Ftimestamp%3D20260127110814" TargetMode="External" Id="rId118"/><Relationship Type="http://schemas.openxmlformats.org/officeDocument/2006/relationships/hyperlink" Target="https://search1.kakaocdn.net/thumb/R120x174.q85/?fname=http%3A%2F%2Ft1.daumcdn.net%2Flbook%2Fimage%2F645150%3Ftimestamp%3D20240921114246" TargetMode="External" Id="rId119"/><Relationship Type="http://schemas.openxmlformats.org/officeDocument/2006/relationships/hyperlink" Target="https://search1.kakaocdn.net/thumb/R120x174.q85/?fname=http%3A%2F%2Ft1.daumcdn.net%2Flbook%2Fimage%2F522761%3Ftimestamp%3D20260404110634" TargetMode="External" Id="rId120"/><Relationship Type="http://schemas.openxmlformats.org/officeDocument/2006/relationships/hyperlink" Target="https://search1.kakaocdn.net/thumb/R120x174.q85/?fname=http%3A%2F%2Ft1.daumcdn.net%2Flbook%2Fimage%2F693411%3Ftimestamp%3D20250107113852" TargetMode="External" Id="rId121"/><Relationship Type="http://schemas.openxmlformats.org/officeDocument/2006/relationships/hyperlink" Target="https://search1.kakaocdn.net/thumb/R120x174.q85/?fname=http%3A%2F%2Ft1.daumcdn.net%2Flbook%2Fimage%2F5073351%3Ftimestamp%3D20260121130424" TargetMode="External" Id="rId122"/><Relationship Type="http://schemas.openxmlformats.org/officeDocument/2006/relationships/hyperlink" Target="https://search1.kakaocdn.net/thumb/R120x174.q85/?fname=http%3A%2F%2Ft1.daumcdn.net%2Flbook%2Fimage%2F1153685%3Ftimestamp%3D20251219110744" TargetMode="External" Id="rId123"/><Relationship Type="http://schemas.openxmlformats.org/officeDocument/2006/relationships/hyperlink" Target="https://search1.kakaocdn.net/thumb/R120x174.q85/?fname=http%3A%2F%2Ft1.daumcdn.net%2Flbook%2Fimage%2F5419748%3Ftimestamp%3D20240919184102" TargetMode="External" Id="rId124"/><Relationship Type="http://schemas.openxmlformats.org/officeDocument/2006/relationships/hyperlink" Target="https://search1.kakaocdn.net/thumb/R120x174.q85/?fname=http%3A%2F%2Ft1.daumcdn.net%2Flbook%2Fimage%2F521135%3Ftimestamp%3D20260108111109" TargetMode="External" Id="rId125"/><Relationship Type="http://schemas.openxmlformats.org/officeDocument/2006/relationships/hyperlink" Target="https://search1.kakaocdn.net/thumb/R120x174.q85/?fname=http%3A%2F%2Ft1.daumcdn.net%2Flbook%2Fimage%2F540945%3Ftimestamp%3D20251203111030" TargetMode="External" Id="rId126"/><Relationship Type="http://schemas.openxmlformats.org/officeDocument/2006/relationships/hyperlink" Target="https://search1.kakaocdn.net/thumb/R120x174.q85/?fname=http%3A%2F%2Ft1.daumcdn.net%2Flbook%2Fimage%2F540809%3Ftimestamp%3D20240611112505" TargetMode="External" Id="rId127"/><Relationship Type="http://schemas.openxmlformats.org/officeDocument/2006/relationships/hyperlink" Target="https://search1.kakaocdn.net/thumb/R120x174.q85/?fname=http%3A%2F%2Ft1.daumcdn.net%2Flbook%2Fimage%2F540824%3Ftimestamp%3D20260305110840" TargetMode="External" Id="rId128"/><Relationship Type="http://schemas.openxmlformats.org/officeDocument/2006/relationships/hyperlink" Target="https://search1.kakaocdn.net/thumb/R120x174.q85/?fname=http%3A%2F%2Ft1.daumcdn.net%2Flbook%2Fimage%2F5804515%3Ftimestamp%3D20251209144803" TargetMode="External" Id="rId129"/><Relationship Type="http://schemas.openxmlformats.org/officeDocument/2006/relationships/hyperlink" Target="https://search1.kakaocdn.net/thumb/R120x174.q85/?fname=http%3A%2F%2Ft1.daumcdn.net%2Flbook%2Fimage%2F5447568%3Ftimestamp%3D20260213120027" TargetMode="External" Id="rId130"/><Relationship Type="http://schemas.openxmlformats.org/officeDocument/2006/relationships/hyperlink" Target="https://search1.kakaocdn.net/thumb/R120x174.q85/?fname=http%3A%2F%2Ft1.daumcdn.net%2Flbook%2Fimage%2F3750481%3Ftimestamp%3D20260312110955" TargetMode="External" Id="rId131"/><Relationship Type="http://schemas.openxmlformats.org/officeDocument/2006/relationships/hyperlink" Target="https://search1.kakaocdn.net/thumb/R120x174.q85/?fname=http%3A%2F%2Ft1.daumcdn.net%2Flbook%2Fimage%2F347924%3Ftimestamp%3D20251219110737" TargetMode="External" Id="rId132"/><Relationship Type="http://schemas.openxmlformats.org/officeDocument/2006/relationships/hyperlink" Target="https://search1.kakaocdn.net/thumb/R120x174.q85/?fname=http%3A%2F%2Ft1.daumcdn.net%2Flbook%2Fimage%2F5699305%3Ftimestamp%3D20250107150043" TargetMode="External" Id="rId133"/><Relationship Type="http://schemas.openxmlformats.org/officeDocument/2006/relationships/hyperlink" Target="https://search1.kakaocdn.net/thumb/R120x174.q85/?fname=http%3A%2F%2Ft1.daumcdn.net%2Flbook%2Fimage%2F995111%3Ftimestamp%3D20251119111101" TargetMode="External" Id="rId134"/><Relationship Type="http://schemas.openxmlformats.org/officeDocument/2006/relationships/hyperlink" Target="https://search1.kakaocdn.net/thumb/R120x174.q85/?fname=http%3A%2F%2Ft1.daumcdn.net%2Flbook%2Fimage%2F7151993%3Ftimestamp%3D20260214121232" TargetMode="External" Id="rId135"/><Relationship Type="http://schemas.openxmlformats.org/officeDocument/2006/relationships/hyperlink" Target="https://search1.kakaocdn.net/thumb/R120x174.q85/?fname=http%3A%2F%2Ft1.daumcdn.net%2Flbook%2Fimage%2F7046639%3Ftimestamp%3D20251108151721" TargetMode="External" Id="rId136"/><Relationship Type="http://schemas.openxmlformats.org/officeDocument/2006/relationships/hyperlink" Target="https://search1.kakaocdn.net/thumb/R120x174.q85/?fname=http%3A%2F%2Ft1.daumcdn.net%2Flbook%2Fimage%2F5486305%3Ftimestamp%3D20251002134324" TargetMode="External" Id="rId137"/><Relationship Type="http://schemas.openxmlformats.org/officeDocument/2006/relationships/hyperlink" Target="https://search1.kakaocdn.net/thumb/R120x174.q85/?fname=http%3A%2F%2Ft1.daumcdn.net%2Flbook%2Fimage%2F5265375%3Ftimestamp%3D20260323115443" TargetMode="External" Id="rId138"/><Relationship Type="http://schemas.openxmlformats.org/officeDocument/2006/relationships/hyperlink" Target="https://search1.kakaocdn.net/thumb/R120x174.q85/?fname=http%3A%2F%2Ft1.daumcdn.net%2Flbook%2Fimage%2F6724555%3Ftimestamp%3D20250916143547" TargetMode="External" Id="rId139"/><Relationship Type="http://schemas.openxmlformats.org/officeDocument/2006/relationships/hyperlink" Target="https://search1.kakaocdn.net/thumb/R120x174.q85/?fname=http%3A%2F%2Ft1.daumcdn.net%2Flbook%2Fimage%2F5420560%3Ftimestamp%3D20251127140737" TargetMode="External" Id="rId140"/><Relationship Type="http://schemas.openxmlformats.org/officeDocument/2006/relationships/hyperlink" Target="https://search1.kakaocdn.net/thumb/R120x174.q85/?fname=http%3A%2F%2Ft1.daumcdn.net%2Flbook%2Fimage%2F6676404%3Ftimestamp%3D20240726155853" TargetMode="External" Id="rId141"/><Relationship Type="http://schemas.openxmlformats.org/officeDocument/2006/relationships/hyperlink" Target="https://search1.kakaocdn.net/thumb/R120x174.q85/?fname=http%3A%2F%2Ft1.daumcdn.net%2Flbook%2Fimage%2F4927913%3Ftimestamp%3D20260323113958" TargetMode="External" Id="rId142"/><Relationship Type="http://schemas.openxmlformats.org/officeDocument/2006/relationships/hyperlink" Target="https://search1.kakaocdn.net/thumb/R120x174.q85/?fname=http%3A%2F%2Ft1.daumcdn.net%2Flbook%2Fimage%2F4880425%3Ftimestamp%3D20251213123538" TargetMode="External" Id="rId143"/><Relationship Type="http://schemas.openxmlformats.org/officeDocument/2006/relationships/hyperlink" Target="https://search1.kakaocdn.net/thumb/R120x174.q85/?fname=http%3A%2F%2Ft1.daumcdn.net%2Flbook%2Fimage%2F5353819%3Ftimestamp%3D20251003131504" TargetMode="External" Id="rId144"/><Relationship Type="http://schemas.openxmlformats.org/officeDocument/2006/relationships/hyperlink" Target="https://search1.kakaocdn.net/thumb/R120x174.q85/?fname=http%3A%2F%2Ft1.daumcdn.net%2Flbook%2Fimage%2F1011234%3Ftimestamp%3D20240216164019" TargetMode="External" Id="rId145"/><Relationship Type="http://schemas.openxmlformats.org/officeDocument/2006/relationships/hyperlink" Target="https://search1.kakaocdn.net/thumb/R120x174.q85/?fname=http%3A%2F%2Ft1.daumcdn.net%2Flbook%2Fimage%2F523226%3Ftimestamp%3D20220203184350" TargetMode="External" Id="rId146"/><Relationship Type="http://schemas.openxmlformats.org/officeDocument/2006/relationships/hyperlink" Target="https://search1.kakaocdn.net/thumb/R120x174.q85/?fname=http%3A%2F%2Ft1.daumcdn.net%2Flbook%2Fimage%2F776362%3Ftimestamp%3D20240619113421" TargetMode="External" Id="rId147"/><Relationship Type="http://schemas.openxmlformats.org/officeDocument/2006/relationships/hyperlink" Target="https://search1.kakaocdn.net/thumb/R120x174.q85/?fname=http%3A%2F%2Ft1.daumcdn.net%2Flbook%2Fimage%2F1176371%3Ftimestamp%3D20250523113035" TargetMode="External" Id="rId148"/><Relationship Type="http://schemas.openxmlformats.org/officeDocument/2006/relationships/hyperlink" Target="https://search1.kakaocdn.net/thumb/R120x174.q85/?fname=http%3A%2F%2Ft1.daumcdn.net%2Flbook%2Fimage%2F1202947%3Ftimestamp%3D20221108013235" TargetMode="External" Id="rId149"/><Relationship Type="http://schemas.openxmlformats.org/officeDocument/2006/relationships/hyperlink" Target="https://search1.kakaocdn.net/thumb/R120x174.q85/?fname=http%3A%2F%2Ft1.daumcdn.net%2Flbook%2Fimage%2F994585%3Ftimestamp%3D20250906110354" TargetMode="External" Id="rId150"/><Relationship Type="http://schemas.openxmlformats.org/officeDocument/2006/relationships/hyperlink" Target="https://search1.kakaocdn.net/thumb/R120x174.q85/?fname=http%3A%2F%2Ft1.daumcdn.net%2Flbook%2Fimage%2F1156319%3Ftimestamp%3D20251209110826" TargetMode="External" Id="rId151"/><Relationship Type="http://schemas.openxmlformats.org/officeDocument/2006/relationships/hyperlink" Target="https://search1.kakaocdn.net/thumb/R120x174.q85/?fname=http%3A%2F%2Ft1.daumcdn.net%2Flbook%2Fimage%2F1164636%3Ftimestamp%3D20231103202244" TargetMode="External" Id="rId152"/><Relationship Type="http://schemas.openxmlformats.org/officeDocument/2006/relationships/hyperlink" Target="https://search1.kakaocdn.net/thumb/R120x174.q85/?fname=http%3A%2F%2Ft1.daumcdn.net%2Flbook%2Fimage%2F1072450%3Ftimestamp%3D20220403182834" TargetMode="External" Id="rId153"/><Relationship Type="http://schemas.openxmlformats.org/officeDocument/2006/relationships/hyperlink" Target="https://search1.kakaocdn.net/thumb/R120x174.q85/?fname=http%3A%2F%2Ft1.daumcdn.net%2Flbook%2Fimage%2F363328%3Ftimestamp%3D20240803112640" TargetMode="External" Id="rId154"/><Relationship Type="http://schemas.openxmlformats.org/officeDocument/2006/relationships/hyperlink" Target="https://search1.kakaocdn.net/thumb/R120x174.q85/?fname=http%3A%2F%2Ft1.daumcdn.net%2Flbook%2Fimage%2F1458984%3Ftimestamp%3D20250427115513" TargetMode="External" Id="rId155"/><Relationship Type="http://schemas.openxmlformats.org/officeDocument/2006/relationships/hyperlink" Target="https://search1.kakaocdn.net/thumb/R120x174.q85/?fname=http%3A%2F%2Ft1.daumcdn.net%2Flbook%2Fimage%2F1453259%3Ftimestamp%3D20220716191510" TargetMode="External" Id="rId156"/><Relationship Type="http://schemas.openxmlformats.org/officeDocument/2006/relationships/hyperlink" Target="https://search1.kakaocdn.net/thumb/R120x174.q85/?fname=http%3A%2F%2Ft1.daumcdn.net%2Flbook%2Fimage%2F1167802%3Ftimestamp%3D20250409113817" TargetMode="External" Id="rId157"/><Relationship Type="http://schemas.openxmlformats.org/officeDocument/2006/relationships/hyperlink" Target="https://search1.kakaocdn.net/thumb/R120x174.q85/?fname=http%3A%2F%2Ft1.daumcdn.net%2Flbook%2Fimage%2F1475434%3Ftimestamp%3D20220825194739" TargetMode="External" Id="rId158"/><Relationship Type="http://schemas.openxmlformats.org/officeDocument/2006/relationships/hyperlink" Target="https://search1.kakaocdn.net/thumb/R120x174.q85/?fname=http%3A%2F%2Ft1.daumcdn.net%2Flbook%2Fimage%2F3757012%3Ftimestamp%3D20220118150858" TargetMode="External" Id="rId159"/><Relationship Type="http://schemas.openxmlformats.org/officeDocument/2006/relationships/hyperlink" Target="https://search1.kakaocdn.net/thumb/R120x174.q85/?fname=http%3A%2F%2Ft1.daumcdn.net%2Flbook%2Fimage%2F625091%3Ftimestamp%3D20251221110839" TargetMode="External" Id="rId160"/><Relationship Type="http://schemas.openxmlformats.org/officeDocument/2006/relationships/hyperlink" Target="https://search1.kakaocdn.net/thumb/R120x174.q85/?fname=http%3A%2F%2Ft1.daumcdn.net%2Flbook%2Fimage%2F737832%3Ftimestamp%3D20240222135323" TargetMode="External" Id="rId161"/><Relationship Type="http://schemas.openxmlformats.org/officeDocument/2006/relationships/hyperlink" Target="https://search1.kakaocdn.net/thumb/R120x174.q85/?fname=http%3A%2F%2Ft1.daumcdn.net%2Flbook%2Fimage%2F505037%3Ftimestamp%3D20231028165033" TargetMode="External" Id="rId162"/><Relationship Type="http://schemas.openxmlformats.org/officeDocument/2006/relationships/hyperlink" Target="https://search1.kakaocdn.net/thumb/R120x174.q85/?fname=http%3A%2F%2Ft1.daumcdn.net%2Flbook%2Fimage%2F690440%3Ftimestamp%3D20260317110904" TargetMode="External" Id="rId163"/><Relationship Type="http://schemas.openxmlformats.org/officeDocument/2006/relationships/hyperlink" Target="https://search1.kakaocdn.net/thumb/R120x174.q85/?fname=http%3A%2F%2Ft1.daumcdn.net%2Flbook%2Fimage%2F6215806%3Ftimestamp%3D20260210151235" TargetMode="External" Id="rId164"/><Relationship Type="http://schemas.openxmlformats.org/officeDocument/2006/relationships/hyperlink" Target="https://search1.kakaocdn.net/thumb/R120x174.q85/?fname=http%3A%2F%2Ft1.daumcdn.net%2Flbook%2Fimage%2F909803%3Ftimestamp%3D20251121110906" TargetMode="External" Id="rId165"/><Relationship Type="http://schemas.openxmlformats.org/officeDocument/2006/relationships/hyperlink" Target="https://search1.kakaocdn.net/thumb/R120x174.q85/?fname=http%3A%2F%2Ft1.daumcdn.net%2Flbook%2Fimage%2F6333826%3Ftimestamp%3D20240523162803" TargetMode="External" Id="rId166"/><Relationship Type="http://schemas.openxmlformats.org/officeDocument/2006/relationships/hyperlink" Target="https://search1.kakaocdn.net/thumb/R120x174.q85/?fname=http%3A%2F%2Ft1.daumcdn.net%2Flbook%2Fimage%2F506547%3Ftimestamp%3D20240130151302" TargetMode="External" Id="rId167"/><Relationship Type="http://schemas.openxmlformats.org/officeDocument/2006/relationships/hyperlink" Target="https://search1.kakaocdn.net/thumb/R120x174.q85/?fname=http%3A%2F%2Ft1.daumcdn.net%2Flbook%2Fimage%2F506632%3Ftimestamp%3D20251014110342" TargetMode="External" Id="rId168"/><Relationship Type="http://schemas.openxmlformats.org/officeDocument/2006/relationships/hyperlink" Target="https://search1.kakaocdn.net/thumb/R120x174.q85/?fname=http%3A%2F%2Ft1.daumcdn.net%2Flbook%2Fimage%2F506537%3Ftimestamp%3D20251014110341" TargetMode="External" Id="rId169"/><Relationship Type="http://schemas.openxmlformats.org/officeDocument/2006/relationships/hyperlink" Target="https://search1.kakaocdn.net/thumb/R120x174.q85/?fname=http%3A%2F%2Ft1.daumcdn.net%2Flbook%2Fimage%2F507052%3Ftimestamp%3D20231101164432" TargetMode="External" Id="rId170"/><Relationship Type="http://schemas.openxmlformats.org/officeDocument/2006/relationships/hyperlink" Target="https://search1.kakaocdn.net/thumb/R120x174.q85/?fname=http%3A%2F%2Ft1.daumcdn.net%2Flbook%2Fimage%2F506914%3Ftimestamp%3D20231228173648" TargetMode="External" Id="rId171"/><Relationship Type="http://schemas.openxmlformats.org/officeDocument/2006/relationships/hyperlink" Target="https://search1.kakaocdn.net/thumb/R120x174.q85/?fname=http%3A%2F%2Ft1.daumcdn.net%2Flbook%2Fimage%2F737618%3Ftimestamp%3D20260327111005" TargetMode="External" Id="rId172"/><Relationship Type="http://schemas.openxmlformats.org/officeDocument/2006/relationships/hyperlink" Target="https://search1.kakaocdn.net/thumb/R120x174.q85/?fname=http%3A%2F%2Ft1.daumcdn.net%2Flbook%2Fimage%2F691925%3Ftimestamp%3D20251127110909" TargetMode="External" Id="rId173"/><Relationship Type="http://schemas.openxmlformats.org/officeDocument/2006/relationships/hyperlink" Target="https://search1.kakaocdn.net/thumb/R120x174.q85/?fname=http%3A%2F%2Ft1.daumcdn.net%2Flbook%2Fimage%2F6726690%3Ftimestamp%3D20250527161037" TargetMode="External" Id="rId174"/><Relationship Type="http://schemas.openxmlformats.org/officeDocument/2006/relationships/hyperlink" Target="https://search1.kakaocdn.net/thumb/R120x174.q85/?fname=http%3A%2F%2Ft1.daumcdn.net%2Flbook%2Fimage%2F6348498%3Ftimestamp%3D20250927140428" TargetMode="External" Id="rId175"/><Relationship Type="http://schemas.openxmlformats.org/officeDocument/2006/relationships/hyperlink" Target="https://search1.kakaocdn.net/thumb/R120x174.q85/?fname=http%3A%2F%2Ft1.daumcdn.net%2Flbook%2Fimage%2F918857%3Ftimestamp%3D20250107113909" TargetMode="External" Id="rId176"/><Relationship Type="http://schemas.openxmlformats.org/officeDocument/2006/relationships/hyperlink" Target="https://search1.kakaocdn.net/thumb/R120x174.q85/?fname=http%3A%2F%2Ft1.daumcdn.net%2Flbook%2Fimage%2F6100884%3Ftimestamp%3D20250924140729" TargetMode="External" Id="rId177"/><Relationship Type="http://schemas.openxmlformats.org/officeDocument/2006/relationships/hyperlink" Target="https://search1.kakaocdn.net/thumb/R120x174.q85/?fname=http%3A%2F%2Ft1.daumcdn.net%2Flbook%2Fimage%2F5666585%3Ftimestamp%3D20240718164924" TargetMode="External" Id="rId178"/><Relationship Type="http://schemas.openxmlformats.org/officeDocument/2006/relationships/hyperlink" Target="https://search1.kakaocdn.net/thumb/R120x174.q85/?fname=http%3A%2F%2Ft1.daumcdn.net%2Flbook%2Fimage%2F1226723%3Ftimestamp%3D20221025122411" TargetMode="External" Id="rId179"/><Relationship Type="http://schemas.openxmlformats.org/officeDocument/2006/relationships/hyperlink" Target="https://search1.kakaocdn.net/thumb/R120x174.q85/?fname=http%3A%2F%2Ft1.daumcdn.net%2Flbook%2Fimage%2F1366342%3Ftimestamp%3D20220601172928" TargetMode="External" Id="rId180"/><Relationship Type="http://schemas.openxmlformats.org/officeDocument/2006/relationships/hyperlink" Target="https://search1.kakaocdn.net/thumb/R120x174.q85/?fname=http%3A%2F%2Ft1.daumcdn.net%2Flbook%2Fimage%2F611799%3Ftimestamp%3D20250627113334" TargetMode="External" Id="rId181"/><Relationship Type="http://schemas.openxmlformats.org/officeDocument/2006/relationships/hyperlink" Target="https://search1.kakaocdn.net/thumb/R120x174.q85/?fname=http%3A%2F%2Ft1.daumcdn.net%2Flbook%2Fimage%2F1271688%3Ftimestamp%3D20221107225745" TargetMode="External" Id="rId182"/><Relationship Type="http://schemas.openxmlformats.org/officeDocument/2006/relationships/hyperlink" Target="https://search1.kakaocdn.net/thumb/R120x174.q85/?fname=http%3A%2F%2Ft1.daumcdn.net%2Flbook%2Fimage%2F624229%3Ftimestamp%3D20251011110356" TargetMode="External" Id="rId183"/><Relationship Type="http://schemas.openxmlformats.org/officeDocument/2006/relationships/hyperlink" Target="https://search1.kakaocdn.net/thumb/R120x174.q85/?fname=http%3A%2F%2Ft1.daumcdn.net%2Flbook%2Fimage%2F6333047%3Ftimestamp%3D20260108151947" TargetMode="External" Id="rId184"/><Relationship Type="http://schemas.openxmlformats.org/officeDocument/2006/relationships/hyperlink" Target="https://search1.kakaocdn.net/thumb/R120x174.q85/?fname=http%3A%2F%2Ft1.daumcdn.net%2Flbook%2Fimage%2F690517%3Ftimestamp%3D20231117160843" TargetMode="External" Id="rId185"/><Relationship Type="http://schemas.openxmlformats.org/officeDocument/2006/relationships/hyperlink" Target="https://search1.kakaocdn.net/thumb/R120x174.q85/?fname=http%3A%2F%2Ft1.daumcdn.net%2Flbook%2Fimage%2F1156236%3Ftimestamp%3D20221011174951" TargetMode="External" Id="rId186"/><Relationship Type="http://schemas.openxmlformats.org/officeDocument/2006/relationships/hyperlink" Target="https://search1.kakaocdn.net/thumb/R120x174.q85/?fname=http%3A%2F%2Ft1.daumcdn.net%2Flbook%2Fimage%2F1338049%3Ftimestamp%3D20240508112939" TargetMode="External" Id="rId187"/><Relationship Type="http://schemas.openxmlformats.org/officeDocument/2006/relationships/hyperlink" Target="https://search1.kakaocdn.net/thumb/R120x174.q85/?fname=http%3A%2F%2Ft1.daumcdn.net%2Flbook%2Fimage%2F1381888%3Ftimestamp%3D20221214175743" TargetMode="External" Id="rId188"/><Relationship Type="http://schemas.openxmlformats.org/officeDocument/2006/relationships/hyperlink" Target="https://search1.kakaocdn.net/thumb/R120x174.q85/?fname=http%3A%2F%2Ft1.daumcdn.net%2Flbook%2Fimage%2F690373%3Ftimestamp%3D20230610153533" TargetMode="External" Id="rId189"/><Relationship Type="http://schemas.openxmlformats.org/officeDocument/2006/relationships/hyperlink" Target="https://search1.kakaocdn.net/thumb/R120x174.q85/?fname=http%3A%2F%2Ft1.daumcdn.net%2Flbook%2Fimage%2F1210309%3Ftimestamp%3D20221025141135" TargetMode="External" Id="rId190"/><Relationship Type="http://schemas.openxmlformats.org/officeDocument/2006/relationships/hyperlink" Target="https://search1.kakaocdn.net/thumb/R120x174.q85/?fname=http%3A%2F%2Ft1.daumcdn.net%2Flbook%2Fimage%2F540784%3Ftimestamp%3D20251217110838" TargetMode="External" Id="rId191"/><Relationship Type="http://schemas.openxmlformats.org/officeDocument/2006/relationships/hyperlink" Target="https://search1.kakaocdn.net/thumb/R120x174.q85/?fname=http%3A%2F%2Ft1.daumcdn.net%2Flbook%2Fimage%2F872140%3Ftimestamp%3D20240620112942" TargetMode="External" Id="rId192"/><Relationship Type="http://schemas.openxmlformats.org/officeDocument/2006/relationships/hyperlink" Target="https://search1.kakaocdn.net/thumb/R120x174.q85/?fname=http%3A%2F%2Ft1.daumcdn.net%2Flbook%2Fimage%2F505078%3Ftimestamp%3D20231015165322" TargetMode="External" Id="rId193"/><Relationship Type="http://schemas.openxmlformats.org/officeDocument/2006/relationships/hyperlink" Target="https://search1.kakaocdn.net/thumb/R120x174.q85/?fname=http%3A%2F%2Ft1.daumcdn.net%2Flbook%2Fimage%2F507071%3Ftimestamp%3D20240105192414" TargetMode="External" Id="rId194"/><Relationship Type="http://schemas.openxmlformats.org/officeDocument/2006/relationships/hyperlink" Target="https://search1.kakaocdn.net/thumb/R120x174.q85/?fname=http%3A%2F%2Ft1.daumcdn.net%2Flbook%2Fimage%2F540770%3Ftimestamp%3D20250919110253" TargetMode="External" Id="rId195"/><Relationship Type="http://schemas.openxmlformats.org/officeDocument/2006/relationships/hyperlink" Target="https://search1.kakaocdn.net/thumb/R120x174.q85/?fname=http%3A%2F%2Ft1.daumcdn.net%2Flbook%2Fimage%2F506301%3Ftimestamp%3D20221025182912" TargetMode="External" Id="rId196"/><Relationship Type="http://schemas.openxmlformats.org/officeDocument/2006/relationships/hyperlink" Target="https://search1.kakaocdn.net/thumb/R120x174.q85/?fname=http%3A%2F%2Ft1.daumcdn.net%2Flbook%2Fimage%2F691791%3Ftimestamp%3D20220730175946" TargetMode="External" Id="rId197"/><Relationship Type="http://schemas.openxmlformats.org/officeDocument/2006/relationships/hyperlink" Target="https://search1.kakaocdn.net/thumb/R120x174.q85/?fname=http%3A%2F%2Ft1.daumcdn.net%2Flbook%2Fimage%2F540828%3Ftimestamp%3D20260113110833" TargetMode="External" Id="rId198"/><Relationship Type="http://schemas.openxmlformats.org/officeDocument/2006/relationships/hyperlink" Target="https://search1.kakaocdn.net/thumb/R120x174.q85/?fname=http%3A%2F%2Ft1.daumcdn.net%2Flbook%2Fimage%2F540891%3Ftimestamp%3D20251217110901" TargetMode="External" Id="rId199"/><Relationship Type="http://schemas.openxmlformats.org/officeDocument/2006/relationships/hyperlink" Target="https://search1.kakaocdn.net/thumb/R120x174.q85/?fname=http%3A%2F%2Ft1.daumcdn.net%2Flbook%2Fimage%2F506585%3Ftimestamp%3D20231007172807" TargetMode="External" Id="rId200"/><Relationship Type="http://schemas.openxmlformats.org/officeDocument/2006/relationships/hyperlink" Target="https://search1.kakaocdn.net/thumb/R120x174.q85/?fname=http%3A%2F%2Ft1.daumcdn.net%2Flbook%2Fimage%2F540833%3Ftimestamp%3D20251211110646" TargetMode="External" Id="rId201"/><Relationship Type="http://schemas.openxmlformats.org/officeDocument/2006/relationships/hyperlink" Target="https://search1.kakaocdn.net/thumb/R120x174.q85/?fname=http%3A%2F%2Ft1.daumcdn.net%2Flbook%2Fimage%2F540795%3Ftimestamp%3D20250201113414" TargetMode="External" Id="rId202"/><Relationship Type="http://schemas.openxmlformats.org/officeDocument/2006/relationships/hyperlink" Target="https://search1.kakaocdn.net/thumb/R120x174.q85/?fname=http%3A%2F%2Ft1.daumcdn.net%2Flbook%2Fimage%2F540206%3Ftimestamp%3D20260110110803" TargetMode="External" Id="rId203"/><Relationship Type="http://schemas.openxmlformats.org/officeDocument/2006/relationships/hyperlink" Target="https://search1.kakaocdn.net/thumb/R120x174.q85/?fname=http%3A%2F%2Ft1.daumcdn.net%2Flbook%2Fimage%2F625880%3Ftimestamp%3D20231206150109" TargetMode="External" Id="rId204"/><Relationship Type="http://schemas.openxmlformats.org/officeDocument/2006/relationships/hyperlink" Target="https://search1.kakaocdn.net/thumb/R120x174.q85/?fname=http%3A%2F%2Ft1.daumcdn.net%2Flbook%2Fimage%2F513452%3Ftimestamp%3D20251015110527" TargetMode="External" Id="rId205"/><Relationship Type="http://schemas.openxmlformats.org/officeDocument/2006/relationships/hyperlink" Target="https://search1.kakaocdn.net/thumb/R120x174.q85/?fname=http%3A%2F%2Ft1.daumcdn.net%2Flbook%2Fimage%2F494755%3Ftimestamp%3D20260321110704" TargetMode="External" Id="rId206"/><Relationship Type="http://schemas.openxmlformats.org/officeDocument/2006/relationships/hyperlink" Target="https://search1.kakaocdn.net/thumb/R120x174.q85/?fname=http%3A%2F%2Ft1.daumcdn.net%2Flbook%2Fimage%2F1424141%3Ftimestamp%3D20260201110649" TargetMode="External" Id="rId207"/><Relationship Type="http://schemas.openxmlformats.org/officeDocument/2006/relationships/hyperlink" Target="https://search1.kakaocdn.net/thumb/R120x174.q85/?fname=http%3A%2F%2Ft1.daumcdn.net%2Flbook%2Fimage%2F4890706%3Ftimestamp%3D20190303083410" TargetMode="External" Id="rId208"/><Relationship Type="http://schemas.openxmlformats.org/officeDocument/2006/relationships/hyperlink" Target="https://search1.kakaocdn.net/thumb/R120x174.q85/?fname=http%3A%2F%2Ft1.daumcdn.net%2Flbook%2Fimage%2F786881%3Ftimestamp%3D20260124111022" TargetMode="External" Id="rId209"/><Relationship Type="http://schemas.openxmlformats.org/officeDocument/2006/relationships/hyperlink" Target="https://search1.kakaocdn.net/thumb/R120x174.q85/?fname=http%3A%2F%2Ft1.daumcdn.net%2Flbook%2Fimage%2F5005812%3Ftimestamp%3D20220812221340" TargetMode="External" Id="rId210"/><Relationship Type="http://schemas.openxmlformats.org/officeDocument/2006/relationships/hyperlink" Target="https://search1.kakaocdn.net/thumb/R120x174.q85/?fname=http%3A%2F%2Ft1.daumcdn.net%2Flbook%2Fimage%2F1536688%3Ftimestamp%3D20251218110947" TargetMode="External" Id="rId211"/><Relationship Type="http://schemas.openxmlformats.org/officeDocument/2006/relationships/hyperlink" Target="https://search1.kakaocdn.net/thumb/R120x174.q85/?fname=http%3A%2F%2Ft1.daumcdn.net%2Flbook%2Fimage%2F1661606%3Ftimestamp%3D20250709110645" TargetMode="External" Id="rId212"/><Relationship Type="http://schemas.openxmlformats.org/officeDocument/2006/relationships/hyperlink" Target="https://search1.kakaocdn.net/thumb/R120x174.q85/?fname=http%3A%2F%2Ft1.daumcdn.net%2Flbook%2Fimage%2F990080%3Ftimestamp%3D20260123110921" TargetMode="External" Id="rId213"/><Relationship Type="http://schemas.openxmlformats.org/officeDocument/2006/relationships/hyperlink" Target="https://search1.kakaocdn.net/thumb/R120x174.q85/?fname=http%3A%2F%2Ft1.daumcdn.net%2Flbook%2Fimage%2F751445%3Ftimestamp%3D20221108002658" TargetMode="External" Id="rId214"/><Relationship Type="http://schemas.openxmlformats.org/officeDocument/2006/relationships/hyperlink" Target="https://search1.kakaocdn.net/thumb/R120x174.q85/?fname=http%3A%2F%2Ft1.daumcdn.net%2Flbook%2Fimage%2F1493388%3Ftimestamp%3D20230613151527" TargetMode="External" Id="rId215"/><Relationship Type="http://schemas.openxmlformats.org/officeDocument/2006/relationships/hyperlink" Target="https://search1.kakaocdn.net/thumb/R120x174.q85/?fname=http%3A%2F%2Ft1.daumcdn.net%2Flbook%2Fimage%2F690303%3Ftimestamp%3D20230516153524" TargetMode="External" Id="rId216"/><Relationship Type="http://schemas.openxmlformats.org/officeDocument/2006/relationships/hyperlink" Target="https://search1.kakaocdn.net/thumb/R120x174.q85/?fname=http%3A%2F%2Ft1.daumcdn.net%2Flbook%2Fimage%2F6706302%3Ftimestamp%3D20250924141828" TargetMode="External" Id="rId217"/><Relationship Type="http://schemas.openxmlformats.org/officeDocument/2006/relationships/hyperlink" Target="https://search1.kakaocdn.net/thumb/R120x174.q85/?fname=http%3A%2F%2Ft1.daumcdn.net%2Flbook%2Fimage%2F1426643%3Ftimestamp%3D20221011174056" TargetMode="External" Id="rId218"/><Relationship Type="http://schemas.openxmlformats.org/officeDocument/2006/relationships/hyperlink" Target="https://search1.kakaocdn.net/thumb/R120x174.q85/?fname=http%3A%2F%2Ft1.daumcdn.net%2Flbook%2Fimage%2F525769%3Ftimestamp%3D20250704110205" TargetMode="External" Id="rId219"/><Relationship Type="http://schemas.openxmlformats.org/officeDocument/2006/relationships/hyperlink" Target="https://search1.kakaocdn.net/thumb/R120x174.q85/?fname=http%3A%2F%2Ft1.daumcdn.net%2Flbook%2Fimage%2F540860%3Ftimestamp%3D20251205142723" TargetMode="External" Id="rId220"/><Relationship Type="http://schemas.openxmlformats.org/officeDocument/2006/relationships/hyperlink" Target="https://search1.kakaocdn.net/thumb/R120x174.q85/?fname=http%3A%2F%2Ft1.daumcdn.net%2Flbook%2Fimage%2F5036289%3Ftimestamp%3D20251203130259" TargetMode="External" Id="rId221"/><Relationship Type="http://schemas.openxmlformats.org/officeDocument/2006/relationships/hyperlink" Target="https://search1.kakaocdn.net/thumb/R120x174.q85/?fname=http%3A%2F%2Ft1.daumcdn.net%2Flbook%2Fimage%2F6853815%3Ftimestamp%3D20260401124330" TargetMode="External" Id="rId222"/><Relationship Type="http://schemas.openxmlformats.org/officeDocument/2006/relationships/hyperlink" Target="https://search1.kakaocdn.net/thumb/R120x174.q85/?fname=http%3A%2F%2Ft1.daumcdn.net%2Flbook%2Fimage%2F970334%3Ftimestamp%3D20250306113839" TargetMode="External" Id="rId223"/><Relationship Type="http://schemas.openxmlformats.org/officeDocument/2006/relationships/hyperlink" Target="https://search1.kakaocdn.net/thumb/R120x174.q85/?fname=http%3A%2F%2Ft1.daumcdn.net%2Flbook%2Fimage%2F998216%3Ftimestamp%3D20251219110803" TargetMode="External" Id="rId224"/><Relationship Type="http://schemas.openxmlformats.org/officeDocument/2006/relationships/hyperlink" Target="https://search1.kakaocdn.net/thumb/R120x174.q85/?fname=http%3A%2F%2Ft1.daumcdn.net%2Flbook%2Fimage%2F1650192%3Ftimestamp%3D20260321110700" TargetMode="External" Id="rId225"/><Relationship Type="http://schemas.openxmlformats.org/officeDocument/2006/relationships/hyperlink" Target="https://search1.kakaocdn.net/thumb/R120x174.q85/?fname=http%3A%2F%2Ft1.daumcdn.net%2Flbook%2Fimage%2F833827%3Ftimestamp%3D20260315110554" TargetMode="External" Id="rId226"/><Relationship Type="http://schemas.openxmlformats.org/officeDocument/2006/relationships/hyperlink" Target="https://search1.kakaocdn.net/thumb/R120x174.q85/?fname=http%3A%2F%2Ft1.daumcdn.net%2Flbook%2Fimage%2F477884%3Ftimestamp%3D20250621113335" TargetMode="External" Id="rId227"/><Relationship Type="http://schemas.openxmlformats.org/officeDocument/2006/relationships/hyperlink" Target="https://search1.kakaocdn.net/thumb/R120x174.q85/?fname=http%3A%2F%2Ft1.daumcdn.net%2Flbook%2Fimage%2F541082%3Ftimestamp%3D20251125110915" TargetMode="External" Id="rId228"/><Relationship Type="http://schemas.openxmlformats.org/officeDocument/2006/relationships/hyperlink" Target="https://search1.kakaocdn.net/thumb/R120x174.q85/?fname=http%3A%2F%2Ft1.daumcdn.net%2Flbook%2Fimage%2F540816%3Ftimestamp%3D20241113114441" TargetMode="External" Id="rId229"/><Relationship Type="http://schemas.openxmlformats.org/officeDocument/2006/relationships/hyperlink" Target="https://search1.kakaocdn.net/thumb/R120x174.q85/?fname=http%3A%2F%2Ft1.daumcdn.net%2Flbook%2Fimage%2F1240322%3Ftimestamp%3D20250320113534" TargetMode="External" Id="rId230"/><Relationship Type="http://schemas.openxmlformats.org/officeDocument/2006/relationships/hyperlink" Target="https://search1.kakaocdn.net/thumb/R120x174.q85/?fname=http%3A%2F%2Ft1.daumcdn.net%2Flbook%2Fimage%2F540857%3Ftimestamp%3D20251210110910" TargetMode="External" Id="rId231"/><Relationship Type="http://schemas.openxmlformats.org/officeDocument/2006/relationships/hyperlink" Target="https://search1.kakaocdn.net/thumb/R120x174.q85/?fname=http%3A%2F%2Ft1.daumcdn.net%2Flbook%2Fimage%2F4895414%3Ftimestamp%3D20260111114842" TargetMode="External" Id="rId232"/><Relationship Type="http://schemas.openxmlformats.org/officeDocument/2006/relationships/hyperlink" Target="https://search1.kakaocdn.net/thumb/R120x174.q85/?fname=http%3A%2F%2Ft1.daumcdn.net%2Flbook%2Fimage%2F1415290%3Ftimestamp%3D20190129221836" TargetMode="External" Id="rId233"/><Relationship Type="http://schemas.openxmlformats.org/officeDocument/2006/relationships/hyperlink" Target="https://search1.kakaocdn.net/thumb/R120x174.q85/?fname=http%3A%2F%2Ft1.daumcdn.net%2Flbook%2Fimage%2F507024%3Ftimestamp%3D20231017191624" TargetMode="External" Id="rId234"/><Relationship Type="http://schemas.openxmlformats.org/officeDocument/2006/relationships/hyperlink" Target="https://search1.kakaocdn.net/thumb/R120x174.q85/?fname=http%3A%2F%2Ft1.daumcdn.net%2Flbook%2Fimage%2F922021%3Ftimestamp%3D20220917074206" TargetMode="External" Id="rId235"/><Relationship Type="http://schemas.openxmlformats.org/officeDocument/2006/relationships/hyperlink" Target="https://search1.kakaocdn.net/thumb/R120x174.q85/?fname=http%3A%2F%2Ft1.daumcdn.net%2Flbook%2Fimage%2F691857%3Ftimestamp%3D20260113110857" TargetMode="External" Id="rId236"/><Relationship Type="http://schemas.openxmlformats.org/officeDocument/2006/relationships/hyperlink" Target="https://search1.kakaocdn.net/thumb/R120x174.q85/?fname=http%3A%2F%2Ft1.daumcdn.net%2Flbook%2Fimage%2F691853%3Ftimestamp%3D20260113110855" TargetMode="External" Id="rId237"/><Relationship Type="http://schemas.openxmlformats.org/officeDocument/2006/relationships/hyperlink" Target="https://search1.kakaocdn.net/thumb/R120x174.q85/?fname=http%3A%2F%2Ft1.daumcdn.net%2Flbook%2Fimage%2F691286%3Ftimestamp%3D20260226110853" TargetMode="External" Id="rId238"/><Relationship Type="http://schemas.openxmlformats.org/officeDocument/2006/relationships/hyperlink" Target="https://search1.kakaocdn.net/thumb/R120x174.q85/?fname=http%3A%2F%2Ft1.daumcdn.net%2Flbook%2Fimage%2F412432%3Ftimestamp%3D20231111172952" TargetMode="External" Id="rId239"/><Relationship Type="http://schemas.openxmlformats.org/officeDocument/2006/relationships/hyperlink" Target="https://search1.kakaocdn.net/thumb/R120x174.q85/?fname=http%3A%2F%2Ft1.daumcdn.net%2Flbook%2Fimage%2F1164431%3Ftimestamp%3D20251021110330" TargetMode="External" Id="rId240"/><Relationship Type="http://schemas.openxmlformats.org/officeDocument/2006/relationships/hyperlink" Target="https://search1.kakaocdn.net/thumb/R120x174.q85/?fname=http%3A%2F%2Ft1.daumcdn.net%2Flbook%2Fimage%2F1412590%3Ftimestamp%3D20221108000000" TargetMode="External" Id="rId241"/><Relationship Type="http://schemas.openxmlformats.org/officeDocument/2006/relationships/hyperlink" Target="https://search1.kakaocdn.net/thumb/R120x174.q85/?fname=http%3A%2F%2Ft1.daumcdn.net%2Flbook%2Fimage%2F1420945%3Ftimestamp%3D20221107223137" TargetMode="External" Id="rId242"/><Relationship Type="http://schemas.openxmlformats.org/officeDocument/2006/relationships/hyperlink" Target="https://search1.kakaocdn.net/thumb/R120x174.q85/?fname=http%3A%2F%2Ft1.daumcdn.net%2Flbook%2Fimage%2F862941%3Ftimestamp%3D20240525113038" TargetMode="External" Id="rId243"/><Relationship Type="http://schemas.openxmlformats.org/officeDocument/2006/relationships/hyperlink" Target="https://search1.kakaocdn.net/thumb/R120x174.q85/?fname=http%3A%2F%2Ft1.daumcdn.net%2Flbook%2Fimage%2F502494%3Ftimestamp%3D20221108003929" TargetMode="External" Id="rId244"/><Relationship Type="http://schemas.openxmlformats.org/officeDocument/2006/relationships/hyperlink" Target="https://search1.kakaocdn.net/thumb/R120x174.q85/?fname=http%3A%2F%2Ft1.daumcdn.net%2Flbook%2Fimage%2F691434%3Ftimestamp%3D20241126113649" TargetMode="External" Id="rId245"/><Relationship Type="http://schemas.openxmlformats.org/officeDocument/2006/relationships/hyperlink" Target="https://search1.kakaocdn.net/thumb/R120x174.q85/?fname=http%3A%2F%2Ft1.daumcdn.net%2Flbook%2Fimage%2F691662%3Ftimestamp%3D20200210122146" TargetMode="External" Id="rId246"/><Relationship Type="http://schemas.openxmlformats.org/officeDocument/2006/relationships/hyperlink" Target="https://search1.kakaocdn.net/thumb/R120x174.q85/?fname=http%3A%2F%2Ft1.daumcdn.net%2Flbook%2Fimage%2F1206699%3Ftimestamp%3D20221108003949" TargetMode="External" Id="rId247"/><Relationship Type="http://schemas.openxmlformats.org/officeDocument/2006/relationships/hyperlink" Target="https://search1.kakaocdn.net/thumb/R120x174.q85/?fname=http%3A%2F%2Ft1.daumcdn.net%2Flbook%2Fimage%2F1205359%3Ftimestamp%3D20221108000533" TargetMode="External" Id="rId248"/><Relationship Type="http://schemas.openxmlformats.org/officeDocument/2006/relationships/hyperlink" Target="https://search1.kakaocdn.net/thumb/R120x174.q85/?fname=http%3A%2F%2Ft1.daumcdn.net%2Flbook%2Fimage%2F987035%3Ftimestamp%3D20260108111121" TargetMode="External" Id="rId249"/><Relationship Type="http://schemas.openxmlformats.org/officeDocument/2006/relationships/hyperlink" Target="https://search1.kakaocdn.net/thumb/R120x174.q85/?fname=http%3A%2F%2Ft1.daumcdn.net%2Flbook%2Fimage%2F909824%3Ftimestamp%3D20241213113826" TargetMode="External" Id="rId250"/><Relationship Type="http://schemas.openxmlformats.org/officeDocument/2006/relationships/hyperlink" Target="https://search1.kakaocdn.net/thumb/R120x174.q85/?fname=http%3A%2F%2Ft1.daumcdn.net%2Flbook%2Fimage%2F495007%3Ftimestamp%3D20250812110252" TargetMode="External" Id="rId251"/><Relationship Type="http://schemas.openxmlformats.org/officeDocument/2006/relationships/hyperlink" Target="https://search1.kakaocdn.net/thumb/R120x174.q85/?fname=http%3A%2F%2Ft1.daumcdn.net%2Flbook%2Fimage%2F1097647%3Ftimestamp%3D20240208154714" TargetMode="External" Id="rId252"/><Relationship Type="http://schemas.openxmlformats.org/officeDocument/2006/relationships/hyperlink" Target="https://search1.kakaocdn.net/thumb/R120x174.q85/?fname=http%3A%2F%2Ft1.daumcdn.net%2Flbook%2Fimage%2F644254%3Ftimestamp%3D20241116114227" TargetMode="External" Id="rId253"/><Relationship Type="http://schemas.openxmlformats.org/officeDocument/2006/relationships/hyperlink" Target="https://search1.kakaocdn.net/thumb/R120x174.q85/?fname=http%3A%2F%2Ft1.daumcdn.net%2Flbook%2Fimage%2F643872%3Ftimestamp%3D20250919110331" TargetMode="External" Id="rId254"/><Relationship Type="http://schemas.openxmlformats.org/officeDocument/2006/relationships/hyperlink" Target="https://search1.kakaocdn.net/thumb/R120x174.q85/?fname=http%3A%2F%2Ft1.daumcdn.net%2Flbook%2Fimage%2F643078%3Ftimestamp%3D20221011183825" TargetMode="External" Id="rId255"/><Relationship Type="http://schemas.openxmlformats.org/officeDocument/2006/relationships/hyperlink" Target="https://search1.kakaocdn.net/thumb/R120x174.q85/?fname=http%3A%2F%2Ft1.daumcdn.net%2Flbook%2Fimage%2F750767%3Ftimestamp%3D20251227110846" TargetMode="External" Id="rId256"/><Relationship Type="http://schemas.openxmlformats.org/officeDocument/2006/relationships/hyperlink" Target="https://search1.kakaocdn.net/thumb/R120x174.q85/?fname=http%3A%2F%2Ft1.daumcdn.net%2Flbook%2Fimage%2F691272%3Ftimestamp%3D20260207110833" TargetMode="External" Id="rId257"/><Relationship Type="http://schemas.openxmlformats.org/officeDocument/2006/relationships/hyperlink" Target="https://search1.kakaocdn.net/thumb/R120x174.q85/?fname=http%3A%2F%2Ft1.daumcdn.net%2Flbook%2Fimage%2F506542%3Ftimestamp%3D20231008151827" TargetMode="External" Id="rId258"/><Relationship Type="http://schemas.openxmlformats.org/officeDocument/2006/relationships/hyperlink" Target="https://search1.kakaocdn.net/thumb/R120x174.q85/?fname=http%3A%2F%2Ft1.daumcdn.net%2Flbook%2Fimage%2F1206887%3Ftimestamp%3D20221108001129" TargetMode="External" Id="rId259"/><Relationship Type="http://schemas.openxmlformats.org/officeDocument/2006/relationships/hyperlink" Target="https://search1.kakaocdn.net/thumb/R120x174.q85/?fname=http%3A%2F%2Ft1.daumcdn.net%2Flbook%2Fimage%2F1469620%3Ftimestamp%3D20210518144459" TargetMode="External" Id="rId260"/><Relationship Type="http://schemas.openxmlformats.org/officeDocument/2006/relationships/hyperlink" Target="https://search1.kakaocdn.net/thumb/R120x174.q85/?fname=http%3A%2F%2Ft1.daumcdn.net%2Flbook%2Fimage%2F1500180%3Ftimestamp%3D20251107110842" TargetMode="External" Id="rId261"/><Relationship Type="http://schemas.openxmlformats.org/officeDocument/2006/relationships/hyperlink" Target="https://search1.kakaocdn.net/thumb/R120x174.q85/?fname=http%3A%2F%2Ft1.daumcdn.net%2Flbook%2Fimage%2F506764%3Ftimestamp%3D20231007171707" TargetMode="External" Id="rId262"/><Relationship Type="http://schemas.openxmlformats.org/officeDocument/2006/relationships/hyperlink" Target="https://search1.kakaocdn.net/thumb/R120x174.q85/?fname=http%3A%2F%2Ft1.daumcdn.net%2Flbook%2Fimage%2F1245098%3Ftimestamp%3D20230728163653" TargetMode="External" Id="rId263"/><Relationship Type="http://schemas.openxmlformats.org/officeDocument/2006/relationships/hyperlink" Target="https://search1.kakaocdn.net/thumb/R120x174.q85/?fname=http%3A%2F%2Ft1.daumcdn.net%2Flbook%2Fimage%2F1242054%3Ftimestamp%3D20250629113331" TargetMode="External" Id="rId264"/><Relationship Type="http://schemas.openxmlformats.org/officeDocument/2006/relationships/hyperlink" Target="https://search1.kakaocdn.net/thumb/R120x174.q85/?fname=http%3A%2F%2Ft1.daumcdn.net%2Flbook%2Fimage%2F1283110%3Ftimestamp%3D20211206153712" TargetMode="External" Id="rId265"/><Relationship Type="http://schemas.openxmlformats.org/officeDocument/2006/relationships/hyperlink" Target="https://search1.kakaocdn.net/thumb/R120x174.q85/?fname=http%3A%2F%2Ft1.daumcdn.net%2Flbook%2Fimage%2F1259554%3Ftimestamp%3D20260113110814" TargetMode="External" Id="rId266"/><Relationship Type="http://schemas.openxmlformats.org/officeDocument/2006/relationships/hyperlink" Target="https://search1.kakaocdn.net/thumb/R120x174.q85/?fname=http%3A%2F%2Ft1.daumcdn.net%2Flbook%2Fimage%2F1262038%3Ftimestamp%3D20221108002108" TargetMode="External" Id="rId267"/><Relationship Type="http://schemas.openxmlformats.org/officeDocument/2006/relationships/hyperlink" Target="https://search1.kakaocdn.net/thumb/R120x174.q85/?fname=http%3A%2F%2Ft1.daumcdn.net%2Flbook%2Fimage%2F6589690%3Ftimestamp%3D20240517160835" TargetMode="External" Id="rId268"/><Relationship Type="http://schemas.openxmlformats.org/officeDocument/2006/relationships/hyperlink" Target="https://search1.kakaocdn.net/thumb/R120x174.q85/?fname=http%3A%2F%2Ft1.daumcdn.net%2Flbook%2Fimage%2F918576%3Ftimestamp%3D20220930204542" TargetMode="External" Id="rId269"/><Relationship Type="http://schemas.openxmlformats.org/officeDocument/2006/relationships/hyperlink" Target="https://search1.kakaocdn.net/thumb/R120x174.q85/?fname=http%3A%2F%2Ft1.daumcdn.net%2Flbook%2Fimage%2F1379562%3Ftimestamp%3D20251116110720" TargetMode="External" Id="rId270"/><Relationship Type="http://schemas.openxmlformats.org/officeDocument/2006/relationships/hyperlink" Target="https://search1.kakaocdn.net/thumb/R120x174.q85/?fname=http%3A%2F%2Ft1.daumcdn.net%2Flbook%2Fimage%2F540772%3Ftimestamp%3D20251213110801" TargetMode="External" Id="rId271"/><Relationship Type="http://schemas.openxmlformats.org/officeDocument/2006/relationships/hyperlink" Target="https://search1.kakaocdn.net/thumb/R120x174.q85/?fname=http%3A%2F%2Ft1.daumcdn.net%2Flbook%2Fimage%2F731678%3Ftimestamp%3D20201009151542" TargetMode="External" Id="rId272"/><Relationship Type="http://schemas.openxmlformats.org/officeDocument/2006/relationships/hyperlink" Target="https://search1.kakaocdn.net/thumb/R120x174.q85/?fname=http%3A%2F%2Ft1.daumcdn.net%2Flbook%2Fimage%2F730680%3Ftimestamp%3D20190124162613" TargetMode="External" Id="rId273"/><Relationship Type="http://schemas.openxmlformats.org/officeDocument/2006/relationships/hyperlink" Target="https://search1.kakaocdn.net/thumb/R120x174.q85/?fname=http%3A%2F%2Ft1.daumcdn.net%2Flbook%2Fimage%2F507082%3Ftimestamp%3D20231018195432" TargetMode="External" Id="rId274"/><Relationship Type="http://schemas.openxmlformats.org/officeDocument/2006/relationships/hyperlink" Target="https://search1.kakaocdn.net/thumb/R120x174.q85/?fname=http%3A%2F%2Ft1.daumcdn.net%2Flbook%2Fimage%2F724053%3Ftimestamp%3D20240313113410" TargetMode="External" Id="rId275"/><Relationship Type="http://schemas.openxmlformats.org/officeDocument/2006/relationships/hyperlink" Target="https://search1.kakaocdn.net/thumb/R120x174.q85/?fname=http%3A%2F%2Ft1.daumcdn.net%2Flbook%2Fimage%2F690908%3Ftimestamp%3D20260410110614" TargetMode="External" Id="rId276"/><Relationship Type="http://schemas.openxmlformats.org/officeDocument/2006/relationships/hyperlink" Target="https://search1.kakaocdn.net/thumb/R120x174.q85/?fname=http%3A%2F%2Ft1.daumcdn.net%2Flbook%2Fimage%2F505017%3Ftimestamp%3D20231018165254" TargetMode="External" Id="rId277"/><Relationship Type="http://schemas.openxmlformats.org/officeDocument/2006/relationships/hyperlink" Target="https://search1.kakaocdn.net/thumb/R120x174.q85/?fname=http%3A%2F%2Ft1.daumcdn.net%2Flbook%2Fimage%2F506861%3Ftimestamp%3D20231018181511" TargetMode="External" Id="rId278"/><Relationship Type="http://schemas.openxmlformats.org/officeDocument/2006/relationships/hyperlink" Target="https://search1.kakaocdn.net/thumb/R120x174.q85/?fname=http%3A%2F%2Ft1.daumcdn.net%2Flbook%2Fimage%2F507013%3Ftimestamp%3D20231012163824" TargetMode="External" Id="rId279"/><Relationship Type="http://schemas.openxmlformats.org/officeDocument/2006/relationships/hyperlink" Target="https://search1.kakaocdn.net/thumb/R120x174.q85/?fname=http%3A%2F%2Ft1.daumcdn.net%2Flbook%2Fimage%2F1155593%3Ftimestamp%3D20251209110811" TargetMode="External" Id="rId280"/><Relationship Type="http://schemas.openxmlformats.org/officeDocument/2006/relationships/hyperlink" Target="https://search1.kakaocdn.net/thumb/R120x174.q85/?fname=http%3A%2F%2Ft1.daumcdn.net%2Flbook%2Fimage%2F954195%3Ftimestamp%3D20220831174458" TargetMode="External" Id="rId281"/><Relationship Type="http://schemas.openxmlformats.org/officeDocument/2006/relationships/hyperlink" Target="https://search1.kakaocdn.net/thumb/R120x174.q85/?fname=http%3A%2F%2Ft1.daumcdn.net%2Flbook%2Fimage%2F5132886%3Ftimestamp%3D20260131130951" TargetMode="External" Id="rId282"/><Relationship Type="http://schemas.openxmlformats.org/officeDocument/2006/relationships/hyperlink" Target="https://search1.kakaocdn.net/thumb/R120x174.q85/?fname=http%3A%2F%2Ft1.daumcdn.net%2Flbook%2Fimage%2F506898%3Ftimestamp%3D20250723110524" TargetMode="External" Id="rId283"/><Relationship Type="http://schemas.openxmlformats.org/officeDocument/2006/relationships/hyperlink" Target="https://search1.kakaocdn.net/thumb/R120x174.q85/?fname=http%3A%2F%2Ft1.daumcdn.net%2Flbook%2Fimage%2F506743%3Ftimestamp%3D20250723110535" TargetMode="External" Id="rId284"/><Relationship Type="http://schemas.openxmlformats.org/officeDocument/2006/relationships/hyperlink" Target="https://search1.kakaocdn.net/thumb/R120x174.q85/?fname=http%3A%2F%2Ft1.daumcdn.net%2Flbook%2Fimage%2F506985%3Ftimestamp%3D20250403113620" TargetMode="External" Id="rId285"/><Relationship Type="http://schemas.openxmlformats.org/officeDocument/2006/relationships/hyperlink" Target="https://search1.kakaocdn.net/thumb/R120x174.q85/?fname=http%3A%2F%2Ft1.daumcdn.net%2Flbook%2Fimage%2F349096%3Ftimestamp%3D20250521180805" TargetMode="External" Id="rId286"/><Relationship Type="http://schemas.openxmlformats.org/officeDocument/2006/relationships/hyperlink" Target="https://search1.kakaocdn.net/thumb/R120x174.q85/?fname=http%3A%2F%2Ft1.daumcdn.net%2Flbook%2Fimage%2F1339923%3Ftimestamp%3D20220630120258" TargetMode="External" Id="rId287"/><Relationship Type="http://schemas.openxmlformats.org/officeDocument/2006/relationships/hyperlink" Target="https://search1.kakaocdn.net/thumb/R120x174.q85/?fname=http%3A%2F%2Ft1.daumcdn.net%2Flbook%2Fimage%2F1452048%3Ftimestamp%3D20200728134526" TargetMode="External" Id="rId288"/><Relationship Type="http://schemas.openxmlformats.org/officeDocument/2006/relationships/hyperlink" Target="https://search1.kakaocdn.net/thumb/R120x174.q85/?fname=http%3A%2F%2Ft1.daumcdn.net%2Flbook%2Fimage%2F506317%3Ftimestamp%3D20220218155641" TargetMode="External" Id="rId289"/><Relationship Type="http://schemas.openxmlformats.org/officeDocument/2006/relationships/hyperlink" Target="https://search1.kakaocdn.net/thumb/R120x174.q85/?fname=http%3A%2F%2Ft1.daumcdn.net%2Flbook%2Fimage%2F506900%3Ftimestamp%3D20240104185548" TargetMode="External" Id="rId290"/><Relationship Type="http://schemas.openxmlformats.org/officeDocument/2006/relationships/hyperlink" Target="https://search1.kakaocdn.net/thumb/R120x174.q85/?fname=http%3A%2F%2Ft1.daumcdn.net%2Flbook%2Fimage%2F507046%3Ftimestamp%3D20231201154545" TargetMode="External" Id="rId291"/><Relationship Type="http://schemas.openxmlformats.org/officeDocument/2006/relationships/hyperlink" Target="https://search1.kakaocdn.net/thumb/R120x174.q85/?fname=http%3A%2F%2Ft1.daumcdn.net%2Flbook%2Fimage%2F5347059%3Ftimestamp%3D20231012173733" TargetMode="External" Id="rId292"/><Relationship Type="http://schemas.openxmlformats.org/officeDocument/2006/relationships/hyperlink" Target="https://search1.kakaocdn.net/thumb/R120x174.q85/?fname=http%3A%2F%2Ft1.daumcdn.net%2Flbook%2Fimage%2F920014%3Ftimestamp%3D20260206110611" TargetMode="External" Id="rId293"/><Relationship Type="http://schemas.openxmlformats.org/officeDocument/2006/relationships/hyperlink" Target="https://search1.kakaocdn.net/thumb/R120x174.q85/?fname=http%3A%2F%2Ft1.daumcdn.net%2Flbook%2Fimage%2F1027500%3Ftimestamp%3D20240410114145" TargetMode="External" Id="rId294"/><Relationship Type="http://schemas.openxmlformats.org/officeDocument/2006/relationships/hyperlink" Target="https://search1.kakaocdn.net/thumb/R120x174.q85/?fname=http%3A%2F%2Ft1.daumcdn.net%2Flbook%2Fimage%2F1029076%3Ftimestamp%3D20251015110532" TargetMode="External" Id="rId295"/><Relationship Type="http://schemas.openxmlformats.org/officeDocument/2006/relationships/hyperlink" Target="https://search1.kakaocdn.net/thumb/R120x174.q85/?fname=http%3A%2F%2Ft1.daumcdn.net%2Flbook%2Fimage%2F3712532" TargetMode="External" Id="rId296"/><Relationship Type="http://schemas.openxmlformats.org/officeDocument/2006/relationships/hyperlink" Target="https://search1.kakaocdn.net/thumb/R120x174.q85/?fname=http%3A%2F%2Ft1.daumcdn.net%2Flbook%2Fimage%2F534387%3Ftimestamp%3D20221025124310" TargetMode="External" Id="rId297"/><Relationship Type="http://schemas.openxmlformats.org/officeDocument/2006/relationships/hyperlink" Target="https://search1.kakaocdn.net/thumb/R120x174.q85/?fname=http%3A%2F%2Ft1.daumcdn.net%2Flbook%2Fimage%2F505930%3Ftimestamp%3D20220601160716" TargetMode="External" Id="rId298"/><Relationship Type="http://schemas.openxmlformats.org/officeDocument/2006/relationships/hyperlink" Target="https://search1.kakaocdn.net/thumb/R120x174.q85/?fname=http%3A%2F%2Ft1.daumcdn.net%2Flbook%2Fimage%2F751147%3Ftimestamp%3D20221107225517" TargetMode="External" Id="rId299"/><Relationship Type="http://schemas.openxmlformats.org/officeDocument/2006/relationships/hyperlink" Target="https://search1.kakaocdn.net/thumb/R120x174.q85/?fname=http%3A%2F%2Ft1.daumcdn.net%2Flbook%2Fimage%2F477196%3Ftimestamp%3D20230219140949" TargetMode="External" Id="rId300"/><Relationship Type="http://schemas.openxmlformats.org/officeDocument/2006/relationships/hyperlink" Target="https://search1.kakaocdn.net/thumb/R120x174.q85/?fname=http%3A%2F%2Ft1.daumcdn.net%2Flbook%2Fimage%2F4982792%3Ftimestamp%3D20251029125254" TargetMode="External" Id="rId301"/><Relationship Type="http://schemas.openxmlformats.org/officeDocument/2006/relationships/hyperlink" Target="https://search1.kakaocdn.net/thumb/R120x174.q85/?fname=http%3A%2F%2Ft1.daumcdn.net%2Flbook%2Fimage%2F363476%3Ftimestamp%3D20240803112710" TargetMode="External" Id="rId302"/><Relationship Type="http://schemas.openxmlformats.org/officeDocument/2006/relationships/hyperlink" Target="https://search1.kakaocdn.net/thumb/R120x174.q85/?fname=http%3A%2F%2Ft1.daumcdn.net%2Flbook%2Fimage%2F363480%3Ftimestamp%3D20241114114053" TargetMode="External" Id="rId303"/><Relationship Type="http://schemas.openxmlformats.org/officeDocument/2006/relationships/hyperlink" Target="https://search1.kakaocdn.net/thumb/R120x174.q85/?fname=http%3A%2F%2Ft1.daumcdn.net%2Flbook%2Fimage%2F6216322%3Ftimestamp%3D20260204152453" TargetMode="External" Id="rId304"/><Relationship Type="http://schemas.openxmlformats.org/officeDocument/2006/relationships/hyperlink" Target="https://search1.kakaocdn.net/thumb/R120x174.q85/?fname=http%3A%2F%2Ft1.daumcdn.net%2Flbook%2Fimage%2F540810%3Ftimestamp%3D20251204110719" TargetMode="External" Id="rId305"/><Relationship Type="http://schemas.openxmlformats.org/officeDocument/2006/relationships/hyperlink" Target="https://search1.kakaocdn.net/thumb/R120x174.q85/?fname=http%3A%2F%2Ft1.daumcdn.net%2Flbook%2Fimage%2F832380%3Ftimestamp%3D20260320110648" TargetMode="External" Id="rId306"/><Relationship Type="http://schemas.openxmlformats.org/officeDocument/2006/relationships/hyperlink" Target="https://search1.kakaocdn.net/thumb/R120x174.q85/?fname=http%3A%2F%2Ft1.daumcdn.net%2Flbook%2Fimage%2F1159204%3Ftimestamp%3D20231101180631" TargetMode="External" Id="rId307"/><Relationship Type="http://schemas.openxmlformats.org/officeDocument/2006/relationships/hyperlink" Target="https://search1.kakaocdn.net/thumb/R120x174.q85/?fname=http%3A%2F%2Ft1.daumcdn.net%2Flbook%2Fimage%2F513427%3Ftimestamp%3D20220930205854" TargetMode="External" Id="rId308"/><Relationship Type="http://schemas.openxmlformats.org/officeDocument/2006/relationships/hyperlink" Target="https://search1.kakaocdn.net/thumb/R120x174.q85/?fname=http%3A%2F%2Ft1.daumcdn.net%2Flbook%2Fimage%2F917275%3Ftimestamp%3D20221107233130" TargetMode="External" Id="rId309"/><Relationship Type="http://schemas.openxmlformats.org/officeDocument/2006/relationships/hyperlink" Target="https://search1.kakaocdn.net/thumb/R120x174.q85/?fname=http%3A%2F%2Ft1.daumcdn.net%2Flbook%2Fimage%2F540501%3Ftimestamp%3D20250529113035" TargetMode="External" Id="rId310"/><Relationship Type="http://schemas.openxmlformats.org/officeDocument/2006/relationships/hyperlink" Target="https://search1.kakaocdn.net/thumb/R120x174.q85/?fname=http%3A%2F%2Ft1.daumcdn.net%2Flbook%2Fimage%2F879111%3Ftimestamp%3D20220925174533" TargetMode="External" Id="rId311"/><Relationship Type="http://schemas.openxmlformats.org/officeDocument/2006/relationships/hyperlink" Target="https://search1.kakaocdn.net/thumb/R120x174.q85/?fname=http%3A%2F%2Ft1.daumcdn.net%2Flbook%2Fimage%2F6111738%3Ftimestamp%3D20260410121242" TargetMode="External" Id="rId312"/><Relationship Type="http://schemas.openxmlformats.org/officeDocument/2006/relationships/hyperlink" Target="https://search1.kakaocdn.net/thumb/R120x174.q85/?fname=http%3A%2F%2Ft1.daumcdn.net%2Flbook%2Fimage%2F690307%3Ftimestamp%3D20230817182946" TargetMode="External" Id="rId313"/><Relationship Type="http://schemas.openxmlformats.org/officeDocument/2006/relationships/hyperlink" Target="https://search1.kakaocdn.net/thumb/R120x174.q85/?fname=http%3A%2F%2Ft1.daumcdn.net%2Flbook%2Fimage%2F690191%3Ftimestamp%3D20260108111110" TargetMode="External" Id="rId314"/><Relationship Type="http://schemas.openxmlformats.org/officeDocument/2006/relationships/hyperlink" Target="https://search1.kakaocdn.net/thumb/R120x174.q85/?fname=http%3A%2F%2Ft1.daumcdn.net%2Flbook%2Fimage%2F690439%3Ftimestamp%3D20220210200743" TargetMode="External" Id="rId315"/><Relationship Type="http://schemas.openxmlformats.org/officeDocument/2006/relationships/hyperlink" Target="https://search1.kakaocdn.net/thumb/R120x174.q85/?fname=http%3A%2F%2Ft1.daumcdn.net%2Flbook%2Fimage%2F540768%3Ftimestamp%3D20260131110746" TargetMode="External" Id="rId316"/><Relationship Type="http://schemas.openxmlformats.org/officeDocument/2006/relationships/hyperlink" Target="https://search1.kakaocdn.net/thumb/R120x174.q85/?fname=http%3A%2F%2Ft1.daumcdn.net%2Flbook%2Fimage%2F540767%3Ftimestamp%3D20260128110931" TargetMode="External" Id="rId317"/><Relationship Type="http://schemas.openxmlformats.org/officeDocument/2006/relationships/hyperlink" Target="https://search1.kakaocdn.net/thumb/R120x174.q85/?fname=http%3A%2F%2Ft1.daumcdn.net%2Flbook%2Fimage%2F507004%3Ftimestamp%3D20231007144616" TargetMode="External" Id="rId318"/><Relationship Type="http://schemas.openxmlformats.org/officeDocument/2006/relationships/hyperlink" Target="https://search1.kakaocdn.net/thumb/R120x174.q85/?fname=http%3A%2F%2Ft1.daumcdn.net%2Flbook%2Fimage%2F835178%3Ftimestamp%3D20230801152927" TargetMode="External" Id="rId319"/><Relationship Type="http://schemas.openxmlformats.org/officeDocument/2006/relationships/hyperlink" Target="https://search1.kakaocdn.net/thumb/R120x174.q85/?fname=http%3A%2F%2Ft1.daumcdn.net%2Flbook%2Fimage%2F505959%3Ftimestamp%3D20220520232208" TargetMode="External" Id="rId320"/><Relationship Type="http://schemas.openxmlformats.org/officeDocument/2006/relationships/hyperlink" Target="https://search1.kakaocdn.net/thumb/R120x174.q85/?fname=http%3A%2F%2Ft1.daumcdn.net%2Flbook%2Fimage%2F1638945%3Ftimestamp%3D20230429142701" TargetMode="External" Id="rId321"/><Relationship Type="http://schemas.openxmlformats.org/officeDocument/2006/relationships/hyperlink" Target="https://search1.kakaocdn.net/thumb/R120x174.q85/?fname=http%3A%2F%2Ft1.daumcdn.net%2Flbook%2Fimage%2F505945%3Ftimestamp%3D20220826230936" TargetMode="External" Id="rId322"/><Relationship Type="http://schemas.openxmlformats.org/officeDocument/2006/relationships/hyperlink" Target="https://search1.kakaocdn.net/thumb/R120x174.q85/?fname=http%3A%2F%2Ft1.daumcdn.net%2Flbook%2Fimage%2F5907637%3Ftimestamp%3D20251217144632" TargetMode="External" Id="rId323"/><Relationship Type="http://schemas.openxmlformats.org/officeDocument/2006/relationships/hyperlink" Target="https://search1.kakaocdn.net/thumb/R120x174.q85/?fname=http%3A%2F%2Ft1.daumcdn.net%2Flbook%2Fimage%2F6091619%3Ftimestamp%3D20260401123658" TargetMode="External" Id="rId324"/><Relationship Type="http://schemas.openxmlformats.org/officeDocument/2006/relationships/hyperlink" Target="https://search1.kakaocdn.net/thumb/R120x174.q85/?fname=http%3A%2F%2Ft1.daumcdn.net%2Flbook%2Fimage%2F833444%3Ftimestamp%3D20230321140231" TargetMode="External" Id="rId325"/><Relationship Type="http://schemas.openxmlformats.org/officeDocument/2006/relationships/hyperlink" Target="https://search1.kakaocdn.net/thumb/R120x174.q85/?fname=http%3A%2F%2Ft1.daumcdn.net%2Flbook%2Fimage%2F507215%3Ftimestamp%3D20240821144431" TargetMode="External" Id="rId326"/><Relationship Type="http://schemas.openxmlformats.org/officeDocument/2006/relationships/hyperlink" Target="https://search1.kakaocdn.net/thumb/R120x174.q85/?fname=http%3A%2F%2Ft1.daumcdn.net%2Flbook%2Fimage%2F505012%3Ftimestamp%3D20260401110847" TargetMode="External" Id="rId327"/><Relationship Type="http://schemas.openxmlformats.org/officeDocument/2006/relationships/hyperlink" Target="https://search1.kakaocdn.net/thumb/R120x174.q85/?fname=http%3A%2F%2Ft1.daumcdn.net%2Flbook%2Fimage%2F506595%3Ftimestamp%3D20250523113018" TargetMode="External" Id="rId328"/><Relationship Type="http://schemas.openxmlformats.org/officeDocument/2006/relationships/hyperlink" Target="https://search1.kakaocdn.net/thumb/R120x174.q85/?fname=http%3A%2F%2Ft1.daumcdn.net%2Flbook%2Fimage%2F1436563%3Ftimestamp%3D20240314112335" TargetMode="External" Id="rId329"/><Relationship Type="http://schemas.openxmlformats.org/officeDocument/2006/relationships/hyperlink" Target="https://search1.kakaocdn.net/thumb/R120x174.q85/?fname=http%3A%2F%2Ft1.daumcdn.net%2Flbook%2Fimage%2F414242%3Ftimestamp%3D20231114143132" TargetMode="External" Id="rId330"/><Relationship Type="http://schemas.openxmlformats.org/officeDocument/2006/relationships/hyperlink" Target="https://search1.kakaocdn.net/thumb/R120x174.q85/?fname=http%3A%2F%2Ft1.daumcdn.net%2Flbook%2Fimage%2F506847%3Ftimestamp%3D20231012174532" TargetMode="External" Id="rId331"/><Relationship Type="http://schemas.openxmlformats.org/officeDocument/2006/relationships/hyperlink" Target="https://search1.kakaocdn.net/thumb/R120x174.q85/?fname=http%3A%2F%2Ft1.daumcdn.net%2Flbook%2Fimage%2F1459767%3Ftimestamp%3D20250711110611" TargetMode="External" Id="rId332"/><Relationship Type="http://schemas.openxmlformats.org/officeDocument/2006/relationships/hyperlink" Target="https://search1.kakaocdn.net/thumb/R120x174.q85/?fname=http%3A%2F%2Ft1.daumcdn.net%2Flbook%2Fimage%2F506213%3Ftimestamp%3D20220514165709" TargetMode="External" Id="rId333"/><Relationship Type="http://schemas.openxmlformats.org/officeDocument/2006/relationships/hyperlink" Target="https://search1.kakaocdn.net/thumb/R120x174.q85/?fname=http%3A%2F%2Ft1.daumcdn.net%2Flbook%2Fimage%2F1034988%3Ftimestamp%3D20230223143638" TargetMode="External" Id="rId334"/><Relationship Type="http://schemas.openxmlformats.org/officeDocument/2006/relationships/hyperlink" Target="https://search1.kakaocdn.net/thumb/R120x174.q85/?fname=http%3A%2F%2Ft1.daumcdn.net%2Flbook%2Fimage%2F6895883%3Ftimestamp%3D20250425204659" TargetMode="External" Id="rId335"/><Relationship Type="http://schemas.openxmlformats.org/officeDocument/2006/relationships/hyperlink" Target="https://search1.kakaocdn.net/thumb/R120x174.q85/?fname=http%3A%2F%2Ft1.daumcdn.net%2Flbook%2Fimage%2F783430%3Ftimestamp%3D20250916110451" TargetMode="External" Id="rId336"/><Relationship Type="http://schemas.openxmlformats.org/officeDocument/2006/relationships/hyperlink" Target="https://search1.kakaocdn.net/thumb/R120x174.q85/?fname=http%3A%2F%2Ft1.daumcdn.net%2Flbook%2Fimage%2F1369729%3Ftimestamp%3D20221025130427" TargetMode="External" Id="rId337"/><Relationship Type="http://schemas.openxmlformats.org/officeDocument/2006/relationships/hyperlink" Target="https://search1.kakaocdn.net/thumb/R120x174.q85/?fname=http%3A%2F%2Ft1.daumcdn.net%2Flbook%2Fimage%2F751183%3Ftimestamp%3D20220903173823" TargetMode="External" Id="rId338"/><Relationship Type="http://schemas.openxmlformats.org/officeDocument/2006/relationships/hyperlink" Target="https://search1.kakaocdn.net/thumb/R120x174.q85/?fname=http%3A%2F%2Ft1.daumcdn.net%2Flbook%2Fimage%2F1451082%3Ftimestamp%3D20220809185035" TargetMode="External" Id="rId339"/><Relationship Type="http://schemas.openxmlformats.org/officeDocument/2006/relationships/hyperlink" Target="https://search1.kakaocdn.net/thumb/R120x174.q85/?fname=http%3A%2F%2Ft1.daumcdn.net%2Flbook%2Fimage%2F841060%3Ftimestamp%3D20240504113547" TargetMode="External" Id="rId340"/><Relationship Type="http://schemas.openxmlformats.org/officeDocument/2006/relationships/hyperlink" Target="https://search1.kakaocdn.net/thumb/R120x174.q85/?fname=http%3A%2F%2Ft1.daumcdn.net%2Flbook%2Fimage%2F787427%3Ftimestamp%3D20221004005335" TargetMode="External" Id="rId341"/><Relationship Type="http://schemas.openxmlformats.org/officeDocument/2006/relationships/hyperlink" Target="https://search1.kakaocdn.net/thumb/R120x174.q85/?fname=http%3A%2F%2Ft1.daumcdn.net%2Flbook%2Fimage%2F518602%3Ftimestamp%3D20260121110904" TargetMode="External" Id="rId342"/><Relationship Type="http://schemas.openxmlformats.org/officeDocument/2006/relationships/hyperlink" Target="https://search1.kakaocdn.net/thumb/R120x174.q85/?fname=http%3A%2F%2Ft1.daumcdn.net%2Flbook%2Fimage%2F751095%3Ftimestamp%3D20221005041739" TargetMode="External" Id="rId343"/><Relationship Type="http://schemas.openxmlformats.org/officeDocument/2006/relationships/hyperlink" Target="https://search1.kakaocdn.net/thumb/R120x174.q85/?fname=http%3A%2F%2Ft1.daumcdn.net%2Flbook%2Fimage%2F5040175%3Ftimestamp%3D20250521195450" TargetMode="External" Id="rId344"/><Relationship Type="http://schemas.openxmlformats.org/officeDocument/2006/relationships/hyperlink" Target="https://search1.kakaocdn.net/thumb/R120x174.q85/?fname=http%3A%2F%2Ft1.daumcdn.net%2Flbook%2Fimage%2F1283542%3Ftimestamp%3D20220114162806" TargetMode="External" Id="rId345"/><Relationship Type="http://schemas.openxmlformats.org/officeDocument/2006/relationships/hyperlink" Target="https://search1.kakaocdn.net/thumb/R120x174.q85/?fname=http%3A%2F%2Ft1.daumcdn.net%2Flbook%2Fimage%2F496221%3Ftimestamp%3D20211023210406" TargetMode="External" Id="rId346"/><Relationship Type="http://schemas.openxmlformats.org/officeDocument/2006/relationships/hyperlink" Target="https://search1.kakaocdn.net/thumb/R120x174.q85/?fname=http%3A%2F%2Ft1.daumcdn.net%2Flbook%2Fimage%2F769767%3Ftimestamp%3D20190124220947" TargetMode="External" Id="rId347"/><Relationship Type="http://schemas.openxmlformats.org/officeDocument/2006/relationships/hyperlink" Target="https://search1.kakaocdn.net/thumb/R120x174.q85/?fname=http%3A%2F%2Ft1.daumcdn.net%2Flbook%2Fimage%2F1132319%3Ftimestamp%3D20220206174903" TargetMode="External" Id="rId348"/><Relationship Type="http://schemas.openxmlformats.org/officeDocument/2006/relationships/hyperlink" Target="https://search1.kakaocdn.net/thumb/R120x174.q85/?fname=http%3A%2F%2Ft1.daumcdn.net%2Flbook%2Fimage%2F728195%3Ftimestamp%3D20260226110827" TargetMode="External" Id="rId349"/><Relationship Type="http://schemas.openxmlformats.org/officeDocument/2006/relationships/hyperlink" Target="https://search1.kakaocdn.net/thumb/R120x174.q85/?fname=http%3A%2F%2Ft1.daumcdn.net%2Flbook%2Fimage%2F833907%3Ftimestamp%3D20231125162212" TargetMode="External" Id="rId350"/><Relationship Type="http://schemas.openxmlformats.org/officeDocument/2006/relationships/hyperlink" Target="https://search1.kakaocdn.net/thumb/R120x174.q85/?fname=http%3A%2F%2Ft1.daumcdn.net%2Flbook%2Fimage%2F1552519%3Ftimestamp%3D20221025130710" TargetMode="External" Id="rId351"/><Relationship Type="http://schemas.openxmlformats.org/officeDocument/2006/relationships/hyperlink" Target="https://search1.kakaocdn.net/thumb/R120x174.q85/?fname=http%3A%2F%2Ft1.daumcdn.net%2Flbook%2Fimage%2F1291140%3Ftimestamp%3D20221107234601" TargetMode="External" Id="rId352"/><Relationship Type="http://schemas.openxmlformats.org/officeDocument/2006/relationships/hyperlink" Target="https://search1.kakaocdn.net/thumb/R120x174.q85/?fname=http%3A%2F%2Ft1.daumcdn.net%2Flbook%2Fimage%2F525503%3Ftimestamp%3D20221025124846" TargetMode="External" Id="rId353"/><Relationship Type="http://schemas.openxmlformats.org/officeDocument/2006/relationships/hyperlink" Target="https://search1.kakaocdn.net/thumb/R120x174.q85/?fname=http%3A%2F%2Ft1.daumcdn.net%2Flbook%2Fimage%2F4449453%3Ftimestamp%3D20190228220735" TargetMode="External" Id="rId354"/><Relationship Type="http://schemas.openxmlformats.org/officeDocument/2006/relationships/hyperlink" Target="https://search1.kakaocdn.net/thumb/R120x174.q85/?fname=http%3A%2F%2Ft1.daumcdn.net%2Flbook%2Fimage%2F690644%3Ftimestamp%3D20251209110833" TargetMode="External" Id="rId355"/><Relationship Type="http://schemas.openxmlformats.org/officeDocument/2006/relationships/hyperlink" Target="https://search1.kakaocdn.net/thumb/R120x174.q85/?fname=http%3A%2F%2Ft1.daumcdn.net%2Flbook%2Fimage%2F1155215%3Ftimestamp%3D20221011190048" TargetMode="External" Id="rId356"/><Relationship Type="http://schemas.openxmlformats.org/officeDocument/2006/relationships/hyperlink" Target="https://search1.kakaocdn.net/thumb/R120x174.q85/?fname=http%3A%2F%2Ft1.daumcdn.net%2Flbook%2Fimage%2F1153648%3Ftimestamp%3D20251209110810" TargetMode="External" Id="rId357"/><Relationship Type="http://schemas.openxmlformats.org/officeDocument/2006/relationships/hyperlink" Target="https://search1.kakaocdn.net/thumb/R120x174.q85/?fname=http%3A%2F%2Ft1.daumcdn.net%2Flbook%2Fimage%2F1153572%3Ftimestamp%3D20240925114638" TargetMode="External" Id="rId358"/><Relationship Type="http://schemas.openxmlformats.org/officeDocument/2006/relationships/hyperlink" Target="https://search1.kakaocdn.net/thumb/R120x174.q85/?fname=http%3A%2F%2Ft1.daumcdn.net%2Flbook%2Fimage%2F690296%3Ftimestamp%3D20251110110544" TargetMode="External" Id="rId359"/><Relationship Type="http://schemas.openxmlformats.org/officeDocument/2006/relationships/hyperlink" Target="https://search1.kakaocdn.net/thumb/R120x174.q85/?fname=http%3A%2F%2Ft1.daumcdn.net%2Flbook%2Fimage%2F953609%3Ftimestamp%3D20260410110557" TargetMode="External" Id="rId360"/><Relationship Type="http://schemas.openxmlformats.org/officeDocument/2006/relationships/hyperlink" Target="https://search1.kakaocdn.net/thumb/R120x174.q85/?fname=http%3A%2F%2Ft1.daumcdn.net%2Flbook%2Fimage%2F1272540%3Ftimestamp%3D20221004004140" TargetMode="External" Id="rId361"/><Relationship Type="http://schemas.openxmlformats.org/officeDocument/2006/relationships/hyperlink" Target="https://search1.kakaocdn.net/thumb/R120x174.q85/?fname=http%3A%2F%2Ft1.daumcdn.net%2Flbook%2Fimage%2F621402%3Ftimestamp%3D20221004000729" TargetMode="External" Id="rId362"/><Relationship Type="http://schemas.openxmlformats.org/officeDocument/2006/relationships/hyperlink" Target="https://search1.kakaocdn.net/thumb/R120x174.q85/?fname=http%3A%2F%2Ft1.daumcdn.net%2Flbook%2Fimage%2F611452%3Ftimestamp%3D20250627113354" TargetMode="External" Id="rId363"/><Relationship Type="http://schemas.openxmlformats.org/officeDocument/2006/relationships/hyperlink" Target="https://search1.kakaocdn.net/thumb/R120x174.q85/?fname=http%3A%2F%2Ft1.daumcdn.net%2Flbook%2Fimage%2F1116997%3Ftimestamp%3D20221108011943" TargetMode="External" Id="rId364"/><Relationship Type="http://schemas.openxmlformats.org/officeDocument/2006/relationships/hyperlink" Target="https://search1.kakaocdn.net/thumb/R120x174.q85/?fname=http%3A%2F%2Ft1.daumcdn.net%2Flbook%2Fimage%2F1284630%3Ftimestamp%3D20190127152112" TargetMode="External" Id="rId365"/><Relationship Type="http://schemas.openxmlformats.org/officeDocument/2006/relationships/hyperlink" Target="https://search1.kakaocdn.net/thumb/R120x174.q85/?fname=http%3A%2F%2Ft1.daumcdn.net%2Flbook%2Fimage%2F833529%3Ftimestamp%3D20250911110420" TargetMode="External" Id="rId366"/><Relationship Type="http://schemas.openxmlformats.org/officeDocument/2006/relationships/hyperlink" Target="https://search1.kakaocdn.net/thumb/R120x174.q85/?fname=http%3A%2F%2Ft1.daumcdn.net%2Flbook%2Fimage%2F611911%3Ftimestamp%3D20251107110824" TargetMode="External" Id="rId367"/><Relationship Type="http://schemas.openxmlformats.org/officeDocument/2006/relationships/hyperlink" Target="https://search1.kakaocdn.net/thumb/R120x174.q85/?fname=http%3A%2F%2Ft1.daumcdn.net%2Flbook%2Fimage%2F611639%3Ftimestamp%3D20250627113326" TargetMode="External" Id="rId368"/><Relationship Type="http://schemas.openxmlformats.org/officeDocument/2006/relationships/hyperlink" Target="https://search1.kakaocdn.net/thumb/R120x174.q85/?fname=http%3A%2F%2Ft1.daumcdn.net%2Flbook%2Fimage%2F519868%3Ftimestamp%3D20220929014633" TargetMode="External" Id="rId369"/><Relationship Type="http://schemas.openxmlformats.org/officeDocument/2006/relationships/hyperlink" Target="https://search1.kakaocdn.net/thumb/R120x174.q85/?fname=http%3A%2F%2Ft1.daumcdn.net%2Flbook%2Fimage%2F540804%3Ftimestamp%3D20260301110621" TargetMode="External" Id="rId370"/><Relationship Type="http://schemas.openxmlformats.org/officeDocument/2006/relationships/hyperlink" Target="https://search1.kakaocdn.net/thumb/R120x174.q85/?fname=http%3A%2F%2Ft1.daumcdn.net%2Flbook%2Fimage%2F506541%3Ftimestamp%3D20241219113457" TargetMode="External" Id="rId371"/><Relationship Type="http://schemas.openxmlformats.org/officeDocument/2006/relationships/hyperlink" Target="https://search1.kakaocdn.net/thumb/R120x174.q85/?fname=http%3A%2F%2Ft1.daumcdn.net%2Flbook%2Fimage%2F7171444%3Ftimestamp%3D20260313130219" TargetMode="External" Id="rId372"/><Relationship Type="http://schemas.openxmlformats.org/officeDocument/2006/relationships/hyperlink" Target="https://search1.kakaocdn.net/thumb/R120x174.q85/?fname=http%3A%2F%2Ft1.daumcdn.net%2Flbook%2Fimage%2F507170%3Ftimestamp%3D20230429145824" TargetMode="External" Id="rId373"/><Relationship Type="http://schemas.openxmlformats.org/officeDocument/2006/relationships/hyperlink" Target="https://search1.kakaocdn.net/thumb/R120x174.q85/?fname=http%3A%2F%2Ft1.daumcdn.net%2Flbook%2Fimage%2F504986%3Ftimestamp%3D20231007173817" TargetMode="External" Id="rId374"/><Relationship Type="http://schemas.openxmlformats.org/officeDocument/2006/relationships/hyperlink" Target="https://search1.kakaocdn.net/thumb/R120x174.q85/?fname=http%3A%2F%2Ft1.daumcdn.net%2Flbook%2Fimage%2F505073%3Ftimestamp%3D20250919110250" TargetMode="External" Id="rId375"/><Relationship Type="http://schemas.openxmlformats.org/officeDocument/2006/relationships/hyperlink" Target="https://search1.kakaocdn.net/thumb/R120x174.q85/?fname=http%3A%2F%2Ft1.daumcdn.net%2Flbook%2Fimage%2F507066%3Ftimestamp%3D20250911110404" TargetMode="External" Id="rId376"/><Relationship Type="http://schemas.openxmlformats.org/officeDocument/2006/relationships/hyperlink" Target="https://search1.kakaocdn.net/thumb/R120x174.q85/?fname=http%3A%2F%2Ft1.daumcdn.net%2Flbook%2Fimage%2F504819%3Ftimestamp%3D20231101170809" TargetMode="External" Id="rId377"/><Relationship Type="http://schemas.openxmlformats.org/officeDocument/2006/relationships/hyperlink" Target="https://search1.kakaocdn.net/thumb/R120x174.q85/?fname=http%3A%2F%2Ft1.daumcdn.net%2Flbook%2Fimage%2F506390%3Ftimestamp%3D20220701041135" TargetMode="External" Id="rId378"/><Relationship Type="http://schemas.openxmlformats.org/officeDocument/2006/relationships/hyperlink" Target="https://search1.kakaocdn.net/thumb/R120x174.q85/?fname=http%3A%2F%2Ft1.daumcdn.net%2Flbook%2Fimage%2F506630%3Ftimestamp%3D20231007152914" TargetMode="External" Id="rId379"/><Relationship Type="http://schemas.openxmlformats.org/officeDocument/2006/relationships/hyperlink" Target="https://search1.kakaocdn.net/thumb/R120x174.q85/?fname=http%3A%2F%2Ft1.daumcdn.net%2Flbook%2Fimage%2F1442006%3Ftimestamp%3D20220922041714" TargetMode="External" Id="rId380"/><Relationship Type="http://schemas.openxmlformats.org/officeDocument/2006/relationships/hyperlink" Target="https://search1.kakaocdn.net/thumb/R120x174.q85/?fname=http%3A%2F%2Ft1.daumcdn.net%2Flbook%2Fimage%2F750863%3Ftimestamp%3D20251030110411" TargetMode="External" Id="rId381"/><Relationship Type="http://schemas.openxmlformats.org/officeDocument/2006/relationships/hyperlink" Target="https://search1.kakaocdn.net/thumb/R120x174.q85/?fname=http%3A%2F%2Ft1.daumcdn.net%2Flbook%2Fimage%2F6391877%3Ftimestamp%3D20231223182310" TargetMode="External" Id="rId382"/><Relationship Type="http://schemas.openxmlformats.org/officeDocument/2006/relationships/hyperlink" Target="https://search1.kakaocdn.net/thumb/R120x174.q85/?fname=http%3A%2F%2Ft1.daumcdn.net%2Flbook%2Fimage%2F737476%3Ftimestamp%3D20221001194045" TargetMode="External" Id="rId383"/><Relationship Type="http://schemas.openxmlformats.org/officeDocument/2006/relationships/hyperlink" Target="https://search1.kakaocdn.net/thumb/R120x174.q85/?fname=http%3A%2F%2Ft1.daumcdn.net%2Flbook%2Fimage%2F635777%3Ftimestamp%3D20230608161547" TargetMode="External" Id="rId384"/><Relationship Type="http://schemas.openxmlformats.org/officeDocument/2006/relationships/hyperlink" Target="https://search1.kakaocdn.net/thumb/R120x174.q85/?fname=http%3A%2F%2Ft1.daumcdn.net%2Flbook%2Fimage%2F505468%3Ftimestamp%3D20241030114212" TargetMode="External" Id="rId385"/><Relationship Type="http://schemas.openxmlformats.org/officeDocument/2006/relationships/hyperlink" Target="https://search1.kakaocdn.net/thumb/R120x174.q85/?fname=http%3A%2F%2Ft1.daumcdn.net%2Flbook%2Fimage%2F1148883%3Ftimestamp%3D20221120142655" TargetMode="External" Id="rId386"/><Relationship Type="http://schemas.openxmlformats.org/officeDocument/2006/relationships/hyperlink" Target="https://search1.kakaocdn.net/thumb/R120x174.q85/?fname=http%3A%2F%2Ft1.daumcdn.net%2Flbook%2Fimage%2F506488%3Ftimestamp%3D20240803112701" TargetMode="External" Id="rId387"/><Relationship Type="http://schemas.openxmlformats.org/officeDocument/2006/relationships/hyperlink" Target="https://search1.kakaocdn.net/thumb/R120x174.q85/?fname=http%3A%2F%2Ft1.daumcdn.net%2Flbook%2Fimage%2F805475%3Ftimestamp%3D20240710112833" TargetMode="External" Id="rId388"/><Relationship Type="http://schemas.openxmlformats.org/officeDocument/2006/relationships/hyperlink" Target="https://search1.kakaocdn.net/thumb/R120x174.q85/?fname=http%3A%2F%2Ft1.daumcdn.net%2Flbook%2Fimage%2F805819%3Ftimestamp%3D20240322113813" TargetMode="External" Id="rId389"/><Relationship Type="http://schemas.openxmlformats.org/officeDocument/2006/relationships/hyperlink" Target="https://search1.kakaocdn.net/thumb/R120x174.q85/?fname=http%3A%2F%2Ft1.daumcdn.net%2Flbook%2Fimage%2F805641%3Ftimestamp%3D20240320162506" TargetMode="External" Id="rId390"/><Relationship Type="http://schemas.openxmlformats.org/officeDocument/2006/relationships/hyperlink" Target="https://search1.kakaocdn.net/thumb/R120x174.q85/?fname=http%3A%2F%2Ft1.daumcdn.net%2Flbook%2Fimage%2F1026924%3Ftimestamp%3D20260103110902" TargetMode="External" Id="rId391"/><Relationship Type="http://schemas.openxmlformats.org/officeDocument/2006/relationships/hyperlink" Target="https://search1.kakaocdn.net/thumb/R120x174.q85/?fname=http%3A%2F%2Ft1.daumcdn.net%2Flbook%2Fimage%2F737591%3Ftimestamp%3D20250725110448" TargetMode="External" Id="rId392"/><Relationship Type="http://schemas.openxmlformats.org/officeDocument/2006/relationships/hyperlink" Target="https://search1.kakaocdn.net/thumb/R120x174.q85/?fname=http%3A%2F%2Ft1.daumcdn.net%2Flbook%2Fimage%2F615633%3Ftimestamp%3D20250719110256" TargetMode="External" Id="rId393"/><Relationship Type="http://schemas.openxmlformats.org/officeDocument/2006/relationships/hyperlink" Target="https://search1.kakaocdn.net/thumb/R120x174.q85/?fname=http%3A%2F%2Ft1.daumcdn.net%2Flbook%2Fimage%2F1339560%3Ftimestamp%3D20221107234418" TargetMode="External" Id="rId394"/><Relationship Type="http://schemas.openxmlformats.org/officeDocument/2006/relationships/hyperlink" Target="https://search1.kakaocdn.net/thumb/R120x174.q85/?fname=http%3A%2F%2Ft1.daumcdn.net%2Flbook%2Fimage%2F1444509%3Ftimestamp%3D20240127144006" TargetMode="External" Id="rId395"/><Relationship Type="http://schemas.openxmlformats.org/officeDocument/2006/relationships/hyperlink" Target="https://search1.kakaocdn.net/thumb/R120x174.q85/?fname=http%3A%2F%2Ft1.daumcdn.net%2Flbook%2Fimage%2F5630562%3Ftimestamp%3D20260106143614" TargetMode="External" Id="rId396"/><Relationship Type="http://schemas.openxmlformats.org/officeDocument/2006/relationships/hyperlink" Target="https://search1.kakaocdn.net/thumb/R120x174.q85/?fname=http%3A%2F%2Ft1.daumcdn.net%2Flbook%2Fimage%2F564038%3Ftimestamp%3D20190123195255" TargetMode="External" Id="rId397"/><Relationship Type="http://schemas.openxmlformats.org/officeDocument/2006/relationships/hyperlink" Target="https://search1.kakaocdn.net/thumb/R120x174.q85/?fname=http%3A%2F%2Ft1.daumcdn.net%2Flbook%2Fimage%2F506621%3Ftimestamp%3D20240508112901" TargetMode="External" Id="rId398"/><Relationship Type="http://schemas.openxmlformats.org/officeDocument/2006/relationships/hyperlink" Target="https://search1.kakaocdn.net/thumb/R120x174.q85/?fname=http%3A%2F%2Ft1.daumcdn.net%2Flbook%2Fimage%2F506716%3Ftimestamp%3D20231007161833" TargetMode="External" Id="rId399"/><Relationship Type="http://schemas.openxmlformats.org/officeDocument/2006/relationships/hyperlink" Target="https://search1.kakaocdn.net/thumb/R120x174.q85/?fname=http%3A%2F%2Ft1.daumcdn.net%2Flbook%2Fimage%2F506412%3Ftimestamp%3D20250717110758" TargetMode="External" Id="rId400"/><Relationship Type="http://schemas.openxmlformats.org/officeDocument/2006/relationships/hyperlink" Target="https://search1.kakaocdn.net/thumb/R120x174.q85/?fname=http%3A%2F%2Ft1.daumcdn.net%2Flbook%2Fimage%2F507407%3Ftimestamp%3D20250417120232" TargetMode="External" Id="rId401"/><Relationship Type="http://schemas.openxmlformats.org/officeDocument/2006/relationships/hyperlink" Target="https://search1.kakaocdn.net/thumb/R120x174.q85/?fname=http%3A%2F%2Ft1.daumcdn.net%2Flbook%2Fimage%2F507108%3Ftimestamp%3D20230728213919" TargetMode="External" Id="rId402"/><Relationship Type="http://schemas.openxmlformats.org/officeDocument/2006/relationships/hyperlink" Target="https://search1.kakaocdn.net/thumb/R120x174.q85/?fname=http%3A%2F%2Ft1.daumcdn.net%2Flbook%2Fimage%2F1027510%3Ftimestamp%3D20240724112424" TargetMode="External" Id="rId403"/><Relationship Type="http://schemas.openxmlformats.org/officeDocument/2006/relationships/hyperlink" Target="https://search1.kakaocdn.net/thumb/R120x174.q85/?fname=http%3A%2F%2Ft1.daumcdn.net%2Flbook%2Fimage%2F1027035%3Ftimestamp%3D20240217173540" TargetMode="External" Id="rId404"/><Relationship Type="http://schemas.openxmlformats.org/officeDocument/2006/relationships/hyperlink" Target="https://search1.kakaocdn.net/thumb/R120x174.q85/?fname=http%3A%2F%2Ft1.daumcdn.net%2Flbook%2Fimage%2F737627%3Ftimestamp%3D20250828110243" TargetMode="External" Id="rId405"/><Relationship Type="http://schemas.openxmlformats.org/officeDocument/2006/relationships/hyperlink" Target="https://search1.kakaocdn.net/thumb/R120x174.q85/?fname=http%3A%2F%2Ft1.daumcdn.net%2Flbook%2Fimage%2F691053%3Ftimestamp%3D20260307110855" TargetMode="External" Id="rId406"/><Relationship Type="http://schemas.openxmlformats.org/officeDocument/2006/relationships/hyperlink" Target="https://search1.kakaocdn.net/thumb/R120x174.q85/?fname=http%3A%2F%2Ft1.daumcdn.net%2Flbook%2Fimage%2F691386%3Ftimestamp%3D20260305110847" TargetMode="External" Id="rId407"/><Relationship Type="http://schemas.openxmlformats.org/officeDocument/2006/relationships/hyperlink" Target="https://search1.kakaocdn.net/thumb/R120x174.q85/?fname=http%3A%2F%2Ft1.daumcdn.net%2Flbook%2Fimage%2F691050%3Ftimestamp%3D20260409110634" TargetMode="External" Id="rId408"/><Relationship Type="http://schemas.openxmlformats.org/officeDocument/2006/relationships/hyperlink" Target="https://search1.kakaocdn.net/thumb/R120x174.q85/?fname=http%3A%2F%2Ft1.daumcdn.net%2Flbook%2Fimage%2F690663%3Ftimestamp%3D20260226110853" TargetMode="External" Id="rId409"/><Relationship Type="http://schemas.openxmlformats.org/officeDocument/2006/relationships/hyperlink" Target="https://search1.kakaocdn.net/thumb/R120x174.q85/?fname=http%3A%2F%2Ft1.daumcdn.net%2Flbook%2Fimage%2F690448%3Ftimestamp%3D20251226110641" TargetMode="External" Id="rId410"/><Relationship Type="http://schemas.openxmlformats.org/officeDocument/2006/relationships/hyperlink" Target="https://search1.kakaocdn.net/thumb/R120x174.q85/?fname=http%3A%2F%2Ft1.daumcdn.net%2Flbook%2Fimage%2F690267%3Ftimestamp%3D20260204111051" TargetMode="External" Id="rId411"/><Relationship Type="http://schemas.openxmlformats.org/officeDocument/2006/relationships/hyperlink" Target="https://search1.kakaocdn.net/thumb/R120x174.q85/?fname=http%3A%2F%2Ft1.daumcdn.net%2Flbook%2Fimage%2F616146%3Ftimestamp%3D20241221113358" TargetMode="External" Id="rId412"/><Relationship Type="http://schemas.openxmlformats.org/officeDocument/2006/relationships/hyperlink" Target="https://search1.kakaocdn.net/thumb/R120x174.q85/?fname=http%3A%2F%2Ft1.daumcdn.net%2Flbook%2Fimage%2F919893%3Ftimestamp%3D20240911113425" TargetMode="External" Id="rId413"/><Relationship Type="http://schemas.openxmlformats.org/officeDocument/2006/relationships/hyperlink" Target="https://search1.kakaocdn.net/thumb/R120x174.q85/?fname=http%3A%2F%2Ft1.daumcdn.net%2Flbook%2Fimage%2F5369591%3Ftimestamp%3D20231124151242" TargetMode="External" Id="rId414"/><Relationship Type="http://schemas.openxmlformats.org/officeDocument/2006/relationships/hyperlink" Target="https://search1.kakaocdn.net/thumb/R120x174.q85/?fname=http%3A%2F%2Ft1.daumcdn.net%2Flbook%2Fimage%2F804987%3Ftimestamp%3D20240925114608" TargetMode="External" Id="rId415"/><Relationship Type="http://schemas.openxmlformats.org/officeDocument/2006/relationships/hyperlink" Target="https://search1.kakaocdn.net/thumb/R120x174.q85/?fname=http%3A%2F%2Ft1.daumcdn.net%2Flbook%2Fimage%2F805582%3Ftimestamp%3D20190125035532" TargetMode="External" Id="rId416"/><Relationship Type="http://schemas.openxmlformats.org/officeDocument/2006/relationships/hyperlink" Target="https://search1.kakaocdn.net/thumb/R120x174.q85/?fname=http%3A%2F%2Ft1.daumcdn.net%2Flbook%2Fimage%2F805838%3Ftimestamp%3D20230713172720" TargetMode="External" Id="rId417"/><Relationship Type="http://schemas.openxmlformats.org/officeDocument/2006/relationships/hyperlink" Target="https://search1.kakaocdn.net/thumb/R120x174.q85/?fname=http%3A%2F%2Ft1.daumcdn.net%2Flbook%2Fimage%2F805444%3Ftimestamp%3D20221011174803" TargetMode="External" Id="rId418"/><Relationship Type="http://schemas.openxmlformats.org/officeDocument/2006/relationships/hyperlink" Target="https://search1.kakaocdn.net/thumb/R120x174.q85/?fname=http%3A%2F%2Ft1.daumcdn.net%2Flbook%2Fimage%2F1460668%3Ftimestamp%3D20260220110843" TargetMode="External" Id="rId419"/><Relationship Type="http://schemas.openxmlformats.org/officeDocument/2006/relationships/hyperlink" Target="https://search1.kakaocdn.net/thumb/R120x174.q85/?fname=http%3A%2F%2Ft1.daumcdn.net%2Flbook%2Fimage%2F832266%3Ftimestamp%3D20260211111058" TargetMode="External" Id="rId420"/><Relationship Type="http://schemas.openxmlformats.org/officeDocument/2006/relationships/hyperlink" Target="https://search1.kakaocdn.net/thumb/R120x174.q85/?fname=http%3A%2F%2Ft1.daumcdn.net%2Flbook%2Fimage%2F6692143%3Ftimestamp%3D20250905142846" TargetMode="External" Id="rId421"/><Relationship Type="http://schemas.openxmlformats.org/officeDocument/2006/relationships/hyperlink" Target="https://search1.kakaocdn.net/thumb/R120x174.q85/?fname=http%3A%2F%2Ft1.daumcdn.net%2Flbook%2Fimage%2F4998957%3Ftimestamp%3D20220820184300" TargetMode="External" Id="rId422"/><Relationship Type="http://schemas.openxmlformats.org/officeDocument/2006/relationships/hyperlink" Target="https://search1.kakaocdn.net/thumb/R120x174.q85/?fname=http%3A%2F%2Ft1.daumcdn.net%2Flbook%2Fimage%2F1500798%3Ftimestamp%3D20221001182102" TargetMode="External" Id="rId423"/><Relationship Type="http://schemas.openxmlformats.org/officeDocument/2006/relationships/hyperlink" Target="https://search1.kakaocdn.net/thumb/R120x174.q85/?fname=http%3A%2F%2Ft1.daumcdn.net%2Flbook%2Fimage%2F993433%3Ftimestamp%3D20241213113830" TargetMode="External" Id="rId424"/><Relationship Type="http://schemas.openxmlformats.org/officeDocument/2006/relationships/hyperlink" Target="https://search1.kakaocdn.net/thumb/R120x174.q85/?fname=http%3A%2F%2Ft1.daumcdn.net%2Flbook%2Fimage%2F545707%3Ftimestamp%3D20240727112911" TargetMode="External" Id="rId425"/><Relationship Type="http://schemas.openxmlformats.org/officeDocument/2006/relationships/hyperlink" Target="https://search1.kakaocdn.net/thumb/R120x174.q85/?fname=http%3A%2F%2Ft1.daumcdn.net%2Flbook%2Fimage%2F968212%3Ftimestamp%3D20220925172302" TargetMode="External" Id="rId426"/><Relationship Type="http://schemas.openxmlformats.org/officeDocument/2006/relationships/hyperlink" Target="https://search1.kakaocdn.net/thumb/R120x174.q85/?fname=http%3A%2F%2Ft1.daumcdn.net%2Flbook%2Fimage%2F635299%3Ftimestamp%3D20260201110637" TargetMode="External" Id="rId427"/><Relationship Type="http://schemas.openxmlformats.org/officeDocument/2006/relationships/hyperlink" Target="https://search1.kakaocdn.net/thumb/R120x174.q85/?fname=http%3A%2F%2Ft1.daumcdn.net%2Flbook%2Fimage%2F1537106%3Ftimestamp%3D20251203110955" TargetMode="External" Id="rId428"/><Relationship Type="http://schemas.openxmlformats.org/officeDocument/2006/relationships/hyperlink" Target="https://search1.kakaocdn.net/thumb/R120x174.q85/?fname=http%3A%2F%2Ft1.daumcdn.net%2Flbook%2Fimage%2F751308%3Ftimestamp%3D20220403180714" TargetMode="External" Id="rId429"/><Relationship Type="http://schemas.openxmlformats.org/officeDocument/2006/relationships/hyperlink" Target="https://search1.kakaocdn.net/thumb/R120x174.q85/?fname=http%3A%2F%2Ft1.daumcdn.net%2Flbook%2Fimage%2F968095%3Ftimestamp%3D20220903164442" TargetMode="External" Id="rId430"/><Relationship Type="http://schemas.openxmlformats.org/officeDocument/2006/relationships/hyperlink" Target="https://search1.kakaocdn.net/thumb/R120x174.q85/?fname=http%3A%2F%2Ft1.daumcdn.net%2Flbook%2Fimage%2F507398%3Ftimestamp%3D20240119172858" TargetMode="External" Id="rId431"/><Relationship Type="http://schemas.openxmlformats.org/officeDocument/2006/relationships/hyperlink" Target="https://search1.kakaocdn.net/thumb/R120x174.q85/?fname=http%3A%2F%2Ft1.daumcdn.net%2Flbook%2Fimage%2F921076%3Ftimestamp%3D20260325110900" TargetMode="External" Id="rId432"/><Relationship Type="http://schemas.openxmlformats.org/officeDocument/2006/relationships/hyperlink" Target="https://search1.kakaocdn.net/thumb/R120x174.q85/?fname=http%3A%2F%2Ft1.daumcdn.net%2Flbook%2Fimage%2F415397%3Ftimestamp%3D20221011173649" TargetMode="External" Id="rId433"/><Relationship Type="http://schemas.openxmlformats.org/officeDocument/2006/relationships/hyperlink" Target="https://search1.kakaocdn.net/thumb/R120x174.q85/?fname=http%3A%2F%2Ft1.daumcdn.net%2Flbook%2Fimage%2F1535924%3Ftimestamp%3D20260326110759" TargetMode="External" Id="rId434"/><Relationship Type="http://schemas.openxmlformats.org/officeDocument/2006/relationships/hyperlink" Target="https://search1.kakaocdn.net/thumb/R120x174.q85/?fname=http%3A%2F%2Ft1.daumcdn.net%2Flbook%2Fimage%2F1636930%3Ftimestamp%3D20260227110912" TargetMode="External" Id="rId435"/><Relationship Type="http://schemas.openxmlformats.org/officeDocument/2006/relationships/hyperlink" Target="https://search1.kakaocdn.net/thumb/R120x174.q85/?fname=http%3A%2F%2Ft1.daumcdn.net%2Flbook%2Fimage%2F624070%3Ftimestamp%3D20250411113454" TargetMode="External" Id="rId436"/><Relationship Type="http://schemas.openxmlformats.org/officeDocument/2006/relationships/hyperlink" Target="https://search1.kakaocdn.net/thumb/R120x174.q85/?fname=http%3A%2F%2Ft1.daumcdn.net%2Flbook%2Fimage%2F623237%3Ftimestamp%3D20240117184243" TargetMode="External" Id="rId437"/><Relationship Type="http://schemas.openxmlformats.org/officeDocument/2006/relationships/hyperlink" Target="https://search1.kakaocdn.net/thumb/R120x174.q85/?fname=http%3A%2F%2Ft1.daumcdn.net%2Flbook%2Fimage%2F5663709%3Ftimestamp%3D20260401122747" TargetMode="External" Id="rId438"/><Relationship Type="http://schemas.openxmlformats.org/officeDocument/2006/relationships/hyperlink" Target="https://search1.kakaocdn.net/thumb/R120x174.q85/?fname=http%3A%2F%2Ft1.daumcdn.net%2Flbook%2Fimage%2F6253040%3Ftimestamp%3D20260115151223" TargetMode="External" Id="rId439"/><Relationship Type="http://schemas.openxmlformats.org/officeDocument/2006/relationships/hyperlink" Target="https://search1.kakaocdn.net/thumb/R120x174.q85/?fname=http%3A%2F%2Ft1.daumcdn.net%2Flbook%2Fimage%2F6334139%3Ftimestamp%3D20230905173843" TargetMode="External" Id="rId440"/><Relationship Type="http://schemas.openxmlformats.org/officeDocument/2006/relationships/hyperlink" Target="https://search1.kakaocdn.net/thumb/R120x174.q85/?fname=http%3A%2F%2Ft1.daumcdn.net%2Flbook%2Fimage%2F351617%3Ftimestamp%3D20220504032700" TargetMode="External" Id="rId441"/><Relationship Type="http://schemas.openxmlformats.org/officeDocument/2006/relationships/hyperlink" Target="https://search1.kakaocdn.net/thumb/R120x174.q85/?fname=http%3A%2F%2Ft1.daumcdn.net%2Flbook%2Fimage%2F7144376%3Ftimestamp%3D20260301121313" TargetMode="External" Id="rId442"/><Relationship Type="http://schemas.openxmlformats.org/officeDocument/2006/relationships/hyperlink" Target="https://search1.kakaocdn.net/thumb/R120x174.q85/?fname=http%3A%2F%2Ft1.daumcdn.net%2Flbook%2Fimage%2F345239%3Ftimestamp%3D20221003231209" TargetMode="External" Id="rId443"/><Relationship Type="http://schemas.openxmlformats.org/officeDocument/2006/relationships/hyperlink" Target="https://search1.kakaocdn.net/thumb/R120x174.q85/?fname=http%3A%2F%2Ft1.daumcdn.net%2Flbook%2Fimage%2F822984%3Ftimestamp%3D20240201194830" TargetMode="External" Id="rId444"/><Relationship Type="http://schemas.openxmlformats.org/officeDocument/2006/relationships/hyperlink" Target="https://search1.kakaocdn.net/thumb/R120x174.q85/?fname=http%3A%2F%2Ft1.daumcdn.net%2Flbook%2Fimage%2F6162621%3Ftimestamp%3D20251125150343" TargetMode="External" Id="rId445"/><Relationship Type="http://schemas.openxmlformats.org/officeDocument/2006/relationships/hyperlink" Target="https://search1.kakaocdn.net/thumb/R120x174.q85/?fname=http%3A%2F%2Ft1.daumcdn.net%2Flbook%2Fimage%2F539834%3Ftimestamp%3D20251216110717" TargetMode="External" Id="rId446"/><Relationship Type="http://schemas.openxmlformats.org/officeDocument/2006/relationships/hyperlink" Target="https://search1.kakaocdn.net/thumb/R120x174.q85/?fname=http%3A%2F%2Ft1.daumcdn.net%2Flbook%2Fimage%2F1291319%3Ftimestamp%3D20221025125348" TargetMode="External" Id="rId447"/><Relationship Type="http://schemas.openxmlformats.org/officeDocument/2006/relationships/hyperlink" Target="https://search1.kakaocdn.net/thumb/R120x174.q85/?fname=http%3A%2F%2Ft1.daumcdn.net%2Flbook%2Fimage%2F1027465%3Ftimestamp%3D20220812221035" TargetMode="External" Id="rId448"/><Relationship Type="http://schemas.openxmlformats.org/officeDocument/2006/relationships/hyperlink" Target="https://search1.kakaocdn.net/thumb/R120x174.q85/?fname=http%3A%2F%2Ft1.daumcdn.net%2Flbook%2Fimage%2F1055074%3Ftimestamp%3D20220817143715" TargetMode="External" Id="rId449"/><Relationship Type="http://schemas.openxmlformats.org/officeDocument/2006/relationships/hyperlink" Target="https://search1.kakaocdn.net/thumb/R120x174.q85/?fname=http%3A%2F%2Ft1.daumcdn.net%2Flbook%2Fimage%2F1051913%3Ftimestamp%3D20220704155939" TargetMode="External" Id="rId450"/><Relationship Type="http://schemas.openxmlformats.org/officeDocument/2006/relationships/hyperlink" Target="https://search1.kakaocdn.net/thumb/R120x174.q85/?fname=http%3A%2F%2Ft1.daumcdn.net%2Flbook%2Fimage%2F786515%3Ftimestamp%3D20241110114124" TargetMode="External" Id="rId451"/><Relationship Type="http://schemas.openxmlformats.org/officeDocument/2006/relationships/hyperlink" Target="https://search1.kakaocdn.net/thumb/R120x174.q85/?fname=http%3A%2F%2Ft1.daumcdn.net%2Flbook%2Fimage%2F1005428%3Ftimestamp%3D20250410114034" TargetMode="External" Id="rId452"/><Relationship Type="http://schemas.openxmlformats.org/officeDocument/2006/relationships/hyperlink" Target="https://search1.kakaocdn.net/thumb/R120x174.q85/?fname=http%3A%2F%2Ft1.daumcdn.net%2Flbook%2Fimage%2F689962%3Ftimestamp%3D20250316113449" TargetMode="External" Id="rId453"/><Relationship Type="http://schemas.openxmlformats.org/officeDocument/2006/relationships/hyperlink" Target="https://search1.kakaocdn.net/thumb/R120x174.q85/?fname=http%3A%2F%2Ft1.daumcdn.net%2Flbook%2Fimage%2F690088%3Ftimestamp%3D20220617011501" TargetMode="External" Id="rId454"/><Relationship Type="http://schemas.openxmlformats.org/officeDocument/2006/relationships/hyperlink" Target="https://search1.kakaocdn.net/thumb/R120x174.q85/?fname=http%3A%2F%2Ft1.daumcdn.net%2Flbook%2Fimage%2F690094%3Ftimestamp%3D20220814004346" TargetMode="External" Id="rId455"/><Relationship Type="http://schemas.openxmlformats.org/officeDocument/2006/relationships/hyperlink" Target="https://search1.kakaocdn.net/thumb/R120x174.q85/?fname=http%3A%2F%2Ft1.daumcdn.net%2Flbook%2Fimage%2F1157154%3Ftimestamp%3D20220915004828" TargetMode="External" Id="rId456"/><Relationship Type="http://schemas.openxmlformats.org/officeDocument/2006/relationships/hyperlink" Target="https://search1.kakaocdn.net/thumb/R120x174.q85/?fname=http%3A%2F%2Ft1.daumcdn.net%2Flbook%2Fimage%2F1155790%3Ftimestamp%3D20220915011121" TargetMode="External" Id="rId457"/><Relationship Type="http://schemas.openxmlformats.org/officeDocument/2006/relationships/hyperlink" Target="https://search1.kakaocdn.net/thumb/R120x174.q85/?fname=http%3A%2F%2Ft1.daumcdn.net%2Flbook%2Fimage%2F1155811%3Ftimestamp%3D20230614173828" TargetMode="External" Id="rId458"/><Relationship Type="http://schemas.openxmlformats.org/officeDocument/2006/relationships/hyperlink" Target="https://search1.kakaocdn.net/thumb/R120x174.q85/?fname=http%3A%2F%2Ft1.daumcdn.net%2Flbook%2Fimage%2F1159429%3Ftimestamp%3D20220915005417" TargetMode="External" Id="rId459"/><Relationship Type="http://schemas.openxmlformats.org/officeDocument/2006/relationships/hyperlink" Target="https://search1.kakaocdn.net/thumb/R120x174.q85/?fname=http%3A%2F%2Ft1.daumcdn.net%2Flbook%2Fimage%2F691381%3Ftimestamp%3D20241023114150" TargetMode="External" Id="rId460"/><Relationship Type="http://schemas.openxmlformats.org/officeDocument/2006/relationships/hyperlink" Target="https://search1.kakaocdn.net/thumb/R120x174.q85/?fname=http%3A%2F%2Ft1.daumcdn.net%2Flbook%2Fimage%2F1010644%3Ftimestamp%3D20220927170904" TargetMode="External" Id="rId461"/><Relationship Type="http://schemas.openxmlformats.org/officeDocument/2006/relationships/hyperlink" Target="https://search1.kakaocdn.net/thumb/R120x174.q85/?fname=http%3A%2F%2Ft1.daumcdn.net%2Flbook%2Fimage%2F1502323%3Ftimestamp%3D20220922042007" TargetMode="External" Id="rId462"/><Relationship Type="http://schemas.openxmlformats.org/officeDocument/2006/relationships/hyperlink" Target="https://search1.kakaocdn.net/thumb/R120x174.q85/?fname=http%3A%2F%2Ft1.daumcdn.net%2Flbook%2Fimage%2F840800%3Ftimestamp%3D20260120110951" TargetMode="External" Id="rId463"/><Relationship Type="http://schemas.openxmlformats.org/officeDocument/2006/relationships/hyperlink" Target="https://search1.kakaocdn.net/thumb/R120x174.q85/?fname=http%3A%2F%2Ft1.daumcdn.net%2Flbook%2Fimage%2F1208352%3Ftimestamp%3D20221107235719" TargetMode="External" Id="rId464"/><Relationship Type="http://schemas.openxmlformats.org/officeDocument/2006/relationships/hyperlink" Target="https://search1.kakaocdn.net/thumb/R120x174.q85/?fname=http%3A%2F%2Ft1.daumcdn.net%2Flbook%2Fimage%2F1006628%3Ftimestamp%3D20251205142742" TargetMode="External" Id="rId465"/><Relationship Type="http://schemas.openxmlformats.org/officeDocument/2006/relationships/hyperlink" Target="https://search1.kakaocdn.net/thumb/R120x174.q85/?fname=http%3A%2F%2Ft1.daumcdn.net%2Flbook%2Fimage%2F1183539%3Ftimestamp%3D20221011190148" TargetMode="External" Id="rId466"/><Relationship Type="http://schemas.openxmlformats.org/officeDocument/2006/relationships/hyperlink" Target="https://search1.kakaocdn.net/thumb/R120x174.q85/?fname=http%3A%2F%2Ft1.daumcdn.net%2Flbook%2Fimage%2F791540%3Ftimestamp%3D20220930221642" TargetMode="External" Id="rId467"/><Relationship Type="http://schemas.openxmlformats.org/officeDocument/2006/relationships/hyperlink" Target="https://search1.kakaocdn.net/thumb/R120x174.q85/?fname=http%3A%2F%2Ft1.daumcdn.net%2Flbook%2Fimage%2F791959%3Ftimestamp%3D20220901161146" TargetMode="External" Id="rId468"/><Relationship Type="http://schemas.openxmlformats.org/officeDocument/2006/relationships/hyperlink" Target="https://search1.kakaocdn.net/thumb/R120x174.q85/?fname=http%3A%2F%2Ft1.daumcdn.net%2Flbook%2Fimage%2F641174%3Ftimestamp%3D20260411110646" TargetMode="External" Id="rId469"/><Relationship Type="http://schemas.openxmlformats.org/officeDocument/2006/relationships/hyperlink" Target="https://search1.kakaocdn.net/thumb/R120x174.q85/?fname=http%3A%2F%2Ft1.daumcdn.net%2Flbook%2Fimage%2F869787%3Ftimestamp%3D20220704170700" TargetMode="External" Id="rId470"/><Relationship Type="http://schemas.openxmlformats.org/officeDocument/2006/relationships/hyperlink" Target="https://search1.kakaocdn.net/thumb/R120x174.q85/?fname=http%3A%2F%2Ft1.daumcdn.net%2Flbook%2Fimage%2F1417168%3Ftimestamp%3D20221025165930" TargetMode="External" Id="rId471"/><Relationship Type="http://schemas.openxmlformats.org/officeDocument/2006/relationships/hyperlink" Target="https://search1.kakaocdn.net/thumb/R120x174.q85/?fname=http%3A%2F%2Ft1.daumcdn.net%2Flbook%2Fimage%2F872592%3Ftimestamp%3D20200419122355" TargetMode="External" Id="rId472"/><Relationship Type="http://schemas.openxmlformats.org/officeDocument/2006/relationships/hyperlink" Target="https://search1.kakaocdn.net/thumb/R120x174.q85/?fname=http%3A%2F%2Ft1.daumcdn.net%2Flbook%2Fimage%2F1183525%3Ftimestamp%3D20220728203833" TargetMode="External" Id="rId473"/><Relationship Type="http://schemas.openxmlformats.org/officeDocument/2006/relationships/hyperlink" Target="https://search1.kakaocdn.net/thumb/R120x174.q85/?fname=http%3A%2F%2Ft1.daumcdn.net%2Flbook%2Fimage%2F691000%3Ftimestamp%3D20250116113627" TargetMode="External" Id="rId474"/><Relationship Type="http://schemas.openxmlformats.org/officeDocument/2006/relationships/hyperlink" Target="https://search1.kakaocdn.net/thumb/R120x174.q85/?fname=http%3A%2F%2Ft1.daumcdn.net%2Flbook%2Fimage%2F1554957%3Ftimestamp%3D20230227051304" TargetMode="External" Id="rId475"/><Relationship Type="http://schemas.openxmlformats.org/officeDocument/2006/relationships/hyperlink" Target="https://search1.kakaocdn.net/thumb/R120x174.q85/?fname=http%3A%2F%2Ft1.daumcdn.net%2Flbook%2Fimage%2F795816%3Ftimestamp%3D20251111110802" TargetMode="External" Id="rId476"/><Relationship Type="http://schemas.openxmlformats.org/officeDocument/2006/relationships/hyperlink" Target="https://search1.kakaocdn.net/thumb/R120x174.q85/?fname=http%3A%2F%2Ft1.daumcdn.net%2Flbook%2Fimage%2F796053%3Ftimestamp%3D20240503113457" TargetMode="External" Id="rId477"/><Relationship Type="http://schemas.openxmlformats.org/officeDocument/2006/relationships/hyperlink" Target="https://search1.kakaocdn.net/thumb/R120x174.q85/?fname=http%3A%2F%2Ft1.daumcdn.net%2Flbook%2Fimage%2F795777%3Ftimestamp%3D20240503113451" TargetMode="External" Id="rId478"/><Relationship Type="http://schemas.openxmlformats.org/officeDocument/2006/relationships/hyperlink" Target="https://search1.kakaocdn.net/thumb/R120x174.q85/?fname=http%3A%2F%2Ft1.daumcdn.net%2Flbook%2Fimage%2F795920%3Ftimestamp%3D20240503113438" TargetMode="External" Id="rId479"/><Relationship Type="http://schemas.openxmlformats.org/officeDocument/2006/relationships/hyperlink" Target="https://search1.kakaocdn.net/thumb/R120x174.q85/?fname=http%3A%2F%2Ft1.daumcdn.net%2Flbook%2Fimage%2F795300%3Ftimestamp%3D20240503113437" TargetMode="External" Id="rId480"/><Relationship Type="http://schemas.openxmlformats.org/officeDocument/2006/relationships/hyperlink" Target="https://search1.kakaocdn.net/thumb/R120x174.q85/?fname=http%3A%2F%2Ft1.daumcdn.net%2Flbook%2Fimage%2F795811%3Ftimestamp%3D20240503113456" TargetMode="External" Id="rId481"/><Relationship Type="http://schemas.openxmlformats.org/officeDocument/2006/relationships/hyperlink" Target="https://search1.kakaocdn.net/thumb/R120x174.q85/?fname=http%3A%2F%2Ft1.daumcdn.net%2Flbook%2Fimage%2F796049%3Ftimestamp%3D20240503113436" TargetMode="External" Id="rId482"/><Relationship Type="http://schemas.openxmlformats.org/officeDocument/2006/relationships/hyperlink" Target="https://search1.kakaocdn.net/thumb/R120x174.q85/?fname=http%3A%2F%2Ft1.daumcdn.net%2Flbook%2Fimage%2F795772%3Ftimestamp%3D20240503113446" TargetMode="External" Id="rId483"/><Relationship Type="http://schemas.openxmlformats.org/officeDocument/2006/relationships/hyperlink" Target="https://search1.kakaocdn.net/thumb/R120x174.q85/?fname=http%3A%2F%2Ft1.daumcdn.net%2Flbook%2Fimage%2F795296%3Ftimestamp%3D20240503113451" TargetMode="External" Id="rId484"/><Relationship Type="http://schemas.openxmlformats.org/officeDocument/2006/relationships/hyperlink" Target="https://search1.kakaocdn.net/thumb/R120x174.q85/?fname=http%3A%2F%2Ft1.daumcdn.net%2Flbook%2Fimage%2F795805%3Ftimestamp%3D20240503113438" TargetMode="External" Id="rId485"/><Relationship Type="http://schemas.openxmlformats.org/officeDocument/2006/relationships/hyperlink" Target="https://search1.kakaocdn.net/thumb/R120x174.q85/?fname=http%3A%2F%2Ft1.daumcdn.net%2Flbook%2Fimage%2F1185020%3Ftimestamp%3D20240315113552" TargetMode="External" Id="rId486"/><Relationship Type="http://schemas.openxmlformats.org/officeDocument/2006/relationships/hyperlink" Target="https://search1.kakaocdn.net/thumb/R120x174.q85/?fname=http%3A%2F%2Ft1.daumcdn.net%2Flbook%2Fimage%2F3665917%3Ftimestamp%3D20260320124539" TargetMode="External" Id="rId487"/><Relationship Type="http://schemas.openxmlformats.org/officeDocument/2006/relationships/hyperlink" Target="https://search1.kakaocdn.net/thumb/R120x174.q85/?fname=http%3A%2F%2Ft1.daumcdn.net%2Flbook%2Fimage%2F1345502%3Ftimestamp%3D20260129110615" TargetMode="External" Id="rId488"/><Relationship Type="http://schemas.openxmlformats.org/officeDocument/2006/relationships/hyperlink" Target="https://search1.kakaocdn.net/thumb/R120x174.q85/?fname=http%3A%2F%2Ft1.daumcdn.net%2Flbook%2Fimage%2F1412189%3Ftimestamp%3D20240320162512" TargetMode="External" Id="rId489"/><Relationship Type="http://schemas.openxmlformats.org/officeDocument/2006/relationships/hyperlink" Target="https://search1.kakaocdn.net/thumb/R120x174.q85/?fname=http%3A%2F%2Ft1.daumcdn.net%2Flbook%2Fimage%2F1170819%3Ftimestamp%3D20230805175916" TargetMode="External" Id="rId490"/><Relationship Type="http://schemas.openxmlformats.org/officeDocument/2006/relationships/hyperlink" Target="https://search1.kakaocdn.net/thumb/R120x174.q85/?fname=http%3A%2F%2Ft1.daumcdn.net%2Flbook%2Fimage%2F5243628%3Ftimestamp%3D20251206131706" TargetMode="External" Id="rId491"/><Relationship Type="http://schemas.openxmlformats.org/officeDocument/2006/relationships/hyperlink" Target="https://search1.kakaocdn.net/thumb/R120x174.q85/?fname=http%3A%2F%2Ft1.daumcdn.net%2Flbook%2Fimage%2F5243612%3Ftimestamp%3D20260317115514" TargetMode="External" Id="rId492"/><Relationship Type="http://schemas.openxmlformats.org/officeDocument/2006/relationships/hyperlink" Target="https://search1.kakaocdn.net/thumb/R120x174.q85/?fname=http%3A%2F%2Ft1.daumcdn.net%2Flbook%2Fimage%2F5243611%3Ftimestamp%3D20260320115844" TargetMode="External" Id="rId493"/><Relationship Type="http://schemas.openxmlformats.org/officeDocument/2006/relationships/hyperlink" Target="https://search1.kakaocdn.net/thumb/R120x174.q85/?fname=http%3A%2F%2Ft1.daumcdn.net%2Flbook%2Fimage%2F5174769%3Ftimestamp%3D20260323115124" TargetMode="External" Id="rId494"/><Relationship Type="http://schemas.openxmlformats.org/officeDocument/2006/relationships/hyperlink" Target="https://search1.kakaocdn.net/thumb/R120x174.q85/?fname=http%3A%2F%2Ft1.daumcdn.net%2Flbook%2Fimage%2F5174770%3Ftimestamp%3D20260316114626" TargetMode="External" Id="rId495"/><Relationship Type="http://schemas.openxmlformats.org/officeDocument/2006/relationships/hyperlink" Target="https://search1.kakaocdn.net/thumb/R120x174.q85/?fname=http%3A%2F%2Ft1.daumcdn.net%2Flbook%2Fimage%2F5174904%3Ftimestamp%3D20260323115124" TargetMode="External" Id="rId496"/><Relationship Type="http://schemas.openxmlformats.org/officeDocument/2006/relationships/hyperlink" Target="https://search1.kakaocdn.net/thumb/R120x174.q85/?fname=http%3A%2F%2Ft1.daumcdn.net%2Flbook%2Fimage%2F5175154%3Ftimestamp%3D20260124131443" TargetMode="External" Id="rId497"/><Relationship Type="http://schemas.openxmlformats.org/officeDocument/2006/relationships/hyperlink" Target="https://search1.kakaocdn.net/thumb/R120x174.q85/?fname=http%3A%2F%2Ft1.daumcdn.net%2Flbook%2Fimage%2F5156030%3Ftimestamp%3D20260113131917" TargetMode="External" Id="rId498"/><Relationship Type="http://schemas.openxmlformats.org/officeDocument/2006/relationships/hyperlink" Target="https://search1.kakaocdn.net/thumb/R120x174.q85/?fname=http%3A%2F%2Ft1.daumcdn.net%2Flbook%2Fimage%2F5156108%3Ftimestamp%3D20260113131918" TargetMode="External" Id="rId499"/><Relationship Type="http://schemas.openxmlformats.org/officeDocument/2006/relationships/hyperlink" Target="https://search1.kakaocdn.net/thumb/R120x174.q85/?fname=http%3A%2F%2Ft1.daumcdn.net%2Flbook%2Fimage%2F5156033%3Ftimestamp%3D20260305131612" TargetMode="External" Id="rId500"/><Relationship Type="http://schemas.openxmlformats.org/officeDocument/2006/relationships/hyperlink" Target="https://search1.kakaocdn.net/thumb/R120x174.q85/?fname=http%3A%2F%2Ft1.daumcdn.net%2Flbook%2Fimage%2F5156071%3Ftimestamp%3D20251226131410" TargetMode="External" Id="rId501"/><Relationship Type="http://schemas.openxmlformats.org/officeDocument/2006/relationships/hyperlink" Target="https://search1.kakaocdn.net/thumb/R120x174.q85/?fname=http%3A%2F%2Ft1.daumcdn.net%2Flbook%2Fimage%2F5156036%3Ftimestamp%3D20251226131410" TargetMode="External" Id="rId502"/><Relationship Type="http://schemas.openxmlformats.org/officeDocument/2006/relationships/hyperlink" Target="https://search1.kakaocdn.net/thumb/R120x174.q85/?fname=http%3A%2F%2Ft1.daumcdn.net%2Flbook%2Fimage%2F5134331%3Ftimestamp%3D20260305131430" TargetMode="External" Id="rId503"/><Relationship Type="http://schemas.openxmlformats.org/officeDocument/2006/relationships/hyperlink" Target="https://search1.kakaocdn.net/thumb/R120x174.q85/?fname=http%3A%2F%2Ft1.daumcdn.net%2Flbook%2Fimage%2F5134203%3Ftimestamp%3D20260321115359" TargetMode="External" Id="rId504"/><Relationship Type="http://schemas.openxmlformats.org/officeDocument/2006/relationships/hyperlink" Target="https://search1.kakaocdn.net/thumb/R120x174.q85/?fname=http%3A%2F%2Ft1.daumcdn.net%2Flbook%2Fimage%2F6764047%3Ftimestamp%3D20241225152846" TargetMode="External" Id="rId505"/><Relationship Type="http://schemas.openxmlformats.org/officeDocument/2006/relationships/hyperlink" Target="https://search1.kakaocdn.net/thumb/R120x174.q85/?fname=http%3A%2F%2Ft1.daumcdn.net%2Flbook%2Fimage%2F5134380%3Ftimestamp%3D20260220114223" TargetMode="External" Id="rId506"/><Relationship Type="http://schemas.openxmlformats.org/officeDocument/2006/relationships/hyperlink" Target="https://search1.kakaocdn.net/thumb/R120x174.q85/?fname=http%3A%2F%2Ft1.daumcdn.net%2Flbook%2Fimage%2F5134151%3Ftimestamp%3D20260202132024" TargetMode="External" Id="rId507"/><Relationship Type="http://schemas.openxmlformats.org/officeDocument/2006/relationships/hyperlink" Target="https://search1.kakaocdn.net/thumb/R120x174.q85/?fname=http%3A%2F%2Ft1.daumcdn.net%2Flbook%2Fimage%2F5134293%3Ftimestamp%3D20260130131118" TargetMode="External" Id="rId508"/><Relationship Type="http://schemas.openxmlformats.org/officeDocument/2006/relationships/hyperlink" Target="https://search1.kakaocdn.net/thumb/R120x174.q85/?fname=http%3A%2F%2Ft1.daumcdn.net%2Flbook%2Fimage%2F5134354%3Ftimestamp%3D20260404120316" TargetMode="External" Id="rId509"/><Relationship Type="http://schemas.openxmlformats.org/officeDocument/2006/relationships/hyperlink" Target="https://search1.kakaocdn.net/thumb/R120x174.q85/?fname=http%3A%2F%2Ft1.daumcdn.net%2Flbook%2Fimage%2F5134182%3Ftimestamp%3D20260318115704" TargetMode="External" Id="rId510"/><Relationship Type="http://schemas.openxmlformats.org/officeDocument/2006/relationships/hyperlink" Target="https://search1.kakaocdn.net/thumb/R120x174.q85/?fname=http%3A%2F%2Ft1.daumcdn.net%2Flbook%2Fimage%2F5134160%3Ftimestamp%3D20260213114421" TargetMode="External" Id="rId511"/><Relationship Type="http://schemas.openxmlformats.org/officeDocument/2006/relationships/hyperlink" Target="https://search1.kakaocdn.net/thumb/R120x174.q85/?fname=http%3A%2F%2Ft1.daumcdn.net%2Flbook%2Fimage%2F5134210%3Ftimestamp%3D20260213114421" TargetMode="External" Id="rId512"/><Relationship Type="http://schemas.openxmlformats.org/officeDocument/2006/relationships/hyperlink" Target="https://search1.kakaocdn.net/thumb/R120x174.q85/?fname=http%3A%2F%2Ft1.daumcdn.net%2Flbook%2Fimage%2F5160618%3Ftimestamp%3D20250216123933" TargetMode="External" Id="rId513"/><Relationship Type="http://schemas.openxmlformats.org/officeDocument/2006/relationships/hyperlink" Target="https://search1.kakaocdn.net/thumb/R120x174.q85/?fname=http%3A%2F%2Ft1.daumcdn.net%2Flbook%2Fimage%2F1386245%3Ftimestamp%3D20250610112814" TargetMode="External" Id="rId514"/><Relationship Type="http://schemas.openxmlformats.org/officeDocument/2006/relationships/hyperlink" Target="https://search1.kakaocdn.net/thumb/R120x174.q85/?fname=http%3A%2F%2Ft1.daumcdn.net%2Flbook%2Fimage%2F1448079%3Ftimestamp%3D20240906112527" TargetMode="External" Id="rId515"/><Relationship Type="http://schemas.openxmlformats.org/officeDocument/2006/relationships/hyperlink" Target="https://search1.kakaocdn.net/thumb/R120x174.q85/?fname=http%3A%2F%2Ft1.daumcdn.net%2Flbook%2Fimage%2F1381020%3Ftimestamp%3D20220925182102" TargetMode="External" Id="rId516"/><Relationship Type="http://schemas.openxmlformats.org/officeDocument/2006/relationships/hyperlink" Target="https://search1.kakaocdn.net/thumb/R120x174.q85/?fname=http%3A%2F%2Ft1.daumcdn.net%2Flbook%2Fimage%2F1372634%3Ftimestamp%3D20221231194922" TargetMode="External" Id="rId517"/><Relationship Type="http://schemas.openxmlformats.org/officeDocument/2006/relationships/hyperlink" Target="https://search1.kakaocdn.net/thumb/R120x174.q85/?fname=http%3A%2F%2Ft1.daumcdn.net%2Flbook%2Fimage%2F1380863%3Ftimestamp%3D20230106183201" TargetMode="External" Id="rId518"/><Relationship Type="http://schemas.openxmlformats.org/officeDocument/2006/relationships/hyperlink" Target="https://search1.kakaocdn.net/thumb/R120x174.q85/?fname=http%3A%2F%2Ft1.daumcdn.net%2Flbook%2Fimage%2F1382259%3Ftimestamp%3D20240208165355" TargetMode="External" Id="rId519"/><Relationship Type="http://schemas.openxmlformats.org/officeDocument/2006/relationships/hyperlink" Target="https://search1.kakaocdn.net/thumb/R120x174.q85/?fname=http%3A%2F%2Ft1.daumcdn.net%2Flbook%2Fimage%2F690829%3Ftimestamp%3D20230905200430" TargetMode="External" Id="rId520"/><Relationship Type="http://schemas.openxmlformats.org/officeDocument/2006/relationships/hyperlink" Target="https://search1.kakaocdn.net/thumb/R120x174.q85/?fname=http%3A%2F%2Ft1.daumcdn.net%2Flbook%2Fimage%2F1342848%3Ftimestamp%3D20250710110549" TargetMode="External" Id="rId521"/><Relationship Type="http://schemas.openxmlformats.org/officeDocument/2006/relationships/hyperlink" Target="https://search1.kakaocdn.net/thumb/R120x174.q85/?fname=http%3A%2F%2Ft1.daumcdn.net%2Flbook%2Fimage%2F1157548%3Ftimestamp%3D20260206110633" TargetMode="External" Id="rId522"/><Relationship Type="http://schemas.openxmlformats.org/officeDocument/2006/relationships/hyperlink" Target="https://search1.kakaocdn.net/thumb/R120x174.q85/?fname=http%3A%2F%2Ft1.daumcdn.net%2Flbook%2Fimage%2F1007214%3Ftimestamp%3D20220726172313" TargetMode="External" Id="rId523"/><Relationship Type="http://schemas.openxmlformats.org/officeDocument/2006/relationships/hyperlink" Target="https://search1.kakaocdn.net/thumb/R120x174.q85/?fname=http%3A%2F%2Ft1.daumcdn.net%2Flbook%2Fimage%2F1360696%3Ftimestamp%3D20220826213611" TargetMode="External" Id="rId524"/><Relationship Type="http://schemas.openxmlformats.org/officeDocument/2006/relationships/hyperlink" Target="https://search1.kakaocdn.net/thumb/R120x174.q85/?fname=http%3A%2F%2Ft1.daumcdn.net%2Flbook%2Fimage%2F1199113%3Ftimestamp%3D20221107224814" TargetMode="External" Id="rId525"/><Relationship Type="http://schemas.openxmlformats.org/officeDocument/2006/relationships/hyperlink" Target="https://search1.kakaocdn.net/thumb/R120x174.q85/?fname=http%3A%2F%2Ft1.daumcdn.net%2Flbook%2Fimage%2F1199780%3Ftimestamp%3D20221107221832" TargetMode="External" Id="rId526"/><Relationship Type="http://schemas.openxmlformats.org/officeDocument/2006/relationships/hyperlink" Target="https://search1.kakaocdn.net/thumb/R120x174.q85/?fname=http%3A%2F%2Ft1.daumcdn.net%2Flbook%2Fimage%2F1199035%3Ftimestamp%3D20221107224956" TargetMode="External" Id="rId527"/><Relationship Type="http://schemas.openxmlformats.org/officeDocument/2006/relationships/hyperlink" Target="https://search1.kakaocdn.net/thumb/R120x174.q85/?fname=http%3A%2F%2Ft1.daumcdn.net%2Flbook%2Fimage%2F346611%3Ftimestamp%3D20211114174332" TargetMode="External" Id="rId528"/><Relationship Type="http://schemas.openxmlformats.org/officeDocument/2006/relationships/hyperlink" Target="https://search1.kakaocdn.net/thumb/R120x174.q85/?fname=http%3A%2F%2Ft1.daumcdn.net%2Flbook%2Fimage%2F346611%3Ftimestamp%3D20211114174332" TargetMode="External" Id="rId529"/><Relationship Type="http://schemas.openxmlformats.org/officeDocument/2006/relationships/hyperlink" Target="https://search1.kakaocdn.net/thumb/R120x174.q85/?fname=http%3A%2F%2Ft1.daumcdn.net%2Flbook%2Fimage%2F346340%3Ftimestamp%3D20230414151915" TargetMode="External" Id="rId530"/><Relationship Type="http://schemas.openxmlformats.org/officeDocument/2006/relationships/hyperlink" Target="https://search1.kakaocdn.net/thumb/R120x174.q85/?fname=http%3A%2F%2Ft1.daumcdn.net%2Flbook%2Fimage%2F889781%3Ftimestamp%3D20240801112345" TargetMode="External" Id="rId531"/><Relationship Type="http://schemas.openxmlformats.org/officeDocument/2006/relationships/hyperlink" Target="https://search1.kakaocdn.net/thumb/R120x174.q85/?fname=http%3A%2F%2Ft1.daumcdn.net%2Flbook%2Fimage%2F887872%3Ftimestamp%3D20240801112345" TargetMode="External" Id="rId532"/><Relationship Type="http://schemas.openxmlformats.org/officeDocument/2006/relationships/hyperlink" Target="https://search1.kakaocdn.net/thumb/R120x174.q85/?fname=http%3A%2F%2Ft1.daumcdn.net%2Flbook%2Fimage%2F1346686%3Ftimestamp%3D20221107223851" TargetMode="External" Id="rId533"/><Relationship Type="http://schemas.openxmlformats.org/officeDocument/2006/relationships/hyperlink" Target="https://search1.kakaocdn.net/thumb/R120x174.q85/?fname=http%3A%2F%2Ft1.daumcdn.net%2Flbook%2Fimage%2F890212%3Ftimestamp%3D20251218110956" TargetMode="External" Id="rId534"/><Relationship Type="http://schemas.openxmlformats.org/officeDocument/2006/relationships/hyperlink" Target="https://search1.kakaocdn.net/thumb/R120x174.q85/?fname=http%3A%2F%2Ft1.daumcdn.net%2Flbook%2Fimage%2F690604%3Ftimestamp%3D20260323110814" TargetMode="External" Id="rId535"/><Relationship Type="http://schemas.openxmlformats.org/officeDocument/2006/relationships/hyperlink" Target="https://search1.kakaocdn.net/thumb/R120x174.q85/?fname=http%3A%2F%2Ft1.daumcdn.net%2Flbook%2Fimage%2F348482%3Ftimestamp%3D20240405114153" TargetMode="External" Id="rId536"/><Relationship Type="http://schemas.openxmlformats.org/officeDocument/2006/relationships/hyperlink" Target="https://search1.kakaocdn.net/thumb/R120x174.q85/?fname=http%3A%2F%2Ft1.daumcdn.net%2Flbook%2Fimage%2F5666585%3Ftimestamp%3D20240718164924" TargetMode="External" Id="rId537"/><Relationship Type="http://schemas.openxmlformats.org/officeDocument/2006/relationships/hyperlink" Target="https://search1.kakaocdn.net/thumb/R120x174.q85/?fname=http%3A%2F%2Ft1.daumcdn.net%2Flbook%2Fimage%2F1390626%3Ftimestamp%3D20221025125200" TargetMode="External" Id="rId538"/><Relationship Type="http://schemas.openxmlformats.org/officeDocument/2006/relationships/hyperlink" Target="https://search1.kakaocdn.net/thumb/R120x174.q85/?fname=http%3A%2F%2Ft1.daumcdn.net%2Flbook%2Fimage%2F1333504%3Ftimestamp%3D20190127215513" TargetMode="External" Id="rId539"/><Relationship Type="http://schemas.openxmlformats.org/officeDocument/2006/relationships/hyperlink" Target="https://search1.kakaocdn.net/thumb/R120x174.q85/?fname=http%3A%2F%2Ft1.daumcdn.net%2Flbook%2Fimage%2F1036004%3Ftimestamp%3D20260109111018" TargetMode="External" Id="rId540"/><Relationship Type="http://schemas.openxmlformats.org/officeDocument/2006/relationships/hyperlink" Target="https://search1.kakaocdn.net/thumb/R120x174.q85/?fname=http%3A%2F%2Ft1.daumcdn.net%2Flbook%2Fimage%2F351134%3Ftimestamp%3D20260404110641" TargetMode="External" Id="rId541"/><Relationship Type="http://schemas.openxmlformats.org/officeDocument/2006/relationships/hyperlink" Target="https://search1.kakaocdn.net/thumb/R120x174.q85/?fname=http%3A%2F%2Ft1.daumcdn.net%2Flbook%2Fimage%2F344965%3Ftimestamp%3D20260124111021" TargetMode="External" Id="rId542"/><Relationship Type="http://schemas.openxmlformats.org/officeDocument/2006/relationships/hyperlink" Target="https://search1.kakaocdn.net/thumb/R120x174.q85/?fname=http%3A%2F%2Ft1.daumcdn.net%2Flbook%2Fimage%2F344960%3Ftimestamp%3D20250425170118" TargetMode="External" Id="rId543"/><Relationship Type="http://schemas.openxmlformats.org/officeDocument/2006/relationships/hyperlink" Target="https://search1.kakaocdn.net/thumb/R120x174.q85/?fname=http%3A%2F%2Ft1.daumcdn.net%2Flbook%2Fimage%2F344955%3Ftimestamp%3D20240403114556" TargetMode="External" Id="rId544"/><Relationship Type="http://schemas.openxmlformats.org/officeDocument/2006/relationships/hyperlink" Target="https://search1.kakaocdn.net/thumb/R120x174.q85/?fname=http%3A%2F%2Ft1.daumcdn.net%2Flbook%2Fimage%2F344950%3Ftimestamp%3D20231028175523" TargetMode="External" Id="rId545"/><Relationship Type="http://schemas.openxmlformats.org/officeDocument/2006/relationships/hyperlink" Target="https://search1.kakaocdn.net/thumb/R120x174.q85/?fname=http%3A%2F%2Ft1.daumcdn.net%2Flbook%2Fimage%2F1203183%3Ftimestamp%3D20221108001347" TargetMode="External" Id="rId546"/><Relationship Type="http://schemas.openxmlformats.org/officeDocument/2006/relationships/hyperlink" Target="https://search1.kakaocdn.net/thumb/R120x174.q85/?fname=http%3A%2F%2Ft1.daumcdn.net%2Flbook%2Fimage%2F6545781%3Ftimestamp%3D20240215222036" TargetMode="External" Id="rId547"/><Relationship Type="http://schemas.openxmlformats.org/officeDocument/2006/relationships/hyperlink" Target="https://search1.kakaocdn.net/thumb/R120x174.q85/?fname=http%3A%2F%2Ft1.daumcdn.net%2Flbook%2Fimage%2F6545483%3Ftimestamp%3D20240126164825" TargetMode="External" Id="rId548"/><Relationship Type="http://schemas.openxmlformats.org/officeDocument/2006/relationships/hyperlink" Target="https://search1.kakaocdn.net/thumb/R120x174.q85/?fname=http%3A%2F%2Ft1.daumcdn.net%2Flbook%2Fimage%2F6545171%3Ftimestamp%3D20240531153540" TargetMode="External" Id="rId549"/><Relationship Type="http://schemas.openxmlformats.org/officeDocument/2006/relationships/hyperlink" Target="https://search1.kakaocdn.net/thumb/R120x174.q85/?fname=http%3A%2F%2Ft1.daumcdn.net%2Flbook%2Fimage%2F1185398%3Ftimestamp%3D20240703112534" TargetMode="External" Id="rId550"/><Relationship Type="http://schemas.openxmlformats.org/officeDocument/2006/relationships/hyperlink" Target="https://search1.kakaocdn.net/thumb/R120x174.q85/?fname=http%3A%2F%2Ft1.daumcdn.net%2Flbook%2Fimage%2F1187452%3Ftimestamp%3D20251121110838" TargetMode="External" Id="rId551"/><Relationship Type="http://schemas.openxmlformats.org/officeDocument/2006/relationships/hyperlink" Target="https://search1.kakaocdn.net/thumb/R120x174.q85/?fname=http%3A%2F%2Ft1.daumcdn.net%2Flbook%2Fimage%2F83405%3Ftimestamp%3D20251205121419" TargetMode="External" Id="rId552"/><Relationship Type="http://schemas.openxmlformats.org/officeDocument/2006/relationships/hyperlink" Target="https://search1.kakaocdn.net/thumb/R120x174.q85/?fname=http%3A%2F%2Ft1.daumcdn.net%2Flbook%2Fimage%2F1314087%3Ftimestamp%3D20260116110729" TargetMode="External" Id="rId553"/><Relationship Type="http://schemas.openxmlformats.org/officeDocument/2006/relationships/hyperlink" Target="https://search1.kakaocdn.net/thumb/R120x174.q85/?fname=http%3A%2F%2Ft1.daumcdn.net%2Flbook%2Fimage%2F602912%3Ftimestamp%3D20230329170926" TargetMode="External" Id="rId554"/><Relationship Type="http://schemas.openxmlformats.org/officeDocument/2006/relationships/hyperlink" Target="https://search1.kakaocdn.net/thumb/R120x174.q85/?fname=http%3A%2F%2Ft1.daumcdn.net%2Flbook%2Fimage%2F1223821%3Ftimestamp%3D20200314134113" TargetMode="External" Id="rId555"/><Relationship Type="http://schemas.openxmlformats.org/officeDocument/2006/relationships/hyperlink" Target="https://search1.kakaocdn.net/thumb/R120x174.q85/?fname=http%3A%2F%2Ft1.daumcdn.net%2Flbook%2Fimage%2F545655%3Ftimestamp%3D20220922042111" TargetMode="External" Id="rId556"/><Relationship Type="http://schemas.openxmlformats.org/officeDocument/2006/relationships/hyperlink" Target="https://search1.kakaocdn.net/thumb/R120x174.q85/?fname=http%3A%2F%2Ft1.daumcdn.net%2Flbook%2Fimage%2F554237%3Ftimestamp%3D20250702153854" TargetMode="External" Id="rId557"/><Relationship Type="http://schemas.openxmlformats.org/officeDocument/2006/relationships/hyperlink" Target="https://search1.kakaocdn.net/thumb/R120x174.q85/?fname=http%3A%2F%2Ft1.daumcdn.net%2Flbook%2Fimage%2F1398664%3Ftimestamp%3D20230227051232" TargetMode="External" Id="rId558"/><Relationship Type="http://schemas.openxmlformats.org/officeDocument/2006/relationships/hyperlink" Target="https://search1.kakaocdn.net/thumb/R120x174.q85/?fname=http%3A%2F%2Ft1.daumcdn.net%2Flbook%2Fimage%2F690571%3Ftimestamp%3D20240803112755" TargetMode="External" Id="rId559"/><Relationship Type="http://schemas.openxmlformats.org/officeDocument/2006/relationships/hyperlink" Target="https://search1.kakaocdn.net/thumb/R120x174.q85/?fname=http%3A%2F%2Ft1.daumcdn.net%2Flbook%2Fimage%2F690834%3Ftimestamp%3D20250125113042" TargetMode="External" Id="rId560"/><Relationship Type="http://schemas.openxmlformats.org/officeDocument/2006/relationships/hyperlink" Target="https://search1.kakaocdn.net/thumb/R120x174.q85/?fname=http%3A%2F%2Ft1.daumcdn.net%2Flbook%2Fimage%2F1442122%3Ftimestamp%3D20221025150555" TargetMode="External" Id="rId561"/><Relationship Type="http://schemas.openxmlformats.org/officeDocument/2006/relationships/hyperlink" Target="https://search1.kakaocdn.net/thumb/R120x174.q85/?fname=http%3A%2F%2Ft1.daumcdn.net%2Flbook%2Fimage%2F964982%3Ftimestamp%3D20260401111031" TargetMode="External" Id="rId562"/><Relationship Type="http://schemas.openxmlformats.org/officeDocument/2006/relationships/hyperlink" Target="https://search1.kakaocdn.net/thumb/R120x174.q85/?fname=http%3A%2F%2Ft1.daumcdn.net%2Flbook%2Fimage%2F964380%3Ftimestamp%3D20230728202239" TargetMode="External" Id="rId563"/><Relationship Type="http://schemas.openxmlformats.org/officeDocument/2006/relationships/hyperlink" Target="https://search1.kakaocdn.net/thumb/R120x174.q85/?fname=http%3A%2F%2Ft1.daumcdn.net%2Flbook%2Fimage%2F1294764%3Ftimestamp%3D20251108110717" TargetMode="External" Id="rId564"/><Relationship Type="http://schemas.openxmlformats.org/officeDocument/2006/relationships/hyperlink" Target="https://search1.kakaocdn.net/thumb/R120x174.q85/?fname=http%3A%2F%2Ft1.daumcdn.net%2Flbook%2Fimage%2F644717%3Ftimestamp%3D20211219163732" TargetMode="External" Id="rId565"/><Relationship Type="http://schemas.openxmlformats.org/officeDocument/2006/relationships/hyperlink" Target="https://search1.kakaocdn.net/thumb/R120x174.q85/?fname=http%3A%2F%2Ft1.daumcdn.net%2Flbook%2Fimage%2F644416%3Ftimestamp%3D20221025134359" TargetMode="External" Id="rId566"/><Relationship Type="http://schemas.openxmlformats.org/officeDocument/2006/relationships/hyperlink" Target="https://search1.kakaocdn.net/thumb/R120x174.q85/?fname=http%3A%2F%2Ft1.daumcdn.net%2Flbook%2Fimage%2F348978%3Ftimestamp%3D20190122165518" TargetMode="External" Id="rId567"/><Relationship Type="http://schemas.openxmlformats.org/officeDocument/2006/relationships/hyperlink" Target="https://search1.kakaocdn.net/thumb/R120x174.q85/?fname=http%3A%2F%2Ft1.daumcdn.net%2Flbook%2Fimage%2F506089%3Ftimestamp%3D20250209113316" TargetMode="External" Id="rId568"/><Relationship Type="http://schemas.openxmlformats.org/officeDocument/2006/relationships/hyperlink" Target="https://search1.kakaocdn.net/thumb/R120x174.q85/?fname=http%3A%2F%2Ft1.daumcdn.net%2Flbook%2Fimage%2F506328%3Ftimestamp%3D20250209113327" TargetMode="External" Id="rId569"/><Relationship Type="http://schemas.openxmlformats.org/officeDocument/2006/relationships/hyperlink" Target="https://search1.kakaocdn.net/thumb/R120x174.q85/?fname=http%3A%2F%2Ft1.daumcdn.net%2Flbook%2Fimage%2F690750%3Ftimestamp%3D20260410110613" TargetMode="External" Id="rId570"/></Relationships>
</file>

<file path=xl/worksheets/_rels/sheet2.xml.rels><Relationships xmlns="http://schemas.openxmlformats.org/package/2006/relationships"><Relationship Type="http://schemas.openxmlformats.org/officeDocument/2006/relationships/hyperlink" Target="https://search1.kakaocdn.net/thumb/R120x174.q85/?fname=http%3A%2F%2Ft1.daumcdn.net%2Flbook%2Fimage%2F7032004%3Ftimestamp%3D20251101145452" TargetMode="External" Id="rId1"/><Relationship Type="http://schemas.openxmlformats.org/officeDocument/2006/relationships/hyperlink" Target="https://search1.kakaocdn.net/thumb/R120x174.q85/?fname=http%3A%2F%2Ft1.daumcdn.net%2Flbook%2Fimage%2F6938906%3Ftimestamp%3D20260206151043" TargetMode="External" Id="rId2"/><Relationship Type="http://schemas.openxmlformats.org/officeDocument/2006/relationships/hyperlink" Target="https://search1.kakaocdn.net/thumb/R120x174.q85/?fname=http%3A%2F%2Ft1.daumcdn.net%2Flbook%2Fimage%2F6347405%3Ftimestamp%3D20260101151713" TargetMode="External" Id="rId3"/><Relationship Type="http://schemas.openxmlformats.org/officeDocument/2006/relationships/hyperlink" Target="https://search1.kakaocdn.net/thumb/R120x174.q85/?fname=http%3A%2F%2Ft1.daumcdn.net%2Flbook%2Fimage%2F6502426%3Ftimestamp%3D20251122150701" TargetMode="External" Id="rId4"/><Relationship Type="http://schemas.openxmlformats.org/officeDocument/2006/relationships/hyperlink" Target="https://search1.kakaocdn.net/thumb/R120x174.q85/?fname=http%3A%2F%2Ft1.daumcdn.net%2Flbook%2Fimage%2F6473568%3Ftimestamp%3D20250823141306" TargetMode="External" Id="rId5"/><Relationship Type="http://schemas.openxmlformats.org/officeDocument/2006/relationships/hyperlink" Target="https://search1.kakaocdn.net/thumb/R120x174.q85/?fname=http%3A%2F%2Ft1.daumcdn.net%2Flbook%2Fimage%2F6285091%3Ftimestamp%3D20240530180801" TargetMode="External" Id="rId6"/><Relationship Type="http://schemas.openxmlformats.org/officeDocument/2006/relationships/hyperlink" Target="https://search1.kakaocdn.net/thumb/R120x174.q85/?fname=http%3A%2F%2Ft1.daumcdn.net%2Flbook%2Fimage%2F6719446%3Ftimestamp%3D20251029151928" TargetMode="External" Id="rId7"/><Relationship Type="http://schemas.openxmlformats.org/officeDocument/2006/relationships/hyperlink" Target="https://search1.kakaocdn.net/thumb/R120x174.q85/?fname=http%3A%2F%2Ft1.daumcdn.net%2Flbook%2Fimage%2F6233152%3Ftimestamp%3D20250712142417" TargetMode="External" Id="rId8"/><Relationship Type="http://schemas.openxmlformats.org/officeDocument/2006/relationships/hyperlink" Target="https://search1.kakaocdn.net/thumb/R120x174.q85/?fname=http%3A%2F%2Ft1.daumcdn.net%2Flbook%2Fimage%2F6709859%3Ftimestamp%3D20251214121503" TargetMode="External" Id="rId9"/><Relationship Type="http://schemas.openxmlformats.org/officeDocument/2006/relationships/hyperlink" Target="https://search1.kakaocdn.net/thumb/R120x174.q85/?fname=http%3A%2F%2Ft1.daumcdn.net%2Flbook%2Fimage%2F1651447%3Ftimestamp%3D20250709110623" TargetMode="External" Id="rId10"/><Relationship Type="http://schemas.openxmlformats.org/officeDocument/2006/relationships/hyperlink" Target="https://search1.kakaocdn.net/thumb/R120x174.q85/?fname=http%3A%2F%2Ft1.daumcdn.net%2Flbook%2Fimage%2F5360954%3Ftimestamp%3D20250903131910" TargetMode="External" Id="rId11"/><Relationship Type="http://schemas.openxmlformats.org/officeDocument/2006/relationships/hyperlink" Target="https://search1.kakaocdn.net/thumb/R120x174.q85/?fname=http%3A%2F%2Ft1.daumcdn.net%2Flbook%2Fimage%2F6542297%3Ftimestamp%3D20240517160806" TargetMode="External" Id="rId12"/><Relationship Type="http://schemas.openxmlformats.org/officeDocument/2006/relationships/hyperlink" Target="https://search1.kakaocdn.net/thumb/R120x174.q85/?fname=http%3A%2F%2Ft1.daumcdn.net%2Flbook%2Fimage%2F5818515%3Ftimestamp%3D20250314151407" TargetMode="External" Id="rId13"/><Relationship Type="http://schemas.openxmlformats.org/officeDocument/2006/relationships/hyperlink" Target="https://search1.kakaocdn.net/thumb/R120x174.q85/?fname=http%3A%2F%2Ft1.daumcdn.net%2Flbook%2Fimage%2F5797868%3Ftimestamp%3D20220930210814" TargetMode="External" Id="rId14"/><Relationship Type="http://schemas.openxmlformats.org/officeDocument/2006/relationships/hyperlink" Target="https://search1.kakaocdn.net/thumb/R120x174.q85/?fname=http%3A%2F%2Ft1.daumcdn.net%2Flbook%2Fimage%2F6258120%3Ftimestamp%3D20250629130058" TargetMode="External" Id="rId15"/><Relationship Type="http://schemas.openxmlformats.org/officeDocument/2006/relationships/hyperlink" Target="https://search1.kakaocdn.net/thumb/R120x174.q85/?fname=http%3A%2F%2Ft1.daumcdn.net%2Flbook%2Fimage%2F944668%3Ftimestamp%3D20260319110822" TargetMode="External" Id="rId16"/><Relationship Type="http://schemas.openxmlformats.org/officeDocument/2006/relationships/hyperlink" Target="https://search1.kakaocdn.net/thumb/R120x174.q85/?fname=http%3A%2F%2Ft1.daumcdn.net%2Flbook%2Fimage%2F5501243%3Ftimestamp%3D20251011132622" TargetMode="External" Id="rId17"/><Relationship Type="http://schemas.openxmlformats.org/officeDocument/2006/relationships/hyperlink" Target="https://search1.kakaocdn.net/thumb/R120x174.q85/?fname=http%3A%2F%2Ft1.daumcdn.net%2Flbook%2Fimage%2F7149925%3Ftimestamp%3D20260206151805" TargetMode="External" Id="rId18"/><Relationship Type="http://schemas.openxmlformats.org/officeDocument/2006/relationships/hyperlink" Target="https://search1.kakaocdn.net/thumb/R120x174.q85/?fname=http%3A%2F%2Ft1.daumcdn.net%2Flbook%2Fimage%2F7149639%3Ftimestamp%3D20260206151522" TargetMode="External" Id="rId19"/><Relationship Type="http://schemas.openxmlformats.org/officeDocument/2006/relationships/hyperlink" Target="https://search1.kakaocdn.net/thumb/R120x174.q85/?fname=http%3A%2F%2Ft1.daumcdn.net%2Flbook%2Fimage%2F1346801%3Ftimestamp%3D20221011180257" TargetMode="External" Id="rId20"/><Relationship Type="http://schemas.openxmlformats.org/officeDocument/2006/relationships/hyperlink" Target="https://search1.kakaocdn.net/thumb/R120x174.q85/?fname=http%3A%2F%2Ft1.daumcdn.net%2Flbook%2Fimage%2F838240%3Ftimestamp%3D20231227144954" TargetMode="External" Id="rId21"/><Relationship Type="http://schemas.openxmlformats.org/officeDocument/2006/relationships/hyperlink" Target="https://search1.kakaocdn.net/thumb/R120x174.q85/?fname=http%3A%2F%2Ft1.daumcdn.net%2Flbook%2Fimage%2F1103346%3Ftimestamp%3D20251111110830" TargetMode="External" Id="rId22"/><Relationship Type="http://schemas.openxmlformats.org/officeDocument/2006/relationships/hyperlink" Target="https://search1.kakaocdn.net/thumb/R120x174.q85/?fname=http%3A%2F%2Ft1.daumcdn.net%2Flbook%2Fimage%2F1309793%3Ftimestamp%3D20220929034411" TargetMode="External" Id="rId23"/><Relationship Type="http://schemas.openxmlformats.org/officeDocument/2006/relationships/hyperlink" Target="https://search1.kakaocdn.net/thumb/R120x174.q85/?fname=http%3A%2F%2Ft1.daumcdn.net%2Flbook%2Fimage%2F4833808%3Ftimestamp%3D20260322113351" TargetMode="External" Id="rId24"/><Relationship Type="http://schemas.openxmlformats.org/officeDocument/2006/relationships/hyperlink" Target="https://search1.kakaocdn.net/thumb/R120x174.q85/?fname=http%3A%2F%2Ft1.daumcdn.net%2Flbook%2Fimage%2F6043526%3Ftimestamp%3D20251203150535" TargetMode="External" Id="rId25"/><Relationship Type="http://schemas.openxmlformats.org/officeDocument/2006/relationships/hyperlink" Target="https://search1.kakaocdn.net/thumb/R120x174.q85/?fname=http%3A%2F%2Ft1.daumcdn.net%2Flbook%2Fimage%2F924406%3Ftimestamp%3D20250207113236" TargetMode="External" Id="rId26"/><Relationship Type="http://schemas.openxmlformats.org/officeDocument/2006/relationships/hyperlink" Target="https://search1.kakaocdn.net/thumb/R120x174.q85/?fname=http%3A%2F%2Ft1.daumcdn.net%2Flbook%2Fimage%2F5542232%3Ftimestamp%3D20240803145609" TargetMode="External" Id="rId27"/><Relationship Type="http://schemas.openxmlformats.org/officeDocument/2006/relationships/hyperlink" Target="https://search1.kakaocdn.net/thumb/R120x174.q85/?fname=http%3A%2F%2Ft1.daumcdn.net%2Flbook%2Fimage%2F5639382%3Ftimestamp%3D20250719134716" TargetMode="External" Id="rId28"/><Relationship Type="http://schemas.openxmlformats.org/officeDocument/2006/relationships/hyperlink" Target="https://search1.kakaocdn.net/thumb/R120x174.q85/?fname=http%3A%2F%2Ft1.daumcdn.net%2Flbook%2Fimage%2F927035%3Ftimestamp%3D20260403110919" TargetMode="External" Id="rId29"/><Relationship Type="http://schemas.openxmlformats.org/officeDocument/2006/relationships/hyperlink" Target="https://search1.kakaocdn.net/thumb/R120x174.q85/?fname=http%3A%2F%2Ft1.daumcdn.net%2Flbook%2Fimage%2F5035062%3Ftimestamp%3D20260319115159" TargetMode="External" Id="rId30"/><Relationship Type="http://schemas.openxmlformats.org/officeDocument/2006/relationships/hyperlink" Target="https://search1.kakaocdn.net/thumb/R120x174.q85/?fname=http%3A%2F%2Ft1.daumcdn.net%2Flbook%2Fimage%2F1583723%3Ftimestamp%3D20260314110553" TargetMode="External" Id="rId31"/><Relationship Type="http://schemas.openxmlformats.org/officeDocument/2006/relationships/hyperlink" Target="https://search1.kakaocdn.net/thumb/R120x174.q85/?fname=http%3A%2F%2Ft1.daumcdn.net%2Flbook%2Fimage%2F927035%3Ftimestamp%3D20260403110919" TargetMode="External" Id="rId32"/><Relationship Type="http://schemas.openxmlformats.org/officeDocument/2006/relationships/hyperlink" Target="https://search1.kakaocdn.net/thumb/R120x174.q85/?fname=http%3A%2F%2Ft1.daumcdn.net%2Flbook%2Fimage%2F5140806%3Ftimestamp%3D20260410114205" TargetMode="External" Id="rId33"/><Relationship Type="http://schemas.openxmlformats.org/officeDocument/2006/relationships/hyperlink" Target="https://search1.kakaocdn.net/thumb/R120x174.q85/?fname=http%3A%2F%2Ft1.daumcdn.net%2Flbook%2Fimage%2F5241455%3Ftimestamp%3D20251125132421" TargetMode="External" Id="rId34"/><Relationship Type="http://schemas.openxmlformats.org/officeDocument/2006/relationships/hyperlink" Target="https://search1.kakaocdn.net/thumb/R120x174.q85/?fname=http%3A%2F%2Ft1.daumcdn.net%2Flbook%2Fimage%2F3755762%3Ftimestamp%3D20260409110806" TargetMode="External" Id="rId35"/><Relationship Type="http://schemas.openxmlformats.org/officeDocument/2006/relationships/hyperlink" Target="https://search1.kakaocdn.net/thumb/R120x174.q85/?fname=http%3A%2F%2Ft1.daumcdn.net%2Flbook%2Fimage%2F5567671%3Ftimestamp%3D20260411120121" TargetMode="External" Id="rId36"/><Relationship Type="http://schemas.openxmlformats.org/officeDocument/2006/relationships/hyperlink" Target="https://search1.kakaocdn.net/thumb/R120x174.q85/?fname=http%3A%2F%2Ft1.daumcdn.net%2Flbook%2Fimage%2F5479179%3Ftimestamp%3D20250806135125" TargetMode="External" Id="rId37"/><Relationship Type="http://schemas.openxmlformats.org/officeDocument/2006/relationships/hyperlink" Target="https://search1.kakaocdn.net/thumb/R120x174.q85/?fname=http%3A%2F%2Ft1.daumcdn.net%2Flbook%2Fimage%2F838283%3Ftimestamp%3D20220818180405" TargetMode="External" Id="rId38"/><Relationship Type="http://schemas.openxmlformats.org/officeDocument/2006/relationships/hyperlink" Target="https://search1.kakaocdn.net/thumb/R120x174.q85/?fname=http%3A%2F%2Ft1.daumcdn.net%2Flbook%2Fimage%2F5696393%3Ftimestamp%3D20251029144109" TargetMode="External" Id="rId39"/><Relationship Type="http://schemas.openxmlformats.org/officeDocument/2006/relationships/hyperlink" Target="https://search1.kakaocdn.net/thumb/R120x174.q85/?fname=http%3A%2F%2Ft1.daumcdn.net%2Flbook%2Fimage%2F838090%3Ftimestamp%3D20260225110844" TargetMode="External" Id="rId40"/><Relationship Type="http://schemas.openxmlformats.org/officeDocument/2006/relationships/hyperlink" Target="https://search1.kakaocdn.net/thumb/R120x174.q85/?fname=http%3A%2F%2Ft1.daumcdn.net%2Flbook%2Fimage%2F927039%3Ftimestamp%3D20240615113127" TargetMode="External" Id="rId41"/><Relationship Type="http://schemas.openxmlformats.org/officeDocument/2006/relationships/hyperlink" Target="https://search1.kakaocdn.net/thumb/R120x174.q85/?fname=http%3A%2F%2Ft1.daumcdn.net%2Flbook%2Fimage%2F1639838%3Ftimestamp%3D20230616183909" TargetMode="External" Id="rId42"/><Relationship Type="http://schemas.openxmlformats.org/officeDocument/2006/relationships/hyperlink" Target="https://search1.kakaocdn.net/thumb/R120x174.q85/?fname=http%3A%2F%2Ft1.daumcdn.net%2Flbook%2Fimage%2F1502595%3Ftimestamp%3D20260325110913" TargetMode="External" Id="rId43"/><Relationship Type="http://schemas.openxmlformats.org/officeDocument/2006/relationships/hyperlink" Target="https://search1.kakaocdn.net/thumb/R120x174.q85/?fname=http%3A%2F%2Ft1.daumcdn.net%2Flbook%2Fimage%2F1584142%3Ftimestamp%3D20231115150805" TargetMode="External" Id="rId44"/><Relationship Type="http://schemas.openxmlformats.org/officeDocument/2006/relationships/hyperlink" Target="https://search1.kakaocdn.net/thumb/R120x174.q85/?fname=http%3A%2F%2Ft1.daumcdn.net%2Flbook%2Fimage%2F5326912%3Ftimestamp%3D20251129134834" TargetMode="External" Id="rId45"/><Relationship Type="http://schemas.openxmlformats.org/officeDocument/2006/relationships/hyperlink" Target="https://search1.kakaocdn.net/thumb/R120x174.q85/?fname=http%3A%2F%2Ft1.daumcdn.net%2Flbook%2Fimage%2F5082951%3Ftimestamp%3D20240905134429" TargetMode="External" Id="rId46"/><Relationship Type="http://schemas.openxmlformats.org/officeDocument/2006/relationships/hyperlink" Target="https://search1.kakaocdn.net/thumb/R120x174.q85/?fname=http%3A%2F%2Ft1.daumcdn.net%2Flbook%2Fimage%2F5506678%3Ftimestamp%3D20250829134005" TargetMode="External" Id="rId47"/><Relationship Type="http://schemas.openxmlformats.org/officeDocument/2006/relationships/hyperlink" Target="https://search1.kakaocdn.net/thumb/R120x174.q85/?fname=http%3A%2F%2Ft1.daumcdn.net%2Flbook%2Fimage%2F1385182%3Ftimestamp%3D20250925110333" TargetMode="External" Id="rId48"/><Relationship Type="http://schemas.openxmlformats.org/officeDocument/2006/relationships/hyperlink" Target="https://search1.kakaocdn.net/thumb/R120x174.q85/?fname=http%3A%2F%2Ft1.daumcdn.net%2Flbook%2Fimage%2F3775229%3Ftimestamp%3D20250521181542" TargetMode="External" Id="rId49"/><Relationship Type="http://schemas.openxmlformats.org/officeDocument/2006/relationships/hyperlink" Target="https://search1.kakaocdn.net/thumb/R120x174.q85/?fname=http%3A%2F%2Ft1.daumcdn.net%2Flbook%2Fimage%2F1603860%3Ftimestamp%3D20251101110913" TargetMode="External" Id="rId50"/><Relationship Type="http://schemas.openxmlformats.org/officeDocument/2006/relationships/hyperlink" Target="https://search1.kakaocdn.net/thumb/R120x174.q85/?fname=http%3A%2F%2Ft1.daumcdn.net%2Flbook%2Fimage%2F927041%3Ftimestamp%3D20230728204344" TargetMode="External" Id="rId51"/><Relationship Type="http://schemas.openxmlformats.org/officeDocument/2006/relationships/hyperlink" Target="https://search1.kakaocdn.net/thumb/R120x174.q85/?fname=http%3A%2F%2Ft1.daumcdn.net%2Flbook%2Fimage%2F1394965%3Ftimestamp%3D20211212170500" TargetMode="External" Id="rId52"/><Relationship Type="http://schemas.openxmlformats.org/officeDocument/2006/relationships/hyperlink" Target="https://search1.kakaocdn.net/thumb/R120x174.q85/?fname=http%3A%2F%2Ft1.daumcdn.net%2Flbook%2Fimage%2F4913809%3Ftimestamp%3D20251125124415" TargetMode="External" Id="rId53"/><Relationship Type="http://schemas.openxmlformats.org/officeDocument/2006/relationships/hyperlink" Target="https://search1.kakaocdn.net/thumb/R120x174.q85/?fname=http%3A%2F%2Ft1.daumcdn.net%2Flbook%2Fimage%2F6363119%3Ftimestamp%3D20251127150952" TargetMode="External" Id="rId54"/><Relationship Type="http://schemas.openxmlformats.org/officeDocument/2006/relationships/hyperlink" Target="https://search1.kakaocdn.net/thumb/R120x174.q85/?fname=http%3A%2F%2Ft1.daumcdn.net%2Flbook%2Fimage%2F1584662%3Ftimestamp%3D20200423130542" TargetMode="External" Id="rId55"/><Relationship Type="http://schemas.openxmlformats.org/officeDocument/2006/relationships/hyperlink" Target="https://search1.kakaocdn.net/thumb/R120x174.q85/?fname=http%3A%2F%2Ft1.daumcdn.net%2Flbook%2Fimage%2F924414%3Ftimestamp%3D20260318110856" TargetMode="External" Id="rId56"/><Relationship Type="http://schemas.openxmlformats.org/officeDocument/2006/relationships/hyperlink" Target="https://search1.kakaocdn.net/thumb/R120x174.q85/?fname=http%3A%2F%2Ft1.daumcdn.net%2Flbook%2Fimage%2F1658571%3Ftimestamp%3D20221025143855" TargetMode="External" Id="rId57"/><Relationship Type="http://schemas.openxmlformats.org/officeDocument/2006/relationships/hyperlink" Target="https://search1.kakaocdn.net/thumb/R120x174.q85/?fname=http%3A%2F%2Ft1.daumcdn.net%2Flbook%2Fimage%2F4369865%3Ftimestamp%3D20240606124415" TargetMode="External" Id="rId58"/><Relationship Type="http://schemas.openxmlformats.org/officeDocument/2006/relationships/hyperlink" Target="https://search1.kakaocdn.net/thumb/R120x174.q85/?fname=http%3A%2F%2Ft1.daumcdn.net%2Flbook%2Fimage%2F945661%3Ftimestamp%3D20251101110749" TargetMode="External" Id="rId59"/><Relationship Type="http://schemas.openxmlformats.org/officeDocument/2006/relationships/hyperlink" Target="https://search1.kakaocdn.net/thumb/R120x174.q85/?fname=http%3A%2F%2Ft1.daumcdn.net%2Flbook%2Fimage%2F1473437%3Ftimestamp%3D20220817095901" TargetMode="External" Id="rId60"/><Relationship Type="http://schemas.openxmlformats.org/officeDocument/2006/relationships/hyperlink" Target="https://search1.kakaocdn.net/thumb/R120x174.q85/?fname=http%3A%2F%2Ft1.daumcdn.net%2Flbook%2Fimage%2F1412834%3Ftimestamp%3D20220410081301" TargetMode="External" Id="rId61"/><Relationship Type="http://schemas.openxmlformats.org/officeDocument/2006/relationships/hyperlink" Target="https://search1.kakaocdn.net/thumb/R120x174.q85/?fname=http%3A%2F%2Ft1.daumcdn.net%2Flbook%2Fimage%2F5143438%3Ftimestamp%3D20251122130926" TargetMode="External" Id="rId62"/><Relationship Type="http://schemas.openxmlformats.org/officeDocument/2006/relationships/hyperlink" Target="https://search1.kakaocdn.net/thumb/R120x174.q85/?fname=http%3A%2F%2Ft1.daumcdn.net%2Flbook%2Fimage%2F1429373%3Ftimestamp%3D20220817095040" TargetMode="External" Id="rId63"/><Relationship Type="http://schemas.openxmlformats.org/officeDocument/2006/relationships/hyperlink" Target="https://search1.kakaocdn.net/thumb/R120x174.q85/?fname=http%3A%2F%2Ft1.daumcdn.net%2Flbook%2Fimage%2F1345133%3Ftimestamp%3D20231019181503" TargetMode="External" Id="rId64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Q576"/>
  <sheetViews>
    <sheetView tabSelected="1" workbookViewId="0">
      <pane ySplit="2" topLeftCell="A169" activePane="bottomLeft" state="frozen"/>
      <selection pane="bottomLeft" activeCell="B184" sqref="B184"/>
    </sheetView>
  </sheetViews>
  <sheetFormatPr baseColWidth="8" defaultColWidth="12.5703125" defaultRowHeight="15" customHeight="1"/>
  <cols>
    <col width="3.5703125" customWidth="1" style="118" min="1" max="1"/>
    <col width="38.7109375" customWidth="1" style="118" min="2" max="2"/>
    <col width="27.140625" customWidth="1" style="118" min="3" max="3"/>
    <col width="14.140625" customWidth="1" style="118" min="4" max="4"/>
    <col width="9.140625" customWidth="1" style="118" min="5" max="6"/>
    <col width="10.85546875" customWidth="1" style="118" min="7" max="7"/>
    <col width="11.140625" customWidth="1" style="118" min="8" max="8"/>
    <col width="9.85546875" customWidth="1" style="118" min="9" max="9"/>
    <col width="23" customWidth="1" style="118" min="10" max="10"/>
    <col width="55" customWidth="1" style="118" min="11" max="11"/>
    <col width="15" customWidth="1" style="118" min="12" max="17"/>
    <col width="15.140625" customWidth="1" style="118" min="18" max="25"/>
  </cols>
  <sheetData>
    <row r="1" ht="23.25" customHeight="1" s="118">
      <c r="A1" s="1" t="n"/>
      <c r="B1" s="2">
        <f>COUNTA($B$18:B2111)</f>
        <v/>
      </c>
      <c r="C1" s="120" t="inlineStr">
        <is>
          <t>BOOKS</t>
        </is>
      </c>
      <c r="D1" s="121" t="n"/>
      <c r="E1" s="2">
        <f>COUNTBLANK($E$18:E2111)</f>
        <v/>
      </c>
      <c r="F1" s="2">
        <f>COUNTBLANK($F$18:F2111)</f>
        <v/>
      </c>
      <c r="G1" s="4" t="n"/>
      <c r="H1" s="5">
        <f>COUNTA($H$18:H2111)</f>
        <v/>
      </c>
      <c r="I1" s="5">
        <f>COUNTA($H$18:I2111)</f>
        <v/>
      </c>
    </row>
    <row r="2" ht="21" customHeight="1" s="118">
      <c r="A2" s="6" t="n"/>
      <c r="B2" s="117" t="inlineStr">
        <is>
          <t>책 이름</t>
        </is>
      </c>
      <c r="C2" s="7" t="inlineStr">
        <is>
          <t>작가</t>
        </is>
      </c>
      <c r="D2" s="7" t="inlineStr">
        <is>
          <t>출판사</t>
        </is>
      </c>
      <c r="E2" s="7">
        <f>CONCATENATE("대현","(",E1,")")</f>
        <v/>
      </c>
      <c r="F2" s="7">
        <f>CONCATENATE("문선","(",F1,")")</f>
        <v/>
      </c>
      <c r="G2" s="7" t="inlineStr">
        <is>
          <t>구입 날짜</t>
        </is>
      </c>
      <c r="H2" s="117" t="inlineStr">
        <is>
          <t>상태</t>
        </is>
      </c>
      <c r="I2" s="7" t="inlineStr">
        <is>
          <t>기부/판매월</t>
        </is>
      </c>
      <c r="J2" s="7" t="inlineStr">
        <is>
          <t>isbn</t>
        </is>
      </c>
      <c r="K2" s="7" t="inlineStr">
        <is>
          <t>coverUrl</t>
        </is>
      </c>
      <c r="L2" s="8" t="n"/>
      <c r="M2" s="8" t="n"/>
      <c r="N2" s="8" t="n"/>
      <c r="O2" s="8" t="n"/>
      <c r="P2" s="8" t="n"/>
      <c r="Q2" s="8" t="n"/>
    </row>
    <row r="3" hidden="1" ht="16.5" customHeight="1" s="118">
      <c r="A3" s="9" t="n"/>
      <c r="B3" s="10" t="n"/>
      <c r="C3" s="11" t="n"/>
      <c r="D3" s="11" t="n"/>
      <c r="E3" s="12">
        <f>_xludf.IFS(COUNTIF(보류목록!$B$3:$B$1000, B3)&gt;0, "-",COUNTIF(독서목록!$C$2:$C$1099, B3)=0, , COUNTIF(독서목록!$C$2:$C$1099, B3)&gt;0, COUNTIF(독서목록!$C$2:$C$1099, B3))</f>
        <v/>
      </c>
      <c r="F3" s="12">
        <f>_xludf.IFS(COUNTIF(보류목록!$C$3:$C$1000, B3)&gt;0, "-",COUNTIF(독서목록!$D$2:$D$1099, B3)=0, , COUNTIF(독서목록!$D$2:$D$1099, B3)&gt;0, COUNTIF(독서목록!$D$2:$D$1099, B3))</f>
        <v/>
      </c>
      <c r="G3" s="13" t="n"/>
      <c r="H3" s="14" t="n"/>
      <c r="I3" s="14" t="n"/>
      <c r="J3" s="15" t="n"/>
      <c r="K3" s="15" t="n"/>
    </row>
    <row r="4" ht="16.5" customHeight="1" s="118">
      <c r="A4" s="9" t="n"/>
      <c r="B4" s="10" t="inlineStr">
        <is>
          <t>그림으로보는 거의 모든 것의 역사</t>
        </is>
      </c>
      <c r="C4" s="11" t="inlineStr">
        <is>
          <t>빌 브라이슨</t>
        </is>
      </c>
      <c r="D4" s="11" t="inlineStr">
        <is>
          <t>까치</t>
        </is>
      </c>
      <c r="E4" s="12" t="n"/>
      <c r="F4" s="12" t="n"/>
      <c r="G4" s="13" t="inlineStr">
        <is>
          <t>2026.05.07</t>
        </is>
      </c>
      <c r="H4" s="14" t="n"/>
      <c r="I4" s="14" t="n"/>
      <c r="J4" s="16" t="inlineStr">
        <is>
          <t>8972917249 9788972917243</t>
        </is>
      </c>
      <c r="K4" s="16" t="inlineStr">
        <is>
          <t>https://search1.kakaocdn.net/thumb/R120x174.q85/?fname=http%3A%2F%2Ft1.daumcdn.net%2Flbook%2Fimage%2F5513537%3Ftimestamp%3D20260123141800</t>
        </is>
      </c>
    </row>
    <row r="5" ht="16.5" customHeight="1" s="118">
      <c r="A5" s="9" t="n"/>
      <c r="B5" s="10" t="inlineStr">
        <is>
          <t>율리시스 1</t>
        </is>
      </c>
      <c r="C5" s="11" t="inlineStr">
        <is>
          <t>제임스 조이스</t>
        </is>
      </c>
      <c r="D5" s="11" t="inlineStr">
        <is>
          <t>문학동네</t>
        </is>
      </c>
      <c r="E5" s="12" t="n"/>
      <c r="F5" s="12" t="n"/>
      <c r="G5" s="13" t="inlineStr">
        <is>
          <t>2026.05.07</t>
        </is>
      </c>
      <c r="H5" s="14" t="n"/>
      <c r="I5" s="14" t="n"/>
      <c r="J5" s="16" t="inlineStr">
        <is>
          <t>8954696856 9788954696852</t>
        </is>
      </c>
      <c r="K5" s="16" t="inlineStr">
        <is>
          <t>https://search1.kakaocdn.net/thumb/R120x174.q85/?fname=http%3A%2F%2Ft1.daumcdn.net%2Flbook%2Fimage%2F6508888%3Ftimestamp%3D20260424150651</t>
        </is>
      </c>
    </row>
    <row r="6" ht="16.5" customHeight="1" s="118">
      <c r="A6" s="9" t="n"/>
      <c r="B6" s="10" t="inlineStr">
        <is>
          <t>행동하지 않으면 인생은 바뀌지 않는다</t>
        </is>
      </c>
      <c r="C6" s="11" t="inlineStr">
        <is>
          <t>브라이언 트레이시</t>
        </is>
      </c>
      <c r="D6" s="11" t="inlineStr">
        <is>
          <t>현대지성</t>
        </is>
      </c>
      <c r="E6" s="12" t="n"/>
      <c r="F6" s="12" t="n"/>
      <c r="G6" s="13" t="inlineStr">
        <is>
          <t>2026.05.07</t>
        </is>
      </c>
      <c r="H6" s="14" t="n"/>
      <c r="I6" s="14" t="n"/>
      <c r="J6" s="16" t="inlineStr">
        <is>
          <t>113971614X 9791139716146</t>
        </is>
      </c>
      <c r="K6" s="16" t="inlineStr">
        <is>
          <t>https://search1.kakaocdn.net/thumb/R120x174.q85/?fname=http%3A%2F%2Ft1.daumcdn.net%2Flbook%2Fimage%2F6770162%3Ftimestamp%3D20260123151045</t>
        </is>
      </c>
    </row>
    <row r="7" ht="16.5" customHeight="1" s="118">
      <c r="A7" s="9" t="n"/>
      <c r="B7" s="10" t="inlineStr">
        <is>
          <t>내 이름은 빨강1</t>
        </is>
      </c>
      <c r="C7" s="11" t="inlineStr">
        <is>
          <t>오르한 파묵</t>
        </is>
      </c>
      <c r="D7" s="11" t="inlineStr">
        <is>
          <t>민음사</t>
        </is>
      </c>
      <c r="E7" s="12">
        <f>_xludf.IFS(COUNTIF(보류목록!$B$3:$B$1000, B7)&gt;0, "-",COUNTIF(독서목록!$C$2:$C$1099, B7)=0, , COUNTIF(독서목록!$C$2:$C$1099, B7)&gt;0, COUNTIF(독서목록!$C$2:$C$1099, B7))</f>
        <v/>
      </c>
      <c r="F7" s="12">
        <f>_xludf.IFS(COUNTIF(보류목록!$C$3:$C$1000, B7)&gt;0, "-",COUNTIF(독서목록!$D$2:$D$1099, B7)=0, , COUNTIF(독서목록!$D$2:$D$1099, B7)&gt;0, COUNTIF(독서목록!$D$2:$D$1099, B7))</f>
        <v/>
      </c>
      <c r="G7" s="13" t="inlineStr">
        <is>
          <t>2026.04.03</t>
        </is>
      </c>
      <c r="H7" s="14" t="n"/>
      <c r="I7" s="14" t="n"/>
      <c r="J7" s="16" t="inlineStr">
        <is>
          <t>8937479796 9788937479793</t>
        </is>
      </c>
      <c r="K7" s="17" t="inlineStr">
        <is>
          <t>https://search1.kakaocdn.net/thumb/R120x174.q85/?fname=http%3A%2F%2Ft1.daumcdn.net%2Flbook%2Fimage%2F5116614%3Ftimestamp%3D20260401115732</t>
        </is>
      </c>
    </row>
    <row r="8" ht="16.5" customHeight="1" s="118">
      <c r="A8" s="9" t="n"/>
      <c r="B8" s="10" t="inlineStr">
        <is>
          <t>내 이름은 빨강2</t>
        </is>
      </c>
      <c r="C8" s="11" t="inlineStr">
        <is>
          <t>오르한 파묵</t>
        </is>
      </c>
      <c r="D8" s="11" t="inlineStr">
        <is>
          <t>민음사</t>
        </is>
      </c>
      <c r="E8" s="12">
        <f>_xludf.IFS(COUNTIF(보류목록!$B$3:$B$1000, B8)&gt;0, "-",COUNTIF(독서목록!$C$2:$C$1099, B8)=0, , COUNTIF(독서목록!$C$2:$C$1099, B8)&gt;0, COUNTIF(독서목록!$C$2:$C$1099, B8))</f>
        <v/>
      </c>
      <c r="F8" s="12">
        <f>_xludf.IFS(COUNTIF(보류목록!$C$3:$C$1000, B8)&gt;0, "-",COUNTIF(독서목록!$D$2:$D$1099, B8)=0, , COUNTIF(독서목록!$D$2:$D$1099, B8)&gt;0, COUNTIF(독서목록!$D$2:$D$1099, B8))</f>
        <v/>
      </c>
      <c r="G8" s="13" t="inlineStr">
        <is>
          <t>2026.04.03</t>
        </is>
      </c>
      <c r="H8" s="14" t="n"/>
      <c r="I8" s="14" t="n"/>
      <c r="J8" s="16" t="inlineStr">
        <is>
          <t>893747980X 9788937479809</t>
        </is>
      </c>
      <c r="K8" s="18" t="inlineStr">
        <is>
          <t>https://search1.kakaocdn.net/thumb/R120x174.q85/?fname=http%3A%2F%2Ft1.daumcdn.net%2Flbook%2Fimage%2F5116541%3Ftimestamp%3D20260225130958</t>
        </is>
      </c>
    </row>
    <row r="9" ht="16.5" customHeight="1" s="118">
      <c r="A9" s="9" t="n"/>
      <c r="B9" s="10" t="inlineStr">
        <is>
          <t>빛이 이끄는 곳으로</t>
        </is>
      </c>
      <c r="C9" s="11" t="inlineStr">
        <is>
          <t>백희성</t>
        </is>
      </c>
      <c r="D9" s="11" t="inlineStr">
        <is>
          <t>북로망스</t>
        </is>
      </c>
      <c r="E9" s="12">
        <f>_xludf.IFS(COUNTIF(보류목록!$B$3:$B$1000, B9)&gt;0, "-",COUNTIF(독서목록!$C$2:$C$1099, B9)=0, , COUNTIF(독서목록!$C$2:$C$1099, B9)&gt;0, COUNTIF(독서목록!$C$2:$C$1099, B9))</f>
        <v/>
      </c>
      <c r="F9" s="12">
        <f>_xludf.IFS(COUNTIF(보류목록!$C$3:$C$1000, B9)&gt;0, "-",COUNTIF(독서목록!$D$2:$D$1099, B9)=0, , COUNTIF(독서목록!$D$2:$D$1099, B9)&gt;0, COUNTIF(독서목록!$D$2:$D$1099, B9))</f>
        <v/>
      </c>
      <c r="G9" s="13" t="inlineStr">
        <is>
          <t>2026.04.03</t>
        </is>
      </c>
      <c r="H9" s="14" t="n"/>
      <c r="I9" s="14" t="n"/>
      <c r="J9" s="16" t="inlineStr">
        <is>
          <t>1193937191 9791193937198</t>
        </is>
      </c>
      <c r="K9" s="18" t="inlineStr">
        <is>
          <t>https://search1.kakaocdn.net/thumb/R120x174.q85/?fname=http%3A%2F%2Ft1.daumcdn.net%2Flbook%2Fimage%2F6700452%3Ftimestamp%3D20251128151643</t>
        </is>
      </c>
    </row>
    <row r="10" ht="16.5" customHeight="1" s="118">
      <c r="A10" s="9" t="n"/>
      <c r="B10" s="10" t="inlineStr">
        <is>
          <t>킬리만자로의 눈</t>
        </is>
      </c>
      <c r="C10" s="11" t="inlineStr">
        <is>
          <t>어니스트 헤밍웨이</t>
        </is>
      </c>
      <c r="D10" s="11" t="inlineStr">
        <is>
          <t>문학동네</t>
        </is>
      </c>
      <c r="E10" s="12">
        <f>_xludf.IFS(COUNTIF(보류목록!$B$3:$B$1000, B10)&gt;0, "-",COUNTIF(독서목록!$C$2:$C$1099, B10)=0, , COUNTIF(독서목록!$C$2:$C$1099, B10)&gt;0, COUNTIF(독서목록!$C$2:$C$1099, B10))</f>
        <v/>
      </c>
      <c r="F10" s="12">
        <f>_xludf.IFS(COUNTIF(보류목록!$C$3:$C$1000, B10)&gt;0, "-",COUNTIF(독서목록!$D$2:$D$1099, B10)=0, , COUNTIF(독서목록!$D$2:$D$1099, B10)&gt;0, COUNTIF(독서목록!$D$2:$D$1099, B10))</f>
        <v/>
      </c>
      <c r="G10" s="13" t="inlineStr">
        <is>
          <t>2026.04.03</t>
        </is>
      </c>
      <c r="H10" s="14" t="n"/>
      <c r="I10" s="14" t="n"/>
      <c r="J10" s="16" t="inlineStr">
        <is>
          <t>1141608774 9791141608774</t>
        </is>
      </c>
      <c r="K10" s="17" t="inlineStr">
        <is>
          <t>https://search1.kakaocdn.net/thumb/R120x174.q85/?fname=http%3A%2F%2Ft1.daumcdn.net%2Flbook%2Fimage%2F6821031%3Ftimestamp%3D20260327125531</t>
        </is>
      </c>
    </row>
    <row r="11" ht="16.5" customHeight="1" s="118">
      <c r="A11" s="9" t="n"/>
      <c r="B11" s="10" t="inlineStr">
        <is>
          <t>모순</t>
        </is>
      </c>
      <c r="C11" s="11" t="inlineStr">
        <is>
          <t>양귀자</t>
        </is>
      </c>
      <c r="D11" s="11" t="inlineStr">
        <is>
          <t>쓰다</t>
        </is>
      </c>
      <c r="E11" s="12">
        <f>_xludf.IFS(COUNTIF(보류목록!$B$3:$B$1000, B11)&gt;0, "-",COUNTIF(독서목록!$C$2:$C$1099, B11)=0, , COUNTIF(독서목록!$C$2:$C$1099, B11)&gt;0, COUNTIF(독서목록!$C$2:$C$1099, B11))</f>
        <v/>
      </c>
      <c r="F11" s="12">
        <f>_xludf.IFS(COUNTIF(보류목록!$C$3:$C$1000, B11)&gt;0, "-",COUNTIF(독서목록!$D$2:$D$1099, B11)=0, , COUNTIF(독서목록!$D$2:$D$1099, B11)&gt;0, COUNTIF(독서목록!$D$2:$D$1099, B11))</f>
        <v/>
      </c>
      <c r="G11" s="13" t="inlineStr">
        <is>
          <t>2026.03.03</t>
        </is>
      </c>
      <c r="H11" s="14" t="n"/>
      <c r="I11" s="14" t="n"/>
      <c r="J11" s="16" t="inlineStr">
        <is>
          <t>8998441012 9788998441012</t>
        </is>
      </c>
      <c r="K11" s="18" t="inlineStr">
        <is>
          <t>https://search1.kakaocdn.net/thumb/R120x174.q85/?fname=http%3A%2F%2Ft1.daumcdn.net%2Flbook%2Fimage%2F1500252%3Ftimestamp%3D20260109111005</t>
        </is>
      </c>
    </row>
    <row r="12" ht="16.5" customHeight="1" s="118">
      <c r="A12" s="9" t="n"/>
      <c r="B12" s="10" t="inlineStr">
        <is>
          <t>쓰는 사람</t>
        </is>
      </c>
      <c r="C12" s="11" t="inlineStr">
        <is>
          <t>백희성</t>
        </is>
      </c>
      <c r="D12" s="11" t="inlineStr">
        <is>
          <t>교보문고</t>
        </is>
      </c>
      <c r="E12" s="12">
        <f>_xludf.IFS(COUNTIF(보류목록!$B$3:$B$1000, B12)&gt;0, "-",COUNTIF(독서목록!$C$2:$C$1099, B12)=0, , COUNTIF(독서목록!$C$2:$C$1099, B12)&gt;0, COUNTIF(독서목록!$C$2:$C$1099, B12))</f>
        <v/>
      </c>
      <c r="F12" s="12">
        <f>_xludf.IFS(COUNTIF(보류목록!$C$3:$C$1000, B12)&gt;0, "-",COUNTIF(독서목록!$D$2:$D$1099, B12)=0, , COUNTIF(독서목록!$D$2:$D$1099, B12)&gt;0, COUNTIF(독서목록!$D$2:$D$1099, B12))</f>
        <v/>
      </c>
      <c r="G12" s="13" t="inlineStr">
        <is>
          <t>2026.03.03</t>
        </is>
      </c>
      <c r="H12" s="14" t="n"/>
      <c r="I12" s="14" t="n"/>
      <c r="J12" s="16" t="inlineStr">
        <is>
          <t>1170613578 9791170613572</t>
        </is>
      </c>
      <c r="K12" s="18" t="inlineStr">
        <is>
          <t>https://search1.kakaocdn.net/thumb/R120x174.q85/?fname=http%3A%2F%2Ft1.daumcdn.net%2Flbook%2Fimage%2F7139629%3Ftimestamp%3D20260321123846</t>
        </is>
      </c>
    </row>
    <row r="13" ht="16.5" customHeight="1" s="118">
      <c r="A13" s="9" t="n"/>
      <c r="B13" s="10" t="inlineStr">
        <is>
          <t>어떻게 지내요</t>
        </is>
      </c>
      <c r="C13" s="11" t="inlineStr">
        <is>
          <t>시그리드 누네즈</t>
        </is>
      </c>
      <c r="D13" s="11" t="inlineStr">
        <is>
          <t>엘리</t>
        </is>
      </c>
      <c r="E13" s="12">
        <f>_xludf.IFS(COUNTIF(보류목록!$B$3:$B$1000, B13)&gt;0, "-",COUNTIF(독서목록!$C$2:$C$1099, B13)=0, , COUNTIF(독서목록!$C$2:$C$1099, B13)&gt;0, COUNTIF(독서목록!$C$2:$C$1099, B13))</f>
        <v/>
      </c>
      <c r="F13" s="12">
        <f>_xludf.IFS(COUNTIF(보류목록!$C$3:$C$1000, B13)&gt;0, "-",COUNTIF(독서목록!$D$2:$D$1099, B13)=0, , COUNTIF(독서목록!$D$2:$D$1099, B13)&gt;0, COUNTIF(독서목록!$D$2:$D$1099, B13))</f>
        <v/>
      </c>
      <c r="G13" s="13" t="inlineStr">
        <is>
          <t>2026.03.03</t>
        </is>
      </c>
      <c r="H13" s="14" t="n"/>
      <c r="I13" s="14" t="n"/>
      <c r="J13" s="16" t="inlineStr">
        <is>
          <t>1191247112 9791191247114</t>
        </is>
      </c>
      <c r="K13" s="17" t="inlineStr">
        <is>
          <t>https://search1.kakaocdn.net/thumb/R120x174.q85/?fname=http%3A%2F%2Ft1.daumcdn.net%2Flbook%2Fimage%2F5820803%3Ftimestamp%3D20260401123023</t>
        </is>
      </c>
    </row>
    <row r="14" ht="16.5" customHeight="1" s="118">
      <c r="A14" s="9" t="n"/>
      <c r="B14" s="10" t="inlineStr">
        <is>
          <t>자기만의 방</t>
        </is>
      </c>
      <c r="C14" s="11" t="inlineStr">
        <is>
          <t>버지니아 울프</t>
        </is>
      </c>
      <c r="D14" s="11" t="inlineStr">
        <is>
          <t>열린책들</t>
        </is>
      </c>
      <c r="E14" s="12">
        <f>_xludf.IFS(COUNTIF(보류목록!$B$3:$B$1000, B14)&gt;0, "-",COUNTIF(독서목록!$C$2:$C$1099, B14)=0, , COUNTIF(독서목록!$C$2:$C$1099, B14)&gt;0, COUNTIF(독서목록!$C$2:$C$1099, B14))</f>
        <v/>
      </c>
      <c r="F14" s="12">
        <f>_xludf.IFS(COUNTIF(보류목록!$C$3:$C$1000, B14)&gt;0, "-",COUNTIF(독서목록!$D$2:$D$1099, B14)=0, , COUNTIF(독서목록!$D$2:$D$1099, B14)&gt;0, COUNTIF(독서목록!$D$2:$D$1099, B14))</f>
        <v/>
      </c>
      <c r="G14" s="13" t="inlineStr">
        <is>
          <t>2026.03.03</t>
        </is>
      </c>
      <c r="H14" s="14" t="n"/>
      <c r="I14" s="14" t="n"/>
      <c r="J14" s="16" t="inlineStr">
        <is>
          <t>893292564X 9788932925646</t>
        </is>
      </c>
      <c r="K14" s="19" t="inlineStr">
        <is>
          <t>https://search1.kakaocdn.net/thumb/R120x174.q85/?fname=http%3A%2F%2Ft1.daumcdn.net%2Flbook%2Fimage%2F7171253%3Ftimestamp%3D20260313130241</t>
        </is>
      </c>
    </row>
    <row r="15" ht="16.5" customHeight="1" s="118">
      <c r="A15" s="9" t="n"/>
      <c r="B15" s="10" t="inlineStr">
        <is>
          <t>괴테는 모든 것을 말했다</t>
        </is>
      </c>
      <c r="C15" s="11" t="inlineStr">
        <is>
          <t>스즈키 유이</t>
        </is>
      </c>
      <c r="D15" s="11" t="inlineStr">
        <is>
          <t>리프</t>
        </is>
      </c>
      <c r="E15" s="12">
        <f>_xludf.IFS(COUNTIF(보류목록!$B$3:$B$1000, B15)&gt;0, "-",COUNTIF(독서목록!$C$2:$C$1099, B15)=0, , COUNTIF(독서목록!$C$2:$C$1099, B15)&gt;0, COUNTIF(독서목록!$C$2:$C$1099, B15))</f>
        <v/>
      </c>
      <c r="F15" s="12">
        <f>_xludf.IFS(COUNTIF(보류목록!$C$3:$C$1000, B15)&gt;0, "-",COUNTIF(독서목록!$D$2:$D$1099, B15)=0, , COUNTIF(독서목록!$D$2:$D$1099, B15)&gt;0, COUNTIF(독서목록!$D$2:$D$1099, B15))</f>
        <v/>
      </c>
      <c r="G15" s="13" t="inlineStr">
        <is>
          <t>2026.02.02</t>
        </is>
      </c>
      <c r="H15" s="14" t="n"/>
      <c r="I15" s="14" t="n"/>
      <c r="J15" s="16" t="inlineStr">
        <is>
          <t>1194530702 9791194530701</t>
        </is>
      </c>
      <c r="K15" s="17" t="inlineStr">
        <is>
          <t>https://search1.kakaocdn.net/thumb/R120x174.q85/?fname=http%3A%2F%2Ft1.daumcdn.net%2Flbook%2Fimage%2F7071530%3Ftimestamp%3D20260305151548</t>
        </is>
      </c>
    </row>
    <row r="16" ht="16.5" customHeight="1" s="118">
      <c r="A16" s="9" t="n"/>
      <c r="B16" s="10" t="inlineStr">
        <is>
          <t>안녕이라 그랬어</t>
        </is>
      </c>
      <c r="C16" s="11" t="inlineStr">
        <is>
          <t>김애란</t>
        </is>
      </c>
      <c r="D16" s="11" t="inlineStr">
        <is>
          <t>문학동네</t>
        </is>
      </c>
      <c r="E16" s="12">
        <f>_xludf.IFS(COUNTIF(보류목록!$B$3:$B$1000, B16)&gt;0, "-",COUNTIF(독서목록!$C$2:$C$1099, B16)=0, , COUNTIF(독서목록!$C$2:$C$1099, B16)&gt;0, COUNTIF(독서목록!$C$2:$C$1099, B16))</f>
        <v/>
      </c>
      <c r="F16" s="12">
        <f>_xludf.IFS(COUNTIF(보류목록!$C$3:$C$1000, B16)&gt;0, "-",COUNTIF(독서목록!$D$2:$D$1099, B16)=0, , COUNTIF(독서목록!$D$2:$D$1099, B16)&gt;0, COUNTIF(독서목록!$D$2:$D$1099, B16))</f>
        <v/>
      </c>
      <c r="G16" s="13" t="inlineStr">
        <is>
          <t>2026.02.02</t>
        </is>
      </c>
      <c r="H16" s="14" t="n"/>
      <c r="I16" s="14" t="n"/>
      <c r="J16" s="16" t="inlineStr">
        <is>
          <t>1141602377 9791141602376</t>
        </is>
      </c>
      <c r="K16" s="17" t="inlineStr">
        <is>
          <t>https://search1.kakaocdn.net/thumb/R120x174.q85/?fname=http%3A%2F%2Ft1.daumcdn.net%2Flbook%2Fimage%2F6934321%3Ftimestamp%3D20260206151033</t>
        </is>
      </c>
    </row>
    <row r="17" ht="16.5" customHeight="1" s="118">
      <c r="A17" s="9" t="n"/>
      <c r="B17" s="10" t="inlineStr">
        <is>
          <t>편안함의 습격</t>
        </is>
      </c>
      <c r="C17" s="11" t="inlineStr">
        <is>
          <t>마이클 이스터</t>
        </is>
      </c>
      <c r="D17" s="11" t="inlineStr">
        <is>
          <t>수오서재</t>
        </is>
      </c>
      <c r="E17" s="12">
        <f>_xludf.IFS(COUNTIF(보류목록!$B$3:$B$1000, B17)&gt;0, "-",COUNTIF(독서목록!$C$2:$C$1099, B17)=0, , COUNTIF(독서목록!$C$2:$C$1099, B17)&gt;0, COUNTIF(독서목록!$C$2:$C$1099, B17))</f>
        <v/>
      </c>
      <c r="F17" s="12">
        <f>_xludf.IFS(COUNTIF(보류목록!$C$3:$C$1000, B17)&gt;0, "-",COUNTIF(독서목록!$D$2:$D$1099, B17)=0, , COUNTIF(독서목록!$D$2:$D$1099, B17)&gt;0, COUNTIF(독서목록!$D$2:$D$1099, B17))</f>
        <v/>
      </c>
      <c r="G17" s="13" t="inlineStr">
        <is>
          <t>2026.02.02</t>
        </is>
      </c>
      <c r="H17" s="14" t="n"/>
      <c r="I17" s="14" t="n"/>
      <c r="J17" s="16" t="inlineStr">
        <is>
          <t>1193238692 9791193238691</t>
        </is>
      </c>
      <c r="K17" s="17" t="inlineStr">
        <is>
          <t>https://search1.kakaocdn.net/thumb/R120x174.q85/?fname=http%3A%2F%2Ft1.daumcdn.net%2Flbook%2Fimage%2F6942029%3Ftimestamp%3D20260205150947</t>
        </is>
      </c>
    </row>
    <row r="18" ht="16.5" customHeight="1" s="118">
      <c r="A18" s="9" t="n"/>
      <c r="B18" s="10" t="inlineStr">
        <is>
          <t>넥서스</t>
        </is>
      </c>
      <c r="C18" s="11" t="inlineStr">
        <is>
          <t>유발 하라리</t>
        </is>
      </c>
      <c r="D18" s="11" t="inlineStr">
        <is>
          <t>김영사</t>
        </is>
      </c>
      <c r="E18" s="12">
        <f>_xludf.IFS(COUNTIF(보류목록!$B$3:$B$1000, B18)&gt;0, "-",COUNTIF(독서목록!$C$2:$C$1099, B18)=0, , COUNTIF(독서목록!$C$2:$C$1099, B18)&gt;0, COUNTIF(독서목록!$C$2:$C$1099, B18))</f>
        <v/>
      </c>
      <c r="F18" s="12">
        <f>_xludf.IFS(COUNTIF(보류목록!$C$3:$C$1000, B18)&gt;0, "-",COUNTIF(독서목록!$D$2:$D$1099, B18)=0, , COUNTIF(독서목록!$D$2:$D$1099, B18)&gt;0, COUNTIF(독서목록!$D$2:$D$1099, B18))</f>
        <v/>
      </c>
      <c r="G18" s="13" t="inlineStr">
        <is>
          <t>2026.01.05</t>
        </is>
      </c>
      <c r="H18" s="14" t="n"/>
      <c r="I18" s="14" t="n"/>
      <c r="J18" s="16" t="inlineStr">
        <is>
          <t>1194330428 9791194330424</t>
        </is>
      </c>
      <c r="K18" s="17" t="inlineStr">
        <is>
          <t>https://search1.kakaocdn.net/thumb/R120x174.q85/?fname=http%3A%2F%2Ft1.daumcdn.net%2Flbook%2Fimage%2F6740924%3Ftimestamp%3D20260113152340</t>
        </is>
      </c>
    </row>
    <row r="19" ht="16.5" customHeight="1" s="118">
      <c r="A19" s="9" t="n"/>
      <c r="B19" s="10" t="inlineStr">
        <is>
          <t>물고기는 존재하지 않는다</t>
        </is>
      </c>
      <c r="C19" s="11" t="inlineStr">
        <is>
          <t>룰루 밀러</t>
        </is>
      </c>
      <c r="D19" s="11" t="inlineStr">
        <is>
          <t>곰출판</t>
        </is>
      </c>
      <c r="E19" s="12">
        <f>_xludf.IFS(COUNTIF(보류목록!$B$3:$B$1000, B19)&gt;0, "-",COUNTIF(독서목록!$C$2:$C$1099, B19)=0, , COUNTIF(독서목록!$C$2:$C$1099, B19)&gt;0, COUNTIF(독서목록!$C$2:$C$1099, B19))</f>
        <v/>
      </c>
      <c r="F19" s="12">
        <f>_xludf.IFS(COUNTIF(보류목록!$C$3:$C$1000, B19)&gt;0, "-",COUNTIF(독서목록!$D$2:$D$1099, B19)=0, , COUNTIF(독서목록!$D$2:$D$1099, B19)&gt;0, COUNTIF(독서목록!$D$2:$D$1099, B19))</f>
        <v/>
      </c>
      <c r="G19" s="13" t="inlineStr">
        <is>
          <t>2026.01.05</t>
        </is>
      </c>
      <c r="H19" s="14" t="n"/>
      <c r="I19" s="14" t="n"/>
      <c r="J19" s="16" t="inlineStr">
        <is>
          <t>1189327155 9791189327156</t>
        </is>
      </c>
      <c r="K19" s="17" t="inlineStr">
        <is>
          <t>https://search1.kakaocdn.net/thumb/R120x174.q85/?fname=http%3A%2F%2Ft1.daumcdn.net%2Flbook%2Fimage%2F5912160%3Ftimestamp%3D20260326125642</t>
        </is>
      </c>
    </row>
    <row r="20" ht="16.5" customHeight="1" s="118">
      <c r="A20" s="9" t="n"/>
      <c r="B20" s="10" t="inlineStr">
        <is>
          <t>방금 떠나온 세계</t>
        </is>
      </c>
      <c r="C20" s="11" t="inlineStr">
        <is>
          <t>김초엽</t>
        </is>
      </c>
      <c r="D20" s="11" t="inlineStr">
        <is>
          <t>한겨레출판사</t>
        </is>
      </c>
      <c r="E20" s="12">
        <f>_xludf.IFS(COUNTIF(보류목록!$B$3:$B$1000, B20)&gt;0, "-",COUNTIF(독서목록!$C$2:$C$1099, B20)=0, , COUNTIF(독서목록!$C$2:$C$1099, B20)&gt;0, COUNTIF(독서목록!$C$2:$C$1099, B20))</f>
        <v/>
      </c>
      <c r="F20" s="12">
        <f>_xludf.IFS(COUNTIF(보류목록!$C$3:$C$1000, B20)&gt;0, "-",COUNTIF(독서목록!$D$2:$D$1099, B20)=0, , COUNTIF(독서목록!$D$2:$D$1099, B20)&gt;0, COUNTIF(독서목록!$D$2:$D$1099, B20))</f>
        <v/>
      </c>
      <c r="G20" s="13" t="inlineStr">
        <is>
          <t>2026.01.05</t>
        </is>
      </c>
      <c r="H20" s="14" t="n"/>
      <c r="I20" s="14" t="n"/>
      <c r="J20" s="16" t="inlineStr">
        <is>
          <t>1160406960 9791160406962</t>
        </is>
      </c>
      <c r="K20" s="19" t="inlineStr">
        <is>
          <t>https://search1.kakaocdn.net/thumb/R120x174.q85/?fname=http%3A%2F%2Ft1.daumcdn.net%2Flbook%2Fimage%2F6328209%3Ftimestamp%3D20250903141642</t>
        </is>
      </c>
    </row>
    <row r="21" ht="16.5" customHeight="1" s="118">
      <c r="A21" s="9" t="n"/>
      <c r="B21" s="10" t="inlineStr">
        <is>
          <t>아버지의 해방일지</t>
        </is>
      </c>
      <c r="C21" s="11" t="inlineStr">
        <is>
          <t>정지아</t>
        </is>
      </c>
      <c r="D21" s="11" t="inlineStr">
        <is>
          <t>창비</t>
        </is>
      </c>
      <c r="E21" s="12">
        <f>_xludf.IFS(COUNTIF(보류목록!$B$3:$B$1000, B21)&gt;0, "-",COUNTIF(독서목록!$C$2:$C$1099, B21)=0, , COUNTIF(독서목록!$C$2:$C$1099, B21)&gt;0, COUNTIF(독서목록!$C$2:$C$1099, B21))</f>
        <v/>
      </c>
      <c r="F21" s="12">
        <f>_xludf.IFS(COUNTIF(보류목록!$C$3:$C$1000, B21)&gt;0, "-",COUNTIF(독서목록!$D$2:$D$1099, B21)=0, , COUNTIF(독서목록!$D$2:$D$1099, B21)&gt;0, COUNTIF(독서목록!$D$2:$D$1099, B21))</f>
        <v/>
      </c>
      <c r="G21" s="13" t="inlineStr">
        <is>
          <t>2025.12.02</t>
        </is>
      </c>
      <c r="H21" s="14" t="n"/>
      <c r="I21" s="14" t="n"/>
      <c r="J21" s="16" t="inlineStr">
        <is>
          <t>8936438832 9788936438838</t>
        </is>
      </c>
      <c r="K21" s="17" t="inlineStr">
        <is>
          <t>https://search1.kakaocdn.net/thumb/R120x174.q85/?fname=http%3A%2F%2Ft1.daumcdn.net%2Flbook%2Fimage%2F6150269%3Ftimestamp%3D20260409123903</t>
        </is>
      </c>
    </row>
    <row r="22" ht="16.5" customHeight="1" s="118">
      <c r="A22" s="9" t="n"/>
      <c r="B22" s="10" t="inlineStr">
        <is>
          <t>하얼빈</t>
        </is>
      </c>
      <c r="C22" s="11" t="inlineStr">
        <is>
          <t>김훈</t>
        </is>
      </c>
      <c r="D22" s="11" t="inlineStr">
        <is>
          <t>문학동네</t>
        </is>
      </c>
      <c r="E22" s="12">
        <f>_xludf.IFS(COUNTIF(보류목록!$B$3:$B$1000, B22)&gt;0, "-",COUNTIF(독서목록!$C$2:$C$1099, B22)=0, , COUNTIF(독서목록!$C$2:$C$1099, B22)&gt;0, COUNTIF(독서목록!$C$2:$C$1099, B22))</f>
        <v/>
      </c>
      <c r="F22" s="12">
        <f>_xludf.IFS(COUNTIF(보류목록!$C$3:$C$1000, B22)&gt;0, "-",COUNTIF(독서목록!$D$2:$D$1099, B22)=0, , COUNTIF(독서목록!$D$2:$D$1099, B22)&gt;0, COUNTIF(독서목록!$D$2:$D$1099, B22))</f>
        <v/>
      </c>
      <c r="G22" s="13" t="inlineStr">
        <is>
          <t>2025.12.02</t>
        </is>
      </c>
      <c r="H22" s="14" t="n"/>
      <c r="I22" s="14" t="n"/>
      <c r="J22" s="16" t="inlineStr">
        <is>
          <t>895469991X 9788954699914</t>
        </is>
      </c>
      <c r="K22" s="17" t="inlineStr">
        <is>
          <t>https://search1.kakaocdn.net/thumb/R120x174.q85/?fname=http%3A%2F%2Ft1.daumcdn.net%2Flbook%2Fimage%2F6127558%3Ftimestamp%3D20260112150219</t>
        </is>
      </c>
    </row>
    <row r="23" ht="16.5" customHeight="1" s="118">
      <c r="A23" s="9" t="n"/>
      <c r="B23" s="10" t="inlineStr">
        <is>
          <t>흐르는 강물처럼-셀리 리드</t>
        </is>
      </c>
      <c r="C23" s="11" t="inlineStr">
        <is>
          <t>셀리 리드</t>
        </is>
      </c>
      <c r="D23" s="11" t="inlineStr">
        <is>
          <t>다산책방</t>
        </is>
      </c>
      <c r="E23" s="12">
        <f>_xludf.IFS(COUNTIF(보류목록!$B$3:$B$1000, B23)&gt;0, "-",COUNTIF(독서목록!$C$2:$C$1099, B23)=0, , COUNTIF(독서목록!$C$2:$C$1099, B23)&gt;0, COUNTIF(독서목록!$C$2:$C$1099, B23))</f>
        <v/>
      </c>
      <c r="F23" s="12">
        <f>_xludf.IFS(COUNTIF(보류목록!$C$3:$C$1000, B23)&gt;0, "-",COUNTIF(독서목록!$D$2:$D$1099, B23)=0, , COUNTIF(독서목록!$D$2:$D$1099, B23)&gt;0, COUNTIF(독서목록!$D$2:$D$1099, B23))</f>
        <v/>
      </c>
      <c r="G23" s="13" t="inlineStr">
        <is>
          <t>2025.12.02</t>
        </is>
      </c>
      <c r="H23" s="14" t="n"/>
      <c r="I23" s="14" t="n"/>
      <c r="J23" s="16" t="inlineStr">
        <is>
          <t>1130650626 9791130650623</t>
        </is>
      </c>
      <c r="K23" s="19" t="inlineStr">
        <is>
          <t>https://search1.kakaocdn.net/thumb/R120x174.q85/?fname=http%3A%2F%2Ft1.daumcdn.net%2Flbook%2Fimage%2F6579893%3Ftimestamp%3D20240912080703</t>
        </is>
      </c>
    </row>
    <row r="24" ht="16.5" customHeight="1" s="118">
      <c r="A24" s="9" t="n"/>
      <c r="B24" s="10" t="inlineStr">
        <is>
          <t>YES를 이끌어내는 협상법</t>
        </is>
      </c>
      <c r="C24" s="11" t="inlineStr">
        <is>
          <t>로저 피셔, 윌리엄 유리, 브루스 패튼</t>
        </is>
      </c>
      <c r="D24" s="11" t="inlineStr">
        <is>
          <t>장락</t>
        </is>
      </c>
      <c r="E24" s="12">
        <f>_xludf.IFS(COUNTIF(보류목록!$B$3:$B$1000, B24)&gt;0, "-",COUNTIF(독서목록!$C$2:$C$1099, B24)=0, , COUNTIF(독서목록!$C$2:$C$1099, B24)&gt;0, COUNTIF(독서목록!$C$2:$C$1099, B24))</f>
        <v/>
      </c>
      <c r="F24" s="12">
        <f>_xludf.IFS(COUNTIF(보류목록!$C$3:$C$1000, B24)&gt;0, "-",COUNTIF(독서목록!$D$2:$D$1099, B24)=0, , COUNTIF(독서목록!$D$2:$D$1099, B24)&gt;0, COUNTIF(독서목록!$D$2:$D$1099, B24))</f>
        <v/>
      </c>
      <c r="G24" s="13" t="inlineStr">
        <is>
          <t>2025.11.03</t>
        </is>
      </c>
      <c r="H24" s="14" t="n"/>
      <c r="I24" s="14" t="n"/>
      <c r="J24" s="16" t="inlineStr">
        <is>
          <t>8991989101 9788991989108</t>
        </is>
      </c>
      <c r="K24" s="17" t="inlineStr">
        <is>
          <t>https://search1.kakaocdn.net/thumb/R120x174.q85/?fname=http%3A%2F%2Ft1.daumcdn.net%2Flbook%2Fimage%2F1366024%3Ftimestamp%3D20250906110345</t>
        </is>
      </c>
    </row>
    <row r="25" ht="16.5" customHeight="1" s="118">
      <c r="A25" s="9" t="n"/>
      <c r="B25" s="10" t="inlineStr">
        <is>
          <t>허브 코헨의 협상의 기술 1</t>
        </is>
      </c>
      <c r="C25" s="11" t="inlineStr">
        <is>
          <t>허브 코헨</t>
        </is>
      </c>
      <c r="D25" s="11" t="inlineStr">
        <is>
          <t>김영사</t>
        </is>
      </c>
      <c r="E25" s="12">
        <f>_xludf.IFS(COUNTIF(보류목록!$B$3:$B$1000, B25)&gt;0, "-",COUNTIF(독서목록!$C$2:$C$1099, B25)=0, , COUNTIF(독서목록!$C$2:$C$1099, B25)&gt;0, COUNTIF(독서목록!$C$2:$C$1099, B25))</f>
        <v/>
      </c>
      <c r="F25" s="12">
        <f>_xludf.IFS(COUNTIF(보류목록!$C$3:$C$1000, B25)&gt;0, "-",COUNTIF(독서목록!$D$2:$D$1099, B25)=0, , COUNTIF(독서목록!$D$2:$D$1099, B25)&gt;0, COUNTIF(독서목록!$D$2:$D$1099, B25))</f>
        <v/>
      </c>
      <c r="G25" s="13" t="inlineStr">
        <is>
          <t>2025.11.03</t>
        </is>
      </c>
      <c r="H25" s="14" t="n"/>
      <c r="I25" s="14" t="n"/>
      <c r="J25" s="16" t="inlineStr">
        <is>
          <t>8934989734 9788934989738</t>
        </is>
      </c>
      <c r="K25" s="17" t="inlineStr">
        <is>
          <t>https://search1.kakaocdn.net/thumb/R120x174.q85/?fname=http%3A%2F%2Ft1.daumcdn.net%2Flbook%2Fimage%2F5551075%3Ftimestamp%3D20260127142624</t>
        </is>
      </c>
    </row>
    <row r="26" ht="16.5" customHeight="1" s="118">
      <c r="A26" s="9" t="n"/>
      <c r="B26" s="10" t="inlineStr">
        <is>
          <t>천천히 다정하게</t>
        </is>
      </c>
      <c r="C26" s="11" t="inlineStr">
        <is>
          <t>박웅현</t>
        </is>
      </c>
      <c r="D26" s="11" t="inlineStr">
        <is>
          <t>인티앤</t>
        </is>
      </c>
      <c r="E26" s="12">
        <f>_xludf.IFS(COUNTIF(보류목록!$B$3:$B$1000, B26)&gt;0, "-",COUNTIF(독서목록!$C$2:$C$1099, B26)=0, , COUNTIF(독서목록!$C$2:$C$1099, B26)&gt;0, COUNTIF(독서목록!$C$2:$C$1099, B26))</f>
        <v/>
      </c>
      <c r="F26" s="12">
        <f>_xludf.IFS(COUNTIF(보류목록!$C$3:$C$1000, B26)&gt;0, "-",COUNTIF(독서목록!$D$2:$D$1099, B26)=0, , COUNTIF(독서목록!$D$2:$D$1099, B26)&gt;0, COUNTIF(독서목록!$D$2:$D$1099, B26))</f>
        <v/>
      </c>
      <c r="G26" s="13" t="inlineStr">
        <is>
          <t>2025.10.10</t>
        </is>
      </c>
      <c r="H26" s="14" t="n"/>
      <c r="I26" s="14" t="n"/>
      <c r="J26" s="16" t="inlineStr">
        <is>
          <t>1193740169 9791193740163</t>
        </is>
      </c>
      <c r="K26" s="17" t="inlineStr">
        <is>
          <t>https://search1.kakaocdn.net/thumb/R120x174.q85/?fname=http%3A%2F%2Ft1.daumcdn.net%2Flbook%2Fimage%2F7014087%3Ftimestamp%3D20251213150435</t>
        </is>
      </c>
    </row>
    <row r="27" ht="16.5" customHeight="1" s="118">
      <c r="A27" s="9" t="n"/>
      <c r="B27" s="10" t="inlineStr">
        <is>
          <t>위버멘쉬</t>
        </is>
      </c>
      <c r="C27" s="11" t="inlineStr">
        <is>
          <t>프리드리히 니체</t>
        </is>
      </c>
      <c r="D27" s="11" t="inlineStr">
        <is>
          <t>떠오름</t>
        </is>
      </c>
      <c r="E27" s="12">
        <f>_xludf.IFS(COUNTIF(보류목록!$B$3:$B$1000, B27)&gt;0, "-",COUNTIF(독서목록!$C$2:$C$1099, B27)=0, , COUNTIF(독서목록!$C$2:$C$1099, B27)&gt;0, COUNTIF(독서목록!$C$2:$C$1099, B27))</f>
        <v/>
      </c>
      <c r="F27" s="12">
        <f>_xludf.IFS(COUNTIF(보류목록!$C$3:$C$1000, B27)&gt;0, "-",COUNTIF(독서목록!$D$2:$D$1099, B27)=0, , COUNTIF(독서목록!$D$2:$D$1099, B27)&gt;0, COUNTIF(독서목록!$D$2:$D$1099, B27))</f>
        <v/>
      </c>
      <c r="G27" s="13" t="inlineStr">
        <is>
          <t>2025.10.10</t>
        </is>
      </c>
      <c r="H27" s="14" t="n"/>
      <c r="I27" s="14" t="n"/>
      <c r="J27" s="16" t="inlineStr">
        <is>
          <t>1192372735 9791192372730</t>
        </is>
      </c>
      <c r="K27" s="17" t="inlineStr">
        <is>
          <t>https://search1.kakaocdn.net/thumb/R120x174.q85/?fname=http%3A%2F%2Ft1.daumcdn.net%2Flbook%2Fimage%2F6851843%3Ftimestamp%3D20260227121526</t>
        </is>
      </c>
    </row>
    <row r="28" ht="16.5" customHeight="1" s="118">
      <c r="A28" s="9" t="n"/>
      <c r="B28" s="10" t="inlineStr">
        <is>
          <t>빌 캠벨, 실리콘밸리의 위대한 코치</t>
        </is>
      </c>
      <c r="C28" s="11" t="inlineStr">
        <is>
          <t>에릭 슈미트,조너선 로젠버그,앨런 이글</t>
        </is>
      </c>
      <c r="D28" s="11" t="inlineStr">
        <is>
          <t>김영사</t>
        </is>
      </c>
      <c r="E28" s="12">
        <f>_xludf.IFS(COUNTIF(보류목록!$B$3:$B$1000, B28)&gt;0, "-",COUNTIF(독서목록!$C$2:$C$1099, B28)=0, , COUNTIF(독서목록!$C$2:$C$1099, B28)&gt;0, COUNTIF(독서목록!$C$2:$C$1099, B28))</f>
        <v/>
      </c>
      <c r="F28" s="12">
        <f>_xludf.IFS(COUNTIF(보류목록!$C$3:$C$1000, B28)&gt;0, "-",COUNTIF(독서목록!$D$2:$D$1099, B28)=0, , COUNTIF(독서목록!$D$2:$D$1099, B28)&gt;0, COUNTIF(독서목록!$D$2:$D$1099, B28))</f>
        <v/>
      </c>
      <c r="G28" s="13" t="inlineStr">
        <is>
          <t>2025.10.10</t>
        </is>
      </c>
      <c r="H28" s="14" t="n"/>
      <c r="I28" s="14" t="n"/>
      <c r="J28" s="16" t="inlineStr">
        <is>
          <t>8934903333 9788934903338</t>
        </is>
      </c>
      <c r="K28" s="17" t="inlineStr">
        <is>
          <t>https://search1.kakaocdn.net/thumb/R120x174.q85/?fname=http%3A%2F%2Ft1.daumcdn.net%2Flbook%2Fimage%2F5431170%3Ftimestamp%3D20251112142444</t>
        </is>
      </c>
    </row>
    <row r="29" ht="16.5" customHeight="1" s="118">
      <c r="A29" s="9" t="n"/>
      <c r="B29" s="10" t="inlineStr">
        <is>
          <t>100세 할머니 약국</t>
        </is>
      </c>
      <c r="C29" s="11" t="inlineStr">
        <is>
          <t>히루마 에이코</t>
        </is>
      </c>
      <c r="D29" s="11" t="inlineStr">
        <is>
          <t>월마</t>
        </is>
      </c>
      <c r="E29" s="12">
        <f>_xludf.IFS(COUNTIF(보류목록!$B$3:$B$1000, B29)&gt;0, "-",COUNTIF(독서목록!$C$2:$C$1099, B29)=0, , COUNTIF(독서목록!$C$2:$C$1099, B29)&gt;0, COUNTIF(독서목록!$C$2:$C$1099, B29))</f>
        <v/>
      </c>
      <c r="F29" s="12">
        <f>_xludf.IFS(COUNTIF(보류목록!$C$3:$C$1000, B29)&gt;0, "-",COUNTIF(독서목록!$D$2:$D$1099, B29)=0, , COUNTIF(독서목록!$D$2:$D$1099, B29)&gt;0, COUNTIF(독서목록!$D$2:$D$1099, B29))</f>
        <v/>
      </c>
      <c r="G29" s="13" t="inlineStr">
        <is>
          <t>2025.09.03</t>
        </is>
      </c>
      <c r="H29" s="14" t="inlineStr">
        <is>
          <t>기부</t>
        </is>
      </c>
      <c r="I29" s="14" t="n">
        <v>25.12</v>
      </c>
      <c r="J29" s="16" t="inlineStr">
        <is>
          <t>1199247839 9791199247833</t>
        </is>
      </c>
      <c r="K29" s="19" t="inlineStr">
        <is>
          <t>https://search1.kakaocdn.net/thumb/R120x174.q85/?fname=http%3A%2F%2Ft1.daumcdn.net%2Flbook%2Fimage%2F6967276%3Ftimestamp%3D20260326131404</t>
        </is>
      </c>
    </row>
    <row r="30" ht="16.5" customHeight="1" s="118">
      <c r="A30" s="9" t="n"/>
      <c r="B30" s="10" t="inlineStr">
        <is>
          <t>우리가 빛의 속도로 갈 수 없다면</t>
        </is>
      </c>
      <c r="C30" s="11" t="inlineStr">
        <is>
          <t>김초엽</t>
        </is>
      </c>
      <c r="D30" s="11" t="inlineStr">
        <is>
          <t>허블</t>
        </is>
      </c>
      <c r="E30" s="12">
        <f>_xludf.IFS(COUNTIF(보류목록!$B$3:$B$1000, B30)&gt;0, "-",COUNTIF(독서목록!$C$2:$C$1099, B30)=0, , COUNTIF(독서목록!$C$2:$C$1099, B30)&gt;0, COUNTIF(독서목록!$C$2:$C$1099, B30))</f>
        <v/>
      </c>
      <c r="F30" s="12">
        <f>_xludf.IFS(COUNTIF(보류목록!$C$3:$C$1000, B30)&gt;0, "-",COUNTIF(독서목록!$D$2:$D$1099, B30)=0, , COUNTIF(독서목록!$D$2:$D$1099, B30)&gt;0, COUNTIF(독서목록!$D$2:$D$1099, B30))</f>
        <v/>
      </c>
      <c r="G30" s="13" t="inlineStr">
        <is>
          <t>2025.09.03</t>
        </is>
      </c>
      <c r="H30" s="14" t="inlineStr">
        <is>
          <t>기부</t>
        </is>
      </c>
      <c r="I30" s="14" t="n">
        <v>25.12</v>
      </c>
      <c r="J30" s="16" t="inlineStr">
        <is>
          <t>1190090015 9791190090018</t>
        </is>
      </c>
      <c r="K30" s="17" t="inlineStr">
        <is>
          <t>https://search1.kakaocdn.net/thumb/R120x174.q85/?fname=http%3A%2F%2Ft1.daumcdn.net%2Flbook%2Fimage%2F4966995%3Ftimestamp%3D20260307114601</t>
        </is>
      </c>
    </row>
    <row r="31" ht="16.5" customHeight="1" s="118">
      <c r="A31" s="9" t="n"/>
      <c r="B31" s="10" t="inlineStr">
        <is>
          <t>팩트풀니스</t>
        </is>
      </c>
      <c r="C31" s="11" t="inlineStr">
        <is>
          <t>한스 로슬링</t>
        </is>
      </c>
      <c r="D31" s="11" t="inlineStr">
        <is>
          <t>김영사</t>
        </is>
      </c>
      <c r="E31" s="12">
        <f>_xludf.IFS(COUNTIF(보류목록!$B$3:$B$1000, B31)&gt;0, "-",COUNTIF(독서목록!$C$2:$C$1099, B31)=0, , COUNTIF(독서목록!$C$2:$C$1099, B31)&gt;0, COUNTIF(독서목록!$C$2:$C$1099, B31))</f>
        <v/>
      </c>
      <c r="F31" s="12">
        <f>_xludf.IFS(COUNTIF(보류목록!$C$3:$C$1000, B31)&gt;0, "-",COUNTIF(독서목록!$D$2:$D$1099, B31)=0, , COUNTIF(독서목록!$D$2:$D$1099, B31)&gt;0, COUNTIF(독서목록!$D$2:$D$1099, B31))</f>
        <v/>
      </c>
      <c r="G31" s="13" t="inlineStr">
        <is>
          <t>2025.09.03</t>
        </is>
      </c>
      <c r="H31" s="14" t="n"/>
      <c r="I31" s="14" t="n"/>
      <c r="J31" s="16" t="inlineStr">
        <is>
          <t>8934933879 9788934933878</t>
        </is>
      </c>
      <c r="K31" s="17" t="inlineStr">
        <is>
          <t>https://search1.kakaocdn.net/thumb/R120x174.q85/?fname=http%3A%2F%2Ft1.daumcdn.net%2Flbook%2Fimage%2F6708295%3Ftimestamp%3D20251001141216</t>
        </is>
      </c>
    </row>
    <row r="32" ht="16.5" customHeight="1" s="118">
      <c r="A32" s="9" t="n"/>
      <c r="B32" s="10" t="inlineStr">
        <is>
          <t>투명사회</t>
        </is>
      </c>
      <c r="C32" s="11" t="inlineStr">
        <is>
          <t>한병철</t>
        </is>
      </c>
      <c r="D32" s="11" t="inlineStr">
        <is>
          <t>문학과지성사</t>
        </is>
      </c>
      <c r="E32" s="12">
        <f>_xludf.IFS(COUNTIF(보류목록!$B$3:$B$1000, B32)&gt;0, "-",COUNTIF(독서목록!$C$2:$C$1099, B32)=0, , COUNTIF(독서목록!$C$2:$C$1099, B32)&gt;0, COUNTIF(독서목록!$C$2:$C$1099, B32))</f>
        <v/>
      </c>
      <c r="F32" s="12">
        <f>_xludf.IFS(COUNTIF(보류목록!$C$3:$C$1000, B32)&gt;0, "-",COUNTIF(독서목록!$D$2:$D$1099, B32)=0, , COUNTIF(독서목록!$D$2:$D$1099, B32)&gt;0, COUNTIF(독서목록!$D$2:$D$1099, B32))</f>
        <v/>
      </c>
      <c r="G32" s="13" t="inlineStr">
        <is>
          <t>2025.08.07</t>
        </is>
      </c>
      <c r="H32" s="14" t="n"/>
      <c r="I32" s="14" t="n"/>
      <c r="J32" s="16" t="inlineStr">
        <is>
          <t>8932026114 9788932026114</t>
        </is>
      </c>
      <c r="K32" s="17" t="inlineStr">
        <is>
          <t>https://search1.kakaocdn.net/thumb/R120x174.q85/?fname=http%3A%2F%2Ft1.daumcdn.net%2Flbook%2Fimage%2F495264%3Ftimestamp%3D20260404110623</t>
        </is>
      </c>
    </row>
    <row r="33" ht="16.5" customHeight="1" s="118">
      <c r="A33" s="9" t="n"/>
      <c r="B33" s="20" t="inlineStr">
        <is>
          <t>우리는 어떻게 마음을 움직이는가</t>
        </is>
      </c>
      <c r="C33" s="11" t="inlineStr">
        <is>
          <t>크리스 보스,탈 라즈</t>
        </is>
      </c>
      <c r="D33" s="11" t="inlineStr">
        <is>
          <t>프롬북스</t>
        </is>
      </c>
      <c r="E33" s="12">
        <f>_xludf.IFS(COUNTIF(보류목록!$B$3:$B$1000, B33)&gt;0, "-",COUNTIF(독서목록!$C$2:$C$1099, B33)=0, , COUNTIF(독서목록!$C$2:$C$1099, B33)&gt;0, COUNTIF(독서목록!$C$2:$C$1099, B33))</f>
        <v/>
      </c>
      <c r="F33" s="12">
        <f>_xludf.IFS(COUNTIF(보류목록!$C$3:$C$1000, B33)&gt;0, "-",COUNTIF(독서목록!$D$2:$D$1099, B33)=0, , COUNTIF(독서목록!$D$2:$D$1099, B33)&gt;0, COUNTIF(독서목록!$D$2:$D$1099, B33))</f>
        <v/>
      </c>
      <c r="G33" s="13" t="inlineStr">
        <is>
          <t>2025.08.07</t>
        </is>
      </c>
      <c r="H33" s="14" t="n"/>
      <c r="I33" s="14" t="n"/>
      <c r="J33" s="16" t="inlineStr">
        <is>
          <t>8993734895 9788993734898</t>
        </is>
      </c>
      <c r="K33" s="17" t="inlineStr">
        <is>
          <t>https://search1.kakaocdn.net/thumb/R120x174.q85/?fname=http%3A%2F%2Ft1.daumcdn.net%2Flbook%2Fimage%2F1407647%3Ftimestamp%3D20250427115511</t>
        </is>
      </c>
    </row>
    <row r="34" ht="16.5" customHeight="1" s="118">
      <c r="A34" s="9" t="n"/>
      <c r="B34" s="10" t="inlineStr">
        <is>
          <t>그거 사전</t>
        </is>
      </c>
      <c r="C34" s="11" t="inlineStr">
        <is>
          <t>홍성윤</t>
        </is>
      </c>
      <c r="D34" s="11" t="inlineStr">
        <is>
          <t>인플루엔셜</t>
        </is>
      </c>
      <c r="E34" s="12">
        <f>_xludf.IFS(COUNTIF(보류목록!$B$3:$B$1000, B34)&gt;0, "-",COUNTIF(독서목록!$C$2:$C$1099, B34)=0, , COUNTIF(독서목록!$C$2:$C$1099, B34)&gt;0, COUNTIF(독서목록!$C$2:$C$1099, B34))</f>
        <v/>
      </c>
      <c r="F34" s="12">
        <f>_xludf.IFS(COUNTIF(보류목록!$C$3:$C$1000, B34)&gt;0, "-",COUNTIF(독서목록!$D$2:$D$1099, B34)=0, , COUNTIF(독서목록!$D$2:$D$1099, B34)&gt;0, COUNTIF(독서목록!$D$2:$D$1099, B34))</f>
        <v/>
      </c>
      <c r="G34" s="13" t="inlineStr">
        <is>
          <t>2025.07.07</t>
        </is>
      </c>
      <c r="H34" s="14" t="n"/>
      <c r="I34" s="14" t="n"/>
      <c r="J34" s="16" t="inlineStr">
        <is>
          <t>1168342287 9791168342286</t>
        </is>
      </c>
      <c r="K34" s="17" t="inlineStr">
        <is>
          <t>https://search1.kakaocdn.net/thumb/R120x174.q85/?fname=http%3A%2F%2Ft1.daumcdn.net%2Flbook%2Fimage%2F6732902%3Ftimestamp%3D20251108151633</t>
        </is>
      </c>
    </row>
    <row r="35" ht="16.5" customHeight="1" s="118">
      <c r="A35" s="9" t="n"/>
      <c r="B35" s="10" t="inlineStr">
        <is>
          <t>싱크 어게인</t>
        </is>
      </c>
      <c r="C35" s="11" t="inlineStr">
        <is>
          <t>애덤 그랜트</t>
        </is>
      </c>
      <c r="D35" s="11" t="inlineStr">
        <is>
          <t>한국경제신문</t>
        </is>
      </c>
      <c r="E35" s="12">
        <f>_xludf.IFS(COUNTIF(보류목록!$B$3:$B$1000, B35)&gt;0, "-",COUNTIF(독서목록!$C$2:$C$1099, B35)=0, , COUNTIF(독서목록!$C$2:$C$1099, B35)&gt;0, COUNTIF(독서목록!$C$2:$C$1099, B35))</f>
        <v/>
      </c>
      <c r="F35" s="12">
        <f>_xludf.IFS(COUNTIF(보류목록!$C$3:$C$1000, B35)&gt;0, "-",COUNTIF(독서목록!$D$2:$D$1099, B35)=0, , COUNTIF(독서목록!$D$2:$D$1099, B35)&gt;0, COUNTIF(독서목록!$D$2:$D$1099, B35))</f>
        <v/>
      </c>
      <c r="G35" s="13" t="inlineStr">
        <is>
          <t>2025.07.07</t>
        </is>
      </c>
      <c r="H35" s="14" t="n"/>
      <c r="I35" s="14" t="n"/>
      <c r="J35" s="16" t="inlineStr">
        <is>
          <t>8947547077 9788947547079</t>
        </is>
      </c>
      <c r="K35" s="17" t="inlineStr">
        <is>
          <t>https://search1.kakaocdn.net/thumb/R120x174.q85/?fname=http%3A%2F%2Ft1.daumcdn.net%2Flbook%2Fimage%2F5625726%3Ftimestamp%3D20260325144245</t>
        </is>
      </c>
    </row>
    <row r="36" ht="16.5" customHeight="1" s="118">
      <c r="A36" s="9" t="n"/>
      <c r="B36" s="10" t="inlineStr">
        <is>
          <t>일의 감각</t>
        </is>
      </c>
      <c r="C36" s="11" t="inlineStr">
        <is>
          <t>조수용</t>
        </is>
      </c>
      <c r="D36" s="11" t="inlineStr">
        <is>
          <t>B Media Company</t>
        </is>
      </c>
      <c r="E36" s="12">
        <f>_xludf.IFS(COUNTIF(보류목록!$B$3:$B$1000, B36)&gt;0, "-",COUNTIF(독서목록!$C$2:$C$1099, B36)=0, , COUNTIF(독서목록!$C$2:$C$1099, B36)&gt;0, COUNTIF(독서목록!$C$2:$C$1099, B36))</f>
        <v/>
      </c>
      <c r="F36" s="12">
        <f>_xludf.IFS(COUNTIF(보류목록!$C$3:$C$1000, B36)&gt;0, "-",COUNTIF(독서목록!$D$2:$D$1099, B36)=0, , COUNTIF(독서목록!$D$2:$D$1099, B36)&gt;0, COUNTIF(독서목록!$D$2:$D$1099, B36))</f>
        <v/>
      </c>
      <c r="G36" s="13" t="inlineStr">
        <is>
          <t>2025.07.07</t>
        </is>
      </c>
      <c r="H36" s="14" t="n"/>
      <c r="I36" s="14" t="n"/>
      <c r="J36" s="16" t="inlineStr">
        <is>
          <t>1193383196 9791193383193</t>
        </is>
      </c>
      <c r="K36" s="19" t="inlineStr">
        <is>
          <t>https://search1.kakaocdn.net/thumb/R120x174.q85/?fname=http%3A%2F%2Ft1.daumcdn.net%2Flbook%2Fimage%2F6771460%3Ftimestamp%3D20260115151435</t>
        </is>
      </c>
    </row>
    <row r="37" ht="16.5" customHeight="1" s="118">
      <c r="A37" s="9" t="n"/>
      <c r="B37" s="10" t="inlineStr">
        <is>
          <t>맡겨진 소녀</t>
        </is>
      </c>
      <c r="C37" s="11" t="inlineStr">
        <is>
          <t>클레어 키건</t>
        </is>
      </c>
      <c r="D37" s="11" t="inlineStr">
        <is>
          <t>다산책방</t>
        </is>
      </c>
      <c r="E37" s="12">
        <f>_xludf.IFS(COUNTIF(보류목록!$B$3:$B$1000, B37)&gt;0, "-",COUNTIF(독서목록!$C$2:$C$1099, B37)=0, , COUNTIF(독서목록!$C$2:$C$1099, B37)&gt;0, COUNTIF(독서목록!$C$2:$C$1099, B37))</f>
        <v/>
      </c>
      <c r="F37" s="12">
        <f>_xludf.IFS(COUNTIF(보류목록!$C$3:$C$1000, B37)&gt;0, "-",COUNTIF(독서목록!$D$2:$D$1099, B37)=0, , COUNTIF(독서목록!$D$2:$D$1099, B37)&gt;0, COUNTIF(독서목록!$D$2:$D$1099, B37))</f>
        <v/>
      </c>
      <c r="G37" s="13" t="inlineStr">
        <is>
          <t>2025.05.08</t>
        </is>
      </c>
      <c r="H37" s="14" t="n"/>
      <c r="I37" s="14" t="n"/>
      <c r="J37" s="16" t="inlineStr">
        <is>
          <t>113069819X 9791130698199</t>
        </is>
      </c>
      <c r="K37" s="17" t="inlineStr">
        <is>
          <t>https://search1.kakaocdn.net/thumb/R120x174.q85/?fname=http%3A%2F%2Ft1.daumcdn.net%2Flbook%2Fimage%2F6336898%3Ftimestamp%3D20240416170234</t>
        </is>
      </c>
    </row>
    <row r="38" ht="16.5" customHeight="1" s="118">
      <c r="A38" s="9" t="n"/>
      <c r="B38" s="10" t="inlineStr">
        <is>
          <t>예술 도둑</t>
        </is>
      </c>
      <c r="C38" s="11" t="inlineStr">
        <is>
          <t>마이클 핀클</t>
        </is>
      </c>
      <c r="D38" s="11" t="inlineStr">
        <is>
          <t>생각의힘</t>
        </is>
      </c>
      <c r="E38" s="12">
        <f>_xludf.IFS(COUNTIF(보류목록!$B$3:$B$1000, B38)&gt;0, "-",COUNTIF(독서목록!$C$2:$C$1099, B38)=0, , COUNTIF(독서목록!$C$2:$C$1099, B38)&gt;0, COUNTIF(독서목록!$C$2:$C$1099, B38))</f>
        <v/>
      </c>
      <c r="F38" s="12">
        <f>_xludf.IFS(COUNTIF(보류목록!$C$3:$C$1000, B38)&gt;0, "-",COUNTIF(독서목록!$D$2:$D$1099, B38)=0, , COUNTIF(독서목록!$D$2:$D$1099, B38)&gt;0, COUNTIF(독서목록!$D$2:$D$1099, B38))</f>
        <v/>
      </c>
      <c r="G38" s="13" t="inlineStr">
        <is>
          <t>2025.05.08</t>
        </is>
      </c>
      <c r="H38" s="14" t="n"/>
      <c r="I38" s="14" t="n"/>
      <c r="J38" s="16" t="inlineStr">
        <is>
          <t>1193166659 9791193166659</t>
        </is>
      </c>
      <c r="K38" s="17" t="inlineStr">
        <is>
          <t>https://search1.kakaocdn.net/thumb/R120x174.q85/?fname=http%3A%2F%2Ft1.daumcdn.net%2Flbook%2Fimage%2F6719315%3Ftimestamp%3D20260411121612</t>
        </is>
      </c>
    </row>
    <row r="39" ht="16.5" customHeight="1" s="118">
      <c r="A39" s="9" t="n"/>
      <c r="B39" s="10" t="inlineStr">
        <is>
          <t>팀워크의 부활</t>
        </is>
      </c>
      <c r="C39" s="11" t="inlineStr">
        <is>
          <t>페트릭 렌시오니</t>
        </is>
      </c>
      <c r="D39" s="11" t="inlineStr">
        <is>
          <t>위즈덤하우스</t>
        </is>
      </c>
      <c r="E39" s="12">
        <f>_xludf.IFS(COUNTIF(보류목록!$B$3:$B$1000, B39)&gt;0, "-",COUNTIF(독서목록!$C$2:$C$1099, B39)=0, , COUNTIF(독서목록!$C$2:$C$1099, B39)&gt;0, COUNTIF(독서목록!$C$2:$C$1099, B39))</f>
        <v/>
      </c>
      <c r="F39" s="12">
        <f>_xludf.IFS(COUNTIF(보류목록!$C$3:$C$1000, B39)&gt;0, "-",COUNTIF(독서목록!$D$2:$D$1099, B39)=0, , COUNTIF(독서목록!$D$2:$D$1099, B39)&gt;0, COUNTIF(독서목록!$D$2:$D$1099, B39))</f>
        <v/>
      </c>
      <c r="G39" s="13" t="inlineStr">
        <is>
          <t>2025.05.08</t>
        </is>
      </c>
      <c r="H39" s="14" t="n"/>
      <c r="I39" s="14" t="n"/>
      <c r="J39" s="16" t="inlineStr">
        <is>
          <t>116812011X 9791168120112</t>
        </is>
      </c>
      <c r="K39" s="17" t="inlineStr">
        <is>
          <t>https://search1.kakaocdn.net/thumb/R120x174.q85/?fname=http%3A%2F%2Ft1.daumcdn.net%2Flbook%2Fimage%2F5851260%3Ftimestamp%3D20260410120656</t>
        </is>
      </c>
    </row>
    <row r="40" ht="16.5" customHeight="1" s="118">
      <c r="A40" s="9" t="n"/>
      <c r="B40" s="10" t="inlineStr">
        <is>
          <t>단어가 품은 세계</t>
        </is>
      </c>
      <c r="C40" s="11" t="inlineStr">
        <is>
          <t>황선엽</t>
        </is>
      </c>
      <c r="D40" s="11" t="inlineStr">
        <is>
          <t>빛의서가</t>
        </is>
      </c>
      <c r="E40" s="12">
        <f>_xludf.IFS(COUNTIF(보류목록!$B$3:$B$1000, B40)&gt;0, "-",COUNTIF(독서목록!$C$2:$C$1099, B40)=0, , COUNTIF(독서목록!$C$2:$C$1099, B40)&gt;0, COUNTIF(독서목록!$C$2:$C$1099, B40))</f>
        <v/>
      </c>
      <c r="F40" s="12">
        <f>_xludf.IFS(COUNTIF(보류목록!$C$3:$C$1000, B40)&gt;0, "-",COUNTIF(독서목록!$D$2:$D$1099, B40)=0, , COUNTIF(독서목록!$D$2:$D$1099, B40)&gt;0, COUNTIF(독서목록!$D$2:$D$1099, B40))</f>
        <v/>
      </c>
      <c r="G40" s="13" t="inlineStr">
        <is>
          <t>2025.03.07</t>
        </is>
      </c>
      <c r="H40" s="14" t="inlineStr">
        <is>
          <t>기부</t>
        </is>
      </c>
      <c r="I40" s="14" t="n">
        <v>25.12</v>
      </c>
      <c r="J40" s="16" t="inlineStr">
        <is>
          <t>1198731907 9791198731906</t>
        </is>
      </c>
      <c r="K40" s="17" t="inlineStr">
        <is>
          <t>https://search1.kakaocdn.net/thumb/R120x174.q85/?fname=http%3A%2F%2Ft1.daumcdn.net%2Flbook%2Fimage%2F6776255%3Ftimestamp%3D20260403154120</t>
        </is>
      </c>
    </row>
    <row r="41" ht="16.5" customHeight="1" s="118">
      <c r="A41" s="9" t="n"/>
      <c r="B41" s="21" t="inlineStr">
        <is>
          <t>데미안(오리지널 초판본 디자인)</t>
        </is>
      </c>
      <c r="C41" s="11" t="inlineStr">
        <is>
          <t>헤르만 헤세</t>
        </is>
      </c>
      <c r="D41" s="11" t="inlineStr">
        <is>
          <t>코너스톤</t>
        </is>
      </c>
      <c r="E41" s="12">
        <f>_xludf.IFS(COUNTIF(보류목록!$B$3:$B$1000, B41)&gt;0, "-",COUNTIF(독서목록!$C$2:$C$1099, B41)=0, , COUNTIF(독서목록!$C$2:$C$1099, B41)&gt;0, COUNTIF(독서목록!$C$2:$C$1099, B41))</f>
        <v/>
      </c>
      <c r="F41" s="12">
        <f>_xludf.IFS(COUNTIF(보류목록!$C$3:$C$1000, B41)&gt;0, "-",COUNTIF(독서목록!$D$2:$D$1099, B41)=0, , COUNTIF(독서목록!$D$2:$D$1099, B41)&gt;0, COUNTIF(독서목록!$D$2:$D$1099, B41))</f>
        <v/>
      </c>
      <c r="G41" s="13" t="inlineStr">
        <is>
          <t>2025.03.07</t>
        </is>
      </c>
      <c r="H41" s="14" t="n"/>
      <c r="I41" s="14" t="n"/>
      <c r="J41" s="16" t="inlineStr">
        <is>
          <t>1187011592 9791187011590</t>
        </is>
      </c>
      <c r="K41" s="17" t="inlineStr">
        <is>
          <t>https://search1.kakaocdn.net/thumb/R120x174.q85/?fname=http%3A%2F%2Ft1.daumcdn.net%2Flbook%2Fimage%2F1639933%3Ftimestamp%3D20260310111023</t>
        </is>
      </c>
    </row>
    <row r="42" ht="16.5" customHeight="1" s="118">
      <c r="A42" s="9" t="n"/>
      <c r="B42" s="10" t="inlineStr">
        <is>
          <t>무기력이 무기력해지도록</t>
        </is>
      </c>
      <c r="C42" s="11" t="inlineStr">
        <is>
          <t>한창수</t>
        </is>
      </c>
      <c r="D42" s="11" t="inlineStr">
        <is>
          <t>알에이치코리아</t>
        </is>
      </c>
      <c r="E42" s="12">
        <f>_xludf.IFS(COUNTIF(보류목록!$B$3:$B$1000, B42)&gt;0, "-",COUNTIF(독서목록!$C$2:$C$1099, B42)=0, , COUNTIF(독서목록!$C$2:$C$1099, B42)&gt;0, COUNTIF(독서목록!$C$2:$C$1099, B42))</f>
        <v/>
      </c>
      <c r="F42" s="12">
        <f>_xludf.IFS(COUNTIF(보류목록!$C$3:$C$1000, B42)&gt;0, "-",COUNTIF(독서목록!$D$2:$D$1099, B42)=0, , COUNTIF(독서목록!$D$2:$D$1099, B42)&gt;0, COUNTIF(독서목록!$D$2:$D$1099, B42))</f>
        <v/>
      </c>
      <c r="G42" s="13" t="inlineStr">
        <is>
          <t>2025.03.07</t>
        </is>
      </c>
      <c r="H42" s="14" t="n"/>
      <c r="I42" s="14" t="n"/>
      <c r="J42" s="16" t="inlineStr">
        <is>
          <t>8925579863 9788925579863</t>
        </is>
      </c>
      <c r="K42" s="17" t="inlineStr">
        <is>
          <t>https://search1.kakaocdn.net/thumb/R120x174.q85/?fname=http%3A%2F%2Ft1.daumcdn.net%2Flbook%2Fimage%2F5816792%3Ftimestamp%3D20240803150618</t>
        </is>
      </c>
    </row>
    <row r="43" ht="16.5" customHeight="1" s="118">
      <c r="A43" s="9" t="n"/>
      <c r="B43" s="10" t="inlineStr">
        <is>
          <t>불안 - 개정판</t>
        </is>
      </c>
      <c r="C43" s="11" t="inlineStr">
        <is>
          <t>알랭드 보통</t>
        </is>
      </c>
      <c r="D43" s="11" t="inlineStr">
        <is>
          <t>은행나무</t>
        </is>
      </c>
      <c r="E43" s="12">
        <f>_xludf.IFS(COUNTIF(보류목록!$B$3:$B$1000, B43)&gt;0, "-",COUNTIF(독서목록!$C$2:$C$1099, B43)=0, , COUNTIF(독서목록!$C$2:$C$1099, B43)&gt;0, COUNTIF(독서목록!$C$2:$C$1099, B43))</f>
        <v/>
      </c>
      <c r="F43" s="12">
        <f>_xludf.IFS(COUNTIF(보류목록!$C$3:$C$1000, B43)&gt;0, "-",COUNTIF(독서목록!$D$2:$D$1099, B43)=0, , COUNTIF(독서목록!$D$2:$D$1099, B43)&gt;0, COUNTIF(독서목록!$D$2:$D$1099, B43))</f>
        <v/>
      </c>
      <c r="G43" s="13" t="inlineStr">
        <is>
          <t>2025.03.07</t>
        </is>
      </c>
      <c r="H43" s="14" t="n"/>
      <c r="I43" s="14" t="n"/>
      <c r="J43" s="16" t="inlineStr">
        <is>
          <t>8956605599 9788956605593</t>
        </is>
      </c>
      <c r="K43" s="19" t="inlineStr">
        <is>
          <t>https://search1.kakaocdn.net/thumb/R120x174.q85/?fname=http%3A%2F%2Ft1.daumcdn.net%2Flbook%2Fimage%2F738968%3Ftimestamp%3D20260408111120</t>
        </is>
      </c>
    </row>
    <row r="44" ht="16.5" customHeight="1" s="118">
      <c r="A44" s="9" t="n"/>
      <c r="B44" s="10" t="inlineStr">
        <is>
          <t>초역 부처의 말</t>
        </is>
      </c>
      <c r="C44" s="11" t="inlineStr">
        <is>
          <t>코이케 류노스케</t>
        </is>
      </c>
      <c r="D44" s="11" t="inlineStr">
        <is>
          <t>포레스트북스</t>
        </is>
      </c>
      <c r="E44" s="12">
        <f>_xludf.IFS(COUNTIF(보류목록!$B$3:$B$1000, B44)&gt;0, "-",COUNTIF(독서목록!$C$2:$C$1099, B44)=0, , COUNTIF(독서목록!$C$2:$C$1099, B44)&gt;0, COUNTIF(독서목록!$C$2:$C$1099, B44))</f>
        <v/>
      </c>
      <c r="F44" s="12">
        <f>_xludf.IFS(COUNTIF(보류목록!$C$3:$C$1000, B44)&gt;0, "-",COUNTIF(독서목록!$D$2:$D$1099, B44)=0, , COUNTIF(독서목록!$D$2:$D$1099, B44)&gt;0, COUNTIF(독서목록!$D$2:$D$1099, B44))</f>
        <v/>
      </c>
      <c r="G44" s="13" t="inlineStr">
        <is>
          <t>2025.02.06</t>
        </is>
      </c>
      <c r="H44" s="14" t="n"/>
      <c r="I44" s="14" t="n"/>
      <c r="J44" s="16" t="inlineStr">
        <is>
          <t>1193506514 9791193506516</t>
        </is>
      </c>
      <c r="K44" s="17" t="inlineStr">
        <is>
          <t>https://search1.kakaocdn.net/thumb/R120x174.q85/?fname=http%3A%2F%2Ft1.daumcdn.net%2Flbook%2Fimage%2F6633286%3Ftimestamp%3D20250208153008</t>
        </is>
      </c>
    </row>
    <row r="45" ht="16.5" customHeight="1" s="118">
      <c r="A45" s="9" t="n"/>
      <c r="B45" s="10" t="inlineStr">
        <is>
          <t>THICK data</t>
        </is>
      </c>
      <c r="C45" s="11" t="inlineStr">
        <is>
          <t>백영재</t>
        </is>
      </c>
      <c r="D45" s="11" t="inlineStr">
        <is>
          <t>테라코타</t>
        </is>
      </c>
      <c r="E45" s="12">
        <f>_xludf.IFS(COUNTIF(보류목록!$B$3:$B$1000, B45)&gt;0, "-",COUNTIF(독서목록!$C$2:$C$1099, B45)=0, , COUNTIF(독서목록!$C$2:$C$1099, B45)&gt;0, COUNTIF(독서목록!$C$2:$C$1099, B45))</f>
        <v/>
      </c>
      <c r="F45" s="12">
        <f>_xludf.IFS(COUNTIF(보류목록!$C$3:$C$1000, B45)&gt;0, "-",COUNTIF(독서목록!$D$2:$D$1099, B45)=0, , COUNTIF(독서목록!$D$2:$D$1099, B45)&gt;0, COUNTIF(독서목록!$D$2:$D$1099, B45))</f>
        <v/>
      </c>
      <c r="G45" s="13" t="inlineStr">
        <is>
          <t>2025.01.07</t>
        </is>
      </c>
      <c r="H45" s="14" t="n"/>
      <c r="I45" s="14" t="n"/>
      <c r="J45" s="16" t="inlineStr">
        <is>
          <t>1198180331 9791198180339</t>
        </is>
      </c>
      <c r="K45" s="17" t="inlineStr">
        <is>
          <t>https://search1.kakaocdn.net/thumb/R120x174.q85/?fname=http%3A%2F%2Ft1.daumcdn.net%2Flbook%2Fimage%2F6389509%3Ftimestamp%3D20251126161041</t>
        </is>
      </c>
    </row>
    <row r="46" ht="16.5" customHeight="1" s="118">
      <c r="A46" s="9" t="n"/>
      <c r="B46" s="10" t="inlineStr">
        <is>
          <t>새들이 남쪽으로 가는 날</t>
        </is>
      </c>
      <c r="C46" s="11" t="inlineStr">
        <is>
          <t>리사 리드센</t>
        </is>
      </c>
      <c r="D46" s="11" t="inlineStr">
        <is>
          <t>북파머스</t>
        </is>
      </c>
      <c r="E46" s="12">
        <f>_xludf.IFS(COUNTIF(보류목록!$B$3:$B$1000, B46)&gt;0, "-",COUNTIF(독서목록!$C$2:$C$1099, B46)=0, , COUNTIF(독서목록!$C$2:$C$1099, B46)&gt;0, COUNTIF(독서목록!$C$2:$C$1099, B46))</f>
        <v/>
      </c>
      <c r="F46" s="12">
        <f>_xludf.IFS(COUNTIF(보류목록!$C$3:$C$1000, B46)&gt;0, "-",COUNTIF(독서목록!$D$2:$D$1099, B46)=0, , COUNTIF(독서목록!$D$2:$D$1099, B46)&gt;0, COUNTIF(독서목록!$D$2:$D$1099, B46))</f>
        <v/>
      </c>
      <c r="G46" s="13" t="inlineStr">
        <is>
          <t>2025.01.07</t>
        </is>
      </c>
      <c r="H46" s="14" t="n"/>
      <c r="I46" s="14" t="n"/>
      <c r="J46" s="16" t="inlineStr">
        <is>
          <t>119393737X 9791193937372</t>
        </is>
      </c>
      <c r="K46" s="17" t="inlineStr">
        <is>
          <t>https://search1.kakaocdn.net/thumb/R120x174.q85/?fname=http%3A%2F%2Ft1.daumcdn.net%2Flbook%2Fimage%2F6780061%3Ftimestamp%3D20251227150336</t>
        </is>
      </c>
    </row>
    <row r="47" ht="16.5" customHeight="1" s="118">
      <c r="A47" s="9" t="n"/>
      <c r="B47" s="10" t="inlineStr">
        <is>
          <t>희랍어 시간</t>
        </is>
      </c>
      <c r="C47" s="11" t="inlineStr">
        <is>
          <t>한강</t>
        </is>
      </c>
      <c r="D47" s="11" t="inlineStr">
        <is>
          <t>문학동네</t>
        </is>
      </c>
      <c r="E47" s="12">
        <f>_xludf.IFS(COUNTIF(보류목록!$B$3:$B$1000, B47)&gt;0, "-",COUNTIF(독서목록!$C$2:$C$1099, B47)=0, , COUNTIF(독서목록!$C$2:$C$1099, B47)&gt;0, COUNTIF(독서목록!$C$2:$C$1099, B47))</f>
        <v/>
      </c>
      <c r="F47" s="12">
        <f>_xludf.IFS(COUNTIF(보류목록!$C$3:$C$1000, B47)&gt;0, "-",COUNTIF(독서목록!$D$2:$D$1099, B47)=0, , COUNTIF(독서목록!$D$2:$D$1099, B47)&gt;0, COUNTIF(독서목록!$D$2:$D$1099, B47))</f>
        <v/>
      </c>
      <c r="G47" s="13" t="inlineStr">
        <is>
          <t>2024.12.02</t>
        </is>
      </c>
      <c r="H47" s="14" t="n"/>
      <c r="I47" s="14" t="n"/>
      <c r="J47" s="16" t="inlineStr">
        <is>
          <t>8954616518 9788954616515</t>
        </is>
      </c>
      <c r="K47" s="17" t="inlineStr">
        <is>
          <t>https://search1.kakaocdn.net/thumb/R120x174.q85/?fname=http%3A%2F%2Ft1.daumcdn.net%2Flbook%2Fimage%2F690963%3Ftimestamp%3D20250328113738</t>
        </is>
      </c>
    </row>
    <row r="48" ht="16.5" customHeight="1" s="118">
      <c r="A48" s="9" t="n"/>
      <c r="B48" s="10" t="inlineStr">
        <is>
          <t>마음의 기술</t>
        </is>
      </c>
      <c r="C48" s="11" t="inlineStr">
        <is>
          <t>안 엘렌 클레르, 뱅상 트리부</t>
        </is>
      </c>
      <c r="D48" s="11" t="inlineStr">
        <is>
          <t>상상스퀘어</t>
        </is>
      </c>
      <c r="E48" s="12">
        <f>_xludf.IFS(COUNTIF(보류목록!$B$3:$B$1000, B48)&gt;0, "-",COUNTIF(독서목록!$C$2:$C$1099, B48)=0, , COUNTIF(독서목록!$C$2:$C$1099, B48)&gt;0, COUNTIF(독서목록!$C$2:$C$1099, B48))</f>
        <v/>
      </c>
      <c r="F48" s="12">
        <f>_xludf.IFS(COUNTIF(보류목록!$C$3:$C$1000, B48)&gt;0, "-",COUNTIF(독서목록!$D$2:$D$1099, B48)=0, , COUNTIF(독서목록!$D$2:$D$1099, B48)&gt;0, COUNTIF(독서목록!$D$2:$D$1099, B48))</f>
        <v/>
      </c>
      <c r="G48" s="13" t="inlineStr">
        <is>
          <t>2024.12.02</t>
        </is>
      </c>
      <c r="H48" s="14" t="n"/>
      <c r="I48" s="14" t="n"/>
      <c r="J48" s="16" t="inlineStr">
        <is>
          <t>1192389239 9791192389233</t>
        </is>
      </c>
      <c r="K48" s="17" t="inlineStr">
        <is>
          <t>https://search1.kakaocdn.net/thumb/R120x174.q85/?fname=http%3A%2F%2Ft1.daumcdn.net%2Flbook%2Fimage%2F6773054%3Ftimestamp%3D20260113152333</t>
        </is>
      </c>
    </row>
    <row r="49" ht="16.5" customHeight="1" s="118">
      <c r="A49" s="9" t="n"/>
      <c r="B49" s="10" t="inlineStr">
        <is>
          <t>소년이 온다</t>
        </is>
      </c>
      <c r="C49" s="11" t="inlineStr">
        <is>
          <t>한강</t>
        </is>
      </c>
      <c r="D49" s="11" t="inlineStr">
        <is>
          <t>창비</t>
        </is>
      </c>
      <c r="E49" s="12">
        <f>_xludf.IFS(COUNTIF(보류목록!$B$3:$B$1000, B49)&gt;0, "-",COUNTIF(독서목록!$C$2:$C$1099, B49)=0, , COUNTIF(독서목록!$C$2:$C$1099, B49)&gt;0, COUNTIF(독서목록!$C$2:$C$1099, B49))</f>
        <v/>
      </c>
      <c r="F49" s="12">
        <f>_xludf.IFS(COUNTIF(보류목록!$C$3:$C$1000, B49)&gt;0, "-",COUNTIF(독서목록!$D$2:$D$1099, B49)=0, , COUNTIF(독서목록!$D$2:$D$1099, B49)&gt;0, COUNTIF(독서목록!$D$2:$D$1099, B49))</f>
        <v/>
      </c>
      <c r="G49" s="13" t="inlineStr">
        <is>
          <t>2024.11.06</t>
        </is>
      </c>
      <c r="H49" s="14" t="n"/>
      <c r="I49" s="14" t="n"/>
      <c r="J49" s="16" t="inlineStr">
        <is>
          <t>8936434128 9788936434120</t>
        </is>
      </c>
      <c r="K49" s="17" t="inlineStr">
        <is>
          <t>https://search1.kakaocdn.net/thumb/R120x174.q85/?fname=http%3A%2F%2Ft1.daumcdn.net%2Flbook%2Fimage%2F532683%3Ftimestamp%3D20260411110651</t>
        </is>
      </c>
    </row>
    <row r="50" ht="16.5" customHeight="1" s="118">
      <c r="A50" s="9" t="n"/>
      <c r="B50" s="10" t="inlineStr">
        <is>
          <t>작별하지 않는다</t>
        </is>
      </c>
      <c r="C50" s="11" t="inlineStr">
        <is>
          <t>한강</t>
        </is>
      </c>
      <c r="D50" s="11" t="inlineStr">
        <is>
          <t>문학동네</t>
        </is>
      </c>
      <c r="E50" s="12">
        <f>_xludf.IFS(COUNTIF(보류목록!$B$3:$B$1000, B50)&gt;0, "-",COUNTIF(독서목록!$C$2:$C$1099, B50)=0, , COUNTIF(독서목록!$C$2:$C$1099, B50)&gt;0, COUNTIF(독서목록!$C$2:$C$1099, B50))</f>
        <v/>
      </c>
      <c r="F50" s="12">
        <f>_xludf.IFS(COUNTIF(보류목록!$C$3:$C$1000, B50)&gt;0, "-",COUNTIF(독서목록!$D$2:$D$1099, B50)=0, , COUNTIF(독서목록!$D$2:$D$1099, B50)&gt;0, COUNTIF(독서목록!$D$2:$D$1099, B50))</f>
        <v/>
      </c>
      <c r="G50" s="22" t="inlineStr">
        <is>
          <t>2024.11.06</t>
        </is>
      </c>
      <c r="H50" s="14" t="n"/>
      <c r="I50" s="14" t="n"/>
      <c r="J50" s="16" t="inlineStr">
        <is>
          <t>8954682154 9788954682152</t>
        </is>
      </c>
      <c r="K50" s="17" t="inlineStr">
        <is>
          <t>https://search1.kakaocdn.net/thumb/R120x174.q85/?fname=http%3A%2F%2Ft1.daumcdn.net%2Flbook%2Fimage%2F5824679%3Ftimestamp%3D20251223144054</t>
        </is>
      </c>
    </row>
    <row r="51" ht="16.5" customHeight="1" s="118">
      <c r="A51" s="9" t="n"/>
      <c r="B51" s="10" t="inlineStr">
        <is>
          <t>채식주의자</t>
        </is>
      </c>
      <c r="C51" s="11" t="inlineStr">
        <is>
          <t>한강</t>
        </is>
      </c>
      <c r="D51" s="11" t="inlineStr">
        <is>
          <t>창비</t>
        </is>
      </c>
      <c r="E51" s="12">
        <f>_xludf.IFS(COUNTIF(보류목록!$B$3:$B$1000, B51)&gt;0, "-",COUNTIF(독서목록!$C$2:$C$1099, B51)=0, , COUNTIF(독서목록!$C$2:$C$1099, B51)&gt;0, COUNTIF(독서목록!$C$2:$C$1099, B51))</f>
        <v/>
      </c>
      <c r="F51" s="12">
        <f>_xludf.IFS(COUNTIF(보류목록!$C$3:$C$1000, B51)&gt;0, "-",COUNTIF(독서목록!$D$2:$D$1099, B51)=0, , COUNTIF(독서목록!$D$2:$D$1099, B51)&gt;0, COUNTIF(독서목록!$D$2:$D$1099, B51))</f>
        <v/>
      </c>
      <c r="G51" s="22" t="inlineStr">
        <is>
          <t>2024.11.06</t>
        </is>
      </c>
      <c r="H51" s="14" t="n"/>
      <c r="I51" s="14" t="n"/>
      <c r="J51" s="16" t="inlineStr">
        <is>
          <t>8936434594 9788936434595</t>
        </is>
      </c>
      <c r="K51" s="17" t="inlineStr">
        <is>
          <t>https://search1.kakaocdn.net/thumb/R120x174.q85/?fname=http%3A%2F%2Ft1.daumcdn.net%2Flbook%2Fimage%2F6042324%3Ftimestamp%3D20260410121142</t>
        </is>
      </c>
    </row>
    <row r="52" ht="16.5" customHeight="1" s="118">
      <c r="A52" s="9" t="n"/>
      <c r="B52" s="10" t="inlineStr">
        <is>
          <t>흰</t>
        </is>
      </c>
      <c r="C52" s="11" t="inlineStr">
        <is>
          <t>한강</t>
        </is>
      </c>
      <c r="D52" s="11" t="inlineStr">
        <is>
          <t>문학동네</t>
        </is>
      </c>
      <c r="E52" s="12">
        <f>_xludf.IFS(COUNTIF(보류목록!$B$3:$B$1000, B52)&gt;0, "-",COUNTIF(독서목록!$C$2:$C$1099, B52)=0, , COUNTIF(독서목록!$C$2:$C$1099, B52)&gt;0, COUNTIF(독서목록!$C$2:$C$1099, B52))</f>
        <v/>
      </c>
      <c r="F52" s="12">
        <f>_xludf.IFS(COUNTIF(보류목록!$C$3:$C$1000, B52)&gt;0, "-",COUNTIF(독서목록!$D$2:$D$1099, B52)=0, , COUNTIF(독서목록!$D$2:$D$1099, B52)&gt;0, COUNTIF(독서목록!$D$2:$D$1099, B52))</f>
        <v/>
      </c>
      <c r="G52" s="22" t="inlineStr">
        <is>
          <t>2024.11.06</t>
        </is>
      </c>
      <c r="H52" s="14" t="n"/>
      <c r="I52" s="14" t="n"/>
      <c r="J52" s="16" t="inlineStr">
        <is>
          <t>1141601591 9791141601591</t>
        </is>
      </c>
      <c r="K52" s="17" t="inlineStr">
        <is>
          <t>https://search1.kakaocdn.net/thumb/R120x174.q85/?fname=http%3A%2F%2Ft1.daumcdn.net%2Flbook%2Fimage%2F6789372%3Ftimestamp%3D20260408153058</t>
        </is>
      </c>
    </row>
    <row r="53" ht="16.5" customHeight="1" s="118">
      <c r="A53" s="9" t="n"/>
      <c r="B53" s="10" t="inlineStr">
        <is>
          <t>면도날</t>
        </is>
      </c>
      <c r="C53" s="11" t="inlineStr">
        <is>
          <t>서머싯 몸</t>
        </is>
      </c>
      <c r="D53" s="11" t="inlineStr">
        <is>
          <t>민음사</t>
        </is>
      </c>
      <c r="E53" s="12">
        <f>_xludf.IFS(COUNTIF(보류목록!$B$3:$B$1000, B53)&gt;0, "-",COUNTIF(독서목록!$C$2:$C$1099, B53)=0, , COUNTIF(독서목록!$C$2:$C$1099, B53)&gt;0, COUNTIF(독서목록!$C$2:$C$1099, B53))</f>
        <v/>
      </c>
      <c r="F53" s="12">
        <f>_xludf.IFS(COUNTIF(보류목록!$C$3:$C$1000, B53)&gt;0, "-",COUNTIF(독서목록!$D$2:$D$1099, B53)=0, , COUNTIF(독서목록!$D$2:$D$1099, B53)&gt;0, COUNTIF(독서목록!$D$2:$D$1099, B53))</f>
        <v/>
      </c>
      <c r="G53" s="13" t="inlineStr">
        <is>
          <t>2024.10.11</t>
        </is>
      </c>
      <c r="H53" s="14" t="n"/>
      <c r="I53" s="14" t="n"/>
      <c r="J53" s="16" t="inlineStr">
        <is>
          <t>8937462141 9788937462146</t>
        </is>
      </c>
      <c r="K53" s="17" t="inlineStr">
        <is>
          <t>https://search1.kakaocdn.net/thumb/R120x174.q85/?fname=http%3A%2F%2Ft1.daumcdn.net%2Flbook%2Fimage%2F540980%3Ftimestamp%3D20251209110751</t>
        </is>
      </c>
    </row>
    <row r="54" ht="16.5" customHeight="1" s="118">
      <c r="A54" s="9" t="n"/>
      <c r="B54" s="10" t="inlineStr">
        <is>
          <t>피구왕 서영</t>
        </is>
      </c>
      <c r="C54" s="11" t="inlineStr">
        <is>
          <t>황유미</t>
        </is>
      </c>
      <c r="D54" s="11" t="inlineStr">
        <is>
          <t>빌리버튼</t>
        </is>
      </c>
      <c r="E54" s="12">
        <f>_xludf.IFS(COUNTIF(보류목록!$B$3:$B$1000, B54)&gt;0, "-",COUNTIF(독서목록!$C$2:$C$1099, B54)=0, , COUNTIF(독서목록!$C$2:$C$1099, B54)&gt;0, COUNTIF(독서목록!$C$2:$C$1099, B54))</f>
        <v/>
      </c>
      <c r="F54" s="12">
        <f>_xludf.IFS(COUNTIF(보류목록!$C$3:$C$1000, B54)&gt;0, "-",COUNTIF(독서목록!$D$2:$D$1099, B54)=0, , COUNTIF(독서목록!$D$2:$D$1099, B54)&gt;0, COUNTIF(독서목록!$D$2:$D$1099, B54))</f>
        <v/>
      </c>
      <c r="G54" s="13" t="inlineStr">
        <is>
          <t>2024.09.18</t>
        </is>
      </c>
      <c r="H54" s="14" t="inlineStr">
        <is>
          <t>기부</t>
        </is>
      </c>
      <c r="I54" s="14" t="n">
        <v>25.12</v>
      </c>
      <c r="J54" s="16" t="inlineStr">
        <is>
          <t>1188545418 9791188545414</t>
        </is>
      </c>
      <c r="K54" s="17" t="inlineStr">
        <is>
          <t>https://search1.kakaocdn.net/thumb/R120x174.q85/?fname=http%3A%2F%2Ft1.daumcdn.net%2Flbook%2Fimage%2F4861843%3Ftimestamp%3D20260411113249</t>
        </is>
      </c>
    </row>
    <row r="55" ht="16.5" customHeight="1" s="118">
      <c r="A55" s="9" t="n"/>
      <c r="B55" s="10" t="inlineStr">
        <is>
          <t>누구나 킥이 필요한 순간이 있다</t>
        </is>
      </c>
      <c r="C55" s="11" t="inlineStr">
        <is>
          <t>도제희</t>
        </is>
      </c>
      <c r="D55" s="11" t="inlineStr">
        <is>
          <t>위즈뎀하우스</t>
        </is>
      </c>
      <c r="E55" s="12">
        <f>_xludf.IFS(COUNTIF(보류목록!$B$3:$B$1000, B55)&gt;0, "-",COUNTIF(독서목록!$C$2:$C$1099, B55)=0, , COUNTIF(독서목록!$C$2:$C$1099, B55)&gt;0, COUNTIF(독서목록!$C$2:$C$1099, B55))</f>
        <v/>
      </c>
      <c r="F55" s="12">
        <f>_xludf.IFS(COUNTIF(보류목록!$C$3:$C$1000, B55)&gt;0, "-",COUNTIF(독서목록!$D$2:$D$1099, B55)=0, , COUNTIF(독서목록!$D$2:$D$1099, B55)&gt;0, COUNTIF(독서목록!$D$2:$D$1099, B55))</f>
        <v/>
      </c>
      <c r="G55" s="13" t="inlineStr">
        <is>
          <t>2024.09.18</t>
        </is>
      </c>
      <c r="H55" s="14" t="inlineStr">
        <is>
          <t>기부</t>
        </is>
      </c>
      <c r="I55" s="14" t="n">
        <v>25.12</v>
      </c>
      <c r="J55" s="16" t="inlineStr">
        <is>
          <t>1171711751 9791171711758</t>
        </is>
      </c>
      <c r="K55" s="19" t="inlineStr">
        <is>
          <t>https://search1.kakaocdn.net/thumb/R120x174.q85/?fname=http%3A%2F%2Ft1.daumcdn.net%2Flbook%2Fimage%2F6608037</t>
        </is>
      </c>
    </row>
    <row r="56" ht="16.5" customHeight="1" s="118">
      <c r="A56" s="9" t="n"/>
      <c r="B56" s="10" t="inlineStr">
        <is>
          <t>푸른 들판을 걷다</t>
        </is>
      </c>
      <c r="C56" s="11" t="inlineStr">
        <is>
          <t>클래어 키건</t>
        </is>
      </c>
      <c r="D56" s="11" t="inlineStr">
        <is>
          <t>다산책방</t>
        </is>
      </c>
      <c r="E56" s="12">
        <f>_xludf.IFS(COUNTIF(보류목록!$B$3:$B$1000, B56)&gt;0, "-",COUNTIF(독서목록!$C$2:$C$1099, B56)=0, , COUNTIF(독서목록!$C$2:$C$1099, B56)&gt;0, COUNTIF(독서목록!$C$2:$C$1099, B56))</f>
        <v/>
      </c>
      <c r="F56" s="12">
        <f>_xludf.IFS(COUNTIF(보류목록!$C$3:$C$1000, B56)&gt;0, "-",COUNTIF(독서목록!$D$2:$D$1099, B56)=0, , COUNTIF(독서목록!$D$2:$D$1099, B56)&gt;0, COUNTIF(독서목록!$D$2:$D$1099, B56))</f>
        <v/>
      </c>
      <c r="G56" s="13" t="inlineStr">
        <is>
          <t>2024.09.09</t>
        </is>
      </c>
      <c r="H56" s="14" t="n"/>
      <c r="I56" s="14" t="n"/>
      <c r="J56" s="16" t="inlineStr">
        <is>
          <t>1130659542 9791130659541</t>
        </is>
      </c>
      <c r="K56" s="19" t="inlineStr">
        <is>
          <t>https://search1.kakaocdn.net/thumb/R120x174.q85/?fname=http%3A%2F%2Ft1.daumcdn.net%2Flbook%2Fimage%2F6794436%3Ftimestamp%3D20250705145210</t>
        </is>
      </c>
    </row>
    <row r="57" ht="16.5" customHeight="1" s="118">
      <c r="A57" s="9" t="n"/>
      <c r="B57" s="10" t="inlineStr">
        <is>
          <t>프랭클린 익스프레스</t>
        </is>
      </c>
      <c r="C57" s="11" t="inlineStr">
        <is>
          <t>에릭 와이너</t>
        </is>
      </c>
      <c r="D57" s="11" t="inlineStr">
        <is>
          <t>어크로스</t>
        </is>
      </c>
      <c r="E57" s="12">
        <f>_xludf.IFS(COUNTIF(보류목록!$B$3:$B$1000, B57)&gt;0, "-",COUNTIF(독서목록!$C$2:$C$1099, B57)=0, , COUNTIF(독서목록!$C$2:$C$1099, B57)&gt;0, COUNTIF(독서목록!$C$2:$C$1099, B57))</f>
        <v/>
      </c>
      <c r="F57" s="12">
        <f>_xludf.IFS(COUNTIF(보류목록!$C$3:$C$1000, B57)&gt;0, "-",COUNTIF(독서목록!$D$2:$D$1099, B57)=0, , COUNTIF(독서목록!$D$2:$D$1099, B57)&gt;0, COUNTIF(독서목록!$D$2:$D$1099, B57))</f>
        <v/>
      </c>
      <c r="G57" s="13" t="inlineStr">
        <is>
          <t>2024.09.09</t>
        </is>
      </c>
      <c r="H57" s="14" t="n"/>
      <c r="I57" s="14" t="n"/>
      <c r="J57" s="16" t="inlineStr">
        <is>
          <t>1167741676 9791167741677</t>
        </is>
      </c>
      <c r="K57" s="17" t="inlineStr">
        <is>
          <t>https://search1.kakaocdn.net/thumb/R120x174.q85/?fname=http%3A%2F%2Ft1.daumcdn.net%2Flbook%2Fimage%2F6712998%3Ftimestamp%3D20241001160620</t>
        </is>
      </c>
    </row>
    <row r="58" ht="16.5" customHeight="1" s="118">
      <c r="A58" s="9" t="n"/>
      <c r="B58" s="10" t="inlineStr">
        <is>
          <t>하늘과 땅 식료품점</t>
        </is>
      </c>
      <c r="C58" s="11" t="inlineStr">
        <is>
          <t>제임스 맥브라이드</t>
        </is>
      </c>
      <c r="D58" s="11" t="inlineStr">
        <is>
          <t>미래지향</t>
        </is>
      </c>
      <c r="E58" s="12">
        <f>_xludf.IFS(COUNTIF(보류목록!$B$3:$B$1000, B58)&gt;0, "-",COUNTIF(독서목록!$C$2:$C$1099, B58)=0, , COUNTIF(독서목록!$C$2:$C$1099, B58)&gt;0, COUNTIF(독서목록!$C$2:$C$1099, B58))</f>
        <v/>
      </c>
      <c r="F58" s="12">
        <f>_xludf.IFS(COUNTIF(보류목록!$C$3:$C$1000, B58)&gt;0, "-",COUNTIF(독서목록!$D$2:$D$1099, B58)=0, , COUNTIF(독서목록!$D$2:$D$1099, B58)&gt;0, COUNTIF(독서목록!$D$2:$D$1099, B58))</f>
        <v/>
      </c>
      <c r="G58" s="13" t="inlineStr">
        <is>
          <t>2024.09.09</t>
        </is>
      </c>
      <c r="H58" s="14" t="n"/>
      <c r="I58" s="14" t="n"/>
      <c r="J58" s="16" t="inlineStr">
        <is>
          <t>1185851305 9791185851303</t>
        </is>
      </c>
      <c r="K58" s="17" t="inlineStr">
        <is>
          <t>https://search1.kakaocdn.net/thumb/R120x174.q85/?fname=http%3A%2F%2Ft1.daumcdn.net%2Flbook%2Fimage%2F6701645%3Ftimestamp%3D20250925141731</t>
        </is>
      </c>
    </row>
    <row r="59" ht="16.5" customHeight="1" s="118">
      <c r="A59" s="9" t="n"/>
      <c r="B59" s="10" t="inlineStr">
        <is>
          <t>감정의 이해</t>
        </is>
      </c>
      <c r="C59" s="11" t="inlineStr">
        <is>
          <t>엠마 햅번</t>
        </is>
      </c>
      <c r="D59" s="11" t="inlineStr">
        <is>
          <t>포레스트북스</t>
        </is>
      </c>
      <c r="E59" s="12">
        <f>_xludf.IFS(COUNTIF(보류목록!$B$3:$B$1000, B59)&gt;0, "-",COUNTIF(독서목록!$C$2:$C$1099, B59)=0, , COUNTIF(독서목록!$C$2:$C$1099, B59)&gt;0, COUNTIF(독서목록!$C$2:$C$1099, B59))</f>
        <v/>
      </c>
      <c r="F59" s="12">
        <f>_xludf.IFS(COUNTIF(보류목록!$C$3:$C$1000, B59)&gt;0, "-",COUNTIF(독서목록!$D$2:$D$1099, B59)=0, , COUNTIF(독서목록!$D$2:$D$1099, B59)&gt;0, COUNTIF(독서목록!$D$2:$D$1099, B59))</f>
        <v/>
      </c>
      <c r="G59" s="13" t="inlineStr">
        <is>
          <t>2024.08.13</t>
        </is>
      </c>
      <c r="H59" s="14" t="n"/>
      <c r="I59" s="14" t="n"/>
      <c r="J59" s="16" t="inlineStr">
        <is>
          <t>119350645X 9791193506455</t>
        </is>
      </c>
      <c r="K59" s="17" t="inlineStr">
        <is>
          <t>https://search1.kakaocdn.net/thumb/R120x174.q85/?fname=http%3A%2F%2Ft1.daumcdn.net%2Flbook%2Fimage%2F6609777%3Ftimestamp%3D20251128151620</t>
        </is>
      </c>
    </row>
    <row r="60" ht="16.5" customHeight="1" s="118">
      <c r="A60" s="9" t="n"/>
      <c r="B60" s="10" t="inlineStr">
        <is>
          <t>비 그친 오후의 헌책방</t>
        </is>
      </c>
      <c r="C60" s="11" t="inlineStr">
        <is>
          <t>아가사와 사토시</t>
        </is>
      </c>
      <c r="D60" s="11" t="inlineStr">
        <is>
          <t>다산북스</t>
        </is>
      </c>
      <c r="E60" s="12">
        <f>_xludf.IFS(COUNTIF(보류목록!$B$3:$B$1000, B60)&gt;0, "-",COUNTIF(독서목록!$C$2:$C$1099, B60)=0, , COUNTIF(독서목록!$C$2:$C$1099, B60)&gt;0, COUNTIF(독서목록!$C$2:$C$1099, B60))</f>
        <v/>
      </c>
      <c r="F60" s="12">
        <f>_xludf.IFS(COUNTIF(보류목록!$C$3:$C$1000, B60)&gt;0, "-",COUNTIF(독서목록!$D$2:$D$1099, B60)=0, , COUNTIF(독서목록!$D$2:$D$1099, B60)&gt;0, COUNTIF(독서목록!$D$2:$D$1099, B60))</f>
        <v/>
      </c>
      <c r="G60" s="13" t="inlineStr">
        <is>
          <t>2024.08.13</t>
        </is>
      </c>
      <c r="H60" s="14" t="inlineStr">
        <is>
          <t>기부</t>
        </is>
      </c>
      <c r="I60" s="14" t="n">
        <v>25.12</v>
      </c>
      <c r="J60" s="16" t="inlineStr">
        <is>
          <t>1130658015 9791130658018</t>
        </is>
      </c>
      <c r="K60" s="19" t="inlineStr">
        <is>
          <t>https://search1.kakaocdn.net/thumb/R120x174.q85/?fname=http%3A%2F%2Ft1.daumcdn.net%2Flbook%2Fimage%2F6768791%3Ftimestamp%3D20251219151456</t>
        </is>
      </c>
    </row>
    <row r="61" ht="16.5" customHeight="1" s="118">
      <c r="A61" s="9" t="n"/>
      <c r="B61" s="10" t="inlineStr">
        <is>
          <t>저속노화 식사법</t>
        </is>
      </c>
      <c r="C61" s="11" t="inlineStr">
        <is>
          <t>정희원</t>
        </is>
      </c>
      <c r="D61" s="11" t="inlineStr">
        <is>
          <t>테이스트북스</t>
        </is>
      </c>
      <c r="E61" s="12">
        <f>_xludf.IFS(COUNTIF(보류목록!$B$3:$B$1000, B61)&gt;0, "-",COUNTIF(독서목록!$C$2:$C$1099, B61)=0, , COUNTIF(독서목록!$C$2:$C$1099, B61)&gt;0, COUNTIF(독서목록!$C$2:$C$1099, B61))</f>
        <v/>
      </c>
      <c r="F61" s="12">
        <f>_xludf.IFS(COUNTIF(보류목록!$C$3:$C$1000, B61)&gt;0, "-",COUNTIF(독서목록!$D$2:$D$1099, B61)=0, , COUNTIF(독서목록!$D$2:$D$1099, B61)&gt;0, COUNTIF(독서목록!$D$2:$D$1099, B61))</f>
        <v/>
      </c>
      <c r="G61" s="13" t="inlineStr">
        <is>
          <t>2024.08.13</t>
        </is>
      </c>
      <c r="H61" s="14" t="n"/>
      <c r="I61" s="14" t="n"/>
      <c r="J61" s="16" t="inlineStr">
        <is>
          <t>1141606860 9791141606862</t>
        </is>
      </c>
      <c r="K61" s="17" t="inlineStr">
        <is>
          <t>https://search1.kakaocdn.net/thumb/R120x174.q85/?fname=http%3A%2F%2Ft1.daumcdn.net%2Flbook%2Fimage%2F6686287%3Ftimestamp%3D20250619150730</t>
        </is>
      </c>
    </row>
    <row r="62" ht="16.5" customHeight="1" s="118">
      <c r="A62" s="9" t="n"/>
      <c r="B62" s="10" t="inlineStr">
        <is>
          <t>채링크로스 84번지</t>
        </is>
      </c>
      <c r="C62" s="11" t="inlineStr">
        <is>
          <t>헬렌 한프</t>
        </is>
      </c>
      <c r="D62" s="11" t="inlineStr">
        <is>
          <t>궁리</t>
        </is>
      </c>
      <c r="E62" s="12">
        <f>_xludf.IFS(COUNTIF(보류목록!$B$3:$B$1000, B62)&gt;0, "-",COUNTIF(독서목록!$C$2:$C$1099, B62)=0, , COUNTIF(독서목록!$C$2:$C$1099, B62)&gt;0, COUNTIF(독서목록!$C$2:$C$1099, B62))</f>
        <v/>
      </c>
      <c r="F62" s="12">
        <f>_xludf.IFS(COUNTIF(보류목록!$C$3:$C$1000, B62)&gt;0, "-",COUNTIF(독서목록!$D$2:$D$1099, B62)=0, , COUNTIF(독서목록!$D$2:$D$1099, B62)&gt;0, COUNTIF(독서목록!$D$2:$D$1099, B62))</f>
        <v/>
      </c>
      <c r="G62" s="13" t="inlineStr">
        <is>
          <t>2024.08.13</t>
        </is>
      </c>
      <c r="H62" s="14" t="inlineStr">
        <is>
          <t>기부</t>
        </is>
      </c>
      <c r="I62" s="14" t="n">
        <v>25.12</v>
      </c>
      <c r="J62" s="16" t="inlineStr">
        <is>
          <t>8958204303 9788958204305</t>
        </is>
      </c>
      <c r="K62" s="17" t="inlineStr">
        <is>
          <t>https://search1.kakaocdn.net/thumb/R120x174.q85/?fname=http%3A%2F%2Ft1.daumcdn.net%2Flbook%2Fimage%2F774869%3Ftimestamp%3D20241009114714</t>
        </is>
      </c>
    </row>
    <row r="63" ht="16.5" customHeight="1" s="118">
      <c r="A63" s="9" t="n"/>
      <c r="B63" s="10" t="inlineStr">
        <is>
          <t>글렌 굴드, 피아노 솔로</t>
        </is>
      </c>
      <c r="C63" s="11" t="inlineStr">
        <is>
          <t>미셀 슈나이더</t>
        </is>
      </c>
      <c r="D63" s="11" t="inlineStr">
        <is>
          <t>동문선</t>
        </is>
      </c>
      <c r="E63" s="12">
        <f>_xludf.IFS(COUNTIF(보류목록!$B$3:$B$1000, B63)&gt;0, "-",COUNTIF(독서목록!$C$2:$C$1099, B63)=0, , COUNTIF(독서목록!$C$2:$C$1099, B63)&gt;0, COUNTIF(독서목록!$C$2:$C$1099, B63))</f>
        <v/>
      </c>
      <c r="F63" s="12">
        <f>_xludf.IFS(COUNTIF(보류목록!$C$3:$C$1000, B63)&gt;0, "-",COUNTIF(독서목록!$D$2:$D$1099, B63)=0, , COUNTIF(독서목록!$D$2:$D$1099, B63)&gt;0, COUNTIF(독서목록!$D$2:$D$1099, B63))</f>
        <v/>
      </c>
      <c r="G63" s="13" t="inlineStr">
        <is>
          <t>2024.07.04</t>
        </is>
      </c>
      <c r="H63" s="14" t="n"/>
      <c r="I63" s="14" t="n"/>
      <c r="J63" s="16" t="inlineStr">
        <is>
          <t>8980382200 9788980382200</t>
        </is>
      </c>
      <c r="K63" s="17" t="inlineStr">
        <is>
          <t>https://search1.kakaocdn.net/thumb/R120x174.q85/?fname=http%3A%2F%2Ft1.daumcdn.net%2Flbook%2Fimage%2F1122307%3Ftimestamp%3D20260301110633</t>
        </is>
      </c>
    </row>
    <row r="64" ht="16.5" customHeight="1" s="118">
      <c r="A64" s="9" t="n"/>
      <c r="B64" s="10" t="inlineStr">
        <is>
          <t>아직도 악어와 악어새 이야기를 믿어?</t>
        </is>
      </c>
      <c r="C64" s="11" t="inlineStr">
        <is>
          <t>이하늬</t>
        </is>
      </c>
      <c r="D64" s="11" t="inlineStr">
        <is>
          <t>스테이블</t>
        </is>
      </c>
      <c r="E64" s="12">
        <f>_xludf.IFS(COUNTIF(보류목록!$B$3:$B$1000, B64)&gt;0, "-",COUNTIF(독서목록!$C$2:$C$1099, B64)=0, , COUNTIF(독서목록!$C$2:$C$1099, B64)&gt;0, COUNTIF(독서목록!$C$2:$C$1099, B64))</f>
        <v/>
      </c>
      <c r="F64" s="12">
        <f>_xludf.IFS(COUNTIF(보류목록!$C$3:$C$1000, B64)&gt;0, "-",COUNTIF(독서목록!$D$2:$D$1099, B64)=0, , COUNTIF(독서목록!$D$2:$D$1099, B64)&gt;0, COUNTIF(독서목록!$D$2:$D$1099, B64))</f>
        <v/>
      </c>
      <c r="G64" s="13" t="inlineStr">
        <is>
          <t>2024.07.04</t>
        </is>
      </c>
      <c r="H64" s="14" t="inlineStr">
        <is>
          <t>기부</t>
        </is>
      </c>
      <c r="I64" s="14" t="n">
        <v>25.12</v>
      </c>
      <c r="J64" s="16" t="inlineStr">
        <is>
          <t>1193476038 9791193476031</t>
        </is>
      </c>
      <c r="K64" s="17" t="inlineStr">
        <is>
          <t>https://search1.kakaocdn.net/thumb/R120x174.q85/?fname=http%3A%2F%2Ft1.daumcdn.net%2Flbook%2Fimage%2F6620559%3Ftimestamp%3D20251016143450</t>
        </is>
      </c>
    </row>
    <row r="65" ht="16.5" customHeight="1" s="118">
      <c r="A65" s="9" t="n"/>
      <c r="B65" s="10" t="inlineStr">
        <is>
          <t>녹나무의 여신</t>
        </is>
      </c>
      <c r="C65" s="11" t="inlineStr">
        <is>
          <t>히가시노 게이고</t>
        </is>
      </c>
      <c r="D65" s="11" t="inlineStr">
        <is>
          <t>소미미디어</t>
        </is>
      </c>
      <c r="E65" s="12">
        <f>_xludf.IFS(COUNTIF(보류목록!$B$3:$B$1000, B65)&gt;0, "-",COUNTIF(독서목록!$C$2:$C$1099, B65)=0, , COUNTIF(독서목록!$C$2:$C$1099, B65)&gt;0, COUNTIF(독서목록!$C$2:$C$1099, B65))</f>
        <v/>
      </c>
      <c r="F65" s="12">
        <f>_xludf.IFS(COUNTIF(보류목록!$C$3:$C$1000, B65)&gt;0, "-",COUNTIF(독서목록!$D$2:$D$1099, B65)=0, , COUNTIF(독서목록!$D$2:$D$1099, B65)&gt;0, COUNTIF(독서목록!$D$2:$D$1099, B65))</f>
        <v/>
      </c>
      <c r="G65" s="13" t="inlineStr">
        <is>
          <t>2024.06.04</t>
        </is>
      </c>
      <c r="H65" s="14" t="n"/>
      <c r="I65" s="14" t="n"/>
      <c r="J65" s="16" t="inlineStr">
        <is>
          <t>1138483044 9791138483049</t>
        </is>
      </c>
      <c r="K65" s="17" t="inlineStr">
        <is>
          <t>https://search1.kakaocdn.net/thumb/R120x174.q85/?fname=http%3A%2F%2Ft1.daumcdn.net%2Flbook%2Fimage%2F6631273%3Ftimestamp%3D20260310124831</t>
        </is>
      </c>
    </row>
    <row r="66" ht="16.5" customHeight="1" s="118">
      <c r="A66" s="9" t="n"/>
      <c r="B66" s="10" t="inlineStr">
        <is>
          <t>평가보다 피드백</t>
        </is>
      </c>
      <c r="C66" s="11" t="inlineStr">
        <is>
          <t>백종화</t>
        </is>
      </c>
      <c r="D66" s="11" t="inlineStr">
        <is>
          <t>중앙북스</t>
        </is>
      </c>
      <c r="E66" s="12">
        <f>_xludf.IFS(COUNTIF(보류목록!$B$3:$B$1000, B66)&gt;0, "-",COUNTIF(독서목록!$C$2:$C$1099, B66)=0, , COUNTIF(독서목록!$C$2:$C$1099, B66)&gt;0, COUNTIF(독서목록!$C$2:$C$1099, B66))</f>
        <v/>
      </c>
      <c r="F66" s="12">
        <f>_xludf.IFS(COUNTIF(보류목록!$C$3:$C$1000, B66)&gt;0, "-",COUNTIF(독서목록!$D$2:$D$1099, B66)=0, , COUNTIF(독서목록!$D$2:$D$1099, B66)&gt;0, COUNTIF(독서목록!$D$2:$D$1099, B66))</f>
        <v/>
      </c>
      <c r="G66" s="13" t="inlineStr">
        <is>
          <t>2024.06.04</t>
        </is>
      </c>
      <c r="H66" s="14" t="n"/>
      <c r="I66" s="14" t="n"/>
      <c r="J66" s="16" t="inlineStr">
        <is>
          <t>8927813189 9788927813187</t>
        </is>
      </c>
      <c r="K66" s="17" t="inlineStr">
        <is>
          <t>https://search1.kakaocdn.net/thumb/R120x174.q85/?fname=http%3A%2F%2Ft1.daumcdn.net%2Flbook%2Fimage%2F6617749%3Ftimestamp%3D20240806155521</t>
        </is>
      </c>
    </row>
    <row r="67" ht="16.5" customHeight="1" s="118">
      <c r="A67" s="9" t="n"/>
      <c r="B67" s="10" t="inlineStr">
        <is>
          <t>맛있게, 저염식</t>
        </is>
      </c>
      <c r="C67" s="11" t="inlineStr">
        <is>
          <t>윤세경</t>
        </is>
      </c>
      <c r="D67" s="11" t="inlineStr">
        <is>
          <t>아퍼블리싱</t>
        </is>
      </c>
      <c r="E67" s="12">
        <f>_xludf.IFS(COUNTIF(보류목록!$B$3:$B$1000, B67)&gt;0, "-",COUNTIF(독서목록!$C$2:$C$1099, B67)=0, , COUNTIF(독서목록!$C$2:$C$1099, B67)&gt;0, COUNTIF(독서목록!$C$2:$C$1099, B67))</f>
        <v/>
      </c>
      <c r="F67" s="12">
        <f>_xludf.IFS(COUNTIF(보류목록!$C$3:$C$1000, B67)&gt;0, "-",COUNTIF(독서목록!$D$2:$D$1099, B67)=0, , COUNTIF(독서목록!$D$2:$D$1099, B67)&gt;0, COUNTIF(독서목록!$D$2:$D$1099, B67))</f>
        <v/>
      </c>
      <c r="G67" s="13" t="inlineStr">
        <is>
          <t>2024.06.04</t>
        </is>
      </c>
      <c r="H67" s="14" t="n"/>
      <c r="I67" s="14" t="n"/>
      <c r="J67" s="16" t="inlineStr">
        <is>
          <t>1197623345 9791197623349</t>
        </is>
      </c>
      <c r="K67" s="17" t="inlineStr">
        <is>
          <t>https://search1.kakaocdn.net/thumb/R120x174.q85/?fname=http%3A%2F%2Ft1.daumcdn.net%2Flbook%2Fimage%2F6317703%3Ftimestamp%3D20240512132428</t>
        </is>
      </c>
    </row>
    <row r="68" ht="16.5" customHeight="1" s="118">
      <c r="A68" s="9" t="n"/>
      <c r="B68" s="10" t="inlineStr">
        <is>
          <t>그랜드 부다페스트 호텔</t>
        </is>
      </c>
      <c r="C68" s="11" t="inlineStr">
        <is>
          <t>웨스 앤더슨</t>
        </is>
      </c>
      <c r="D68" s="11" t="inlineStr">
        <is>
          <t>윌북</t>
        </is>
      </c>
      <c r="E68" s="12">
        <f>_xludf.IFS(COUNTIF(보류목록!$B$3:$B$1000, B68)&gt;0, "-",COUNTIF(독서목록!$C$2:$C$1099, B68)=0, , COUNTIF(독서목록!$C$2:$C$1099, B68)&gt;0, COUNTIF(독서목록!$C$2:$C$1099, B68))</f>
        <v/>
      </c>
      <c r="F68" s="12">
        <f>_xludf.IFS(COUNTIF(보류목록!$C$3:$C$1000, B68)&gt;0, "-",COUNTIF(독서목록!$D$2:$D$1099, B68)=0, , COUNTIF(독서목록!$D$2:$D$1099, B68)&gt;0, COUNTIF(독서목록!$D$2:$D$1099, B68))</f>
        <v/>
      </c>
      <c r="G68" s="13" t="inlineStr">
        <is>
          <t>2024.05.11</t>
        </is>
      </c>
      <c r="H68" s="14" t="n"/>
      <c r="I68" s="14" t="n"/>
      <c r="J68" s="16" t="inlineStr">
        <is>
          <t>1155810767 9791155810767</t>
        </is>
      </c>
      <c r="K68" s="17" t="inlineStr">
        <is>
          <t>https://search1.kakaocdn.net/thumb/R120x174.q85/?fname=http%3A%2F%2Ft1.daumcdn.net%2Flbook%2Fimage%2F1555693%3Ftimestamp%3D20251025110345</t>
        </is>
      </c>
    </row>
    <row r="69" ht="16.5" customHeight="1" s="118">
      <c r="A69" s="9" t="n"/>
      <c r="B69" s="10" t="inlineStr">
        <is>
          <t>아웃라이어</t>
        </is>
      </c>
      <c r="C69" s="11" t="inlineStr">
        <is>
          <t>말콤 글래드웰</t>
        </is>
      </c>
      <c r="D69" s="11" t="inlineStr">
        <is>
          <t>김영사</t>
        </is>
      </c>
      <c r="E69" s="12">
        <f>_xludf.IFS(COUNTIF(보류목록!$B$3:$B$1000, B69)&gt;0, "-",COUNTIF(독서목록!$C$2:$C$1099, B69)=0, , COUNTIF(독서목록!$C$2:$C$1099, B69)&gt;0, COUNTIF(독서목록!$C$2:$C$1099, B69))</f>
        <v/>
      </c>
      <c r="F69" s="12">
        <f>_xludf.IFS(COUNTIF(보류목록!$C$3:$C$1000, B69)&gt;0, "-",COUNTIF(독서목록!$D$2:$D$1099, B69)=0, , COUNTIF(독서목록!$D$2:$D$1099, B69)&gt;0, COUNTIF(독서목록!$D$2:$D$1099, B69))</f>
        <v/>
      </c>
      <c r="G69" s="13" t="inlineStr">
        <is>
          <t>2024.05.11</t>
        </is>
      </c>
      <c r="H69" s="14" t="n"/>
      <c r="I69" s="14" t="n"/>
      <c r="J69" s="16" t="inlineStr">
        <is>
          <t>8934933151 9788934933151</t>
        </is>
      </c>
      <c r="K69" s="17" t="inlineStr">
        <is>
          <t>https://search1.kakaocdn.net/thumb/R120x174.q85/?fname=http%3A%2F%2Ft1.daumcdn.net%2Flbook%2Fimage%2F519290%3Ftimestamp%3D20250718110326</t>
        </is>
      </c>
    </row>
    <row r="70" ht="16.5" customHeight="1" s="118">
      <c r="A70" s="9" t="n"/>
      <c r="B70" s="10" t="inlineStr">
        <is>
          <t>나를 부르는 숲</t>
        </is>
      </c>
      <c r="C70" s="11" t="inlineStr">
        <is>
          <t>빌 브라이슨</t>
        </is>
      </c>
      <c r="D70" s="11" t="inlineStr">
        <is>
          <t>까치</t>
        </is>
      </c>
      <c r="E70" s="12">
        <f>_xludf.IFS(COUNTIF(보류목록!$B$3:$B$1000, B70)&gt;0, "-",COUNTIF(독서목록!$C$2:$C$1099, B70)=0, , COUNTIF(독서목록!$C$2:$C$1099, B70)&gt;0, COUNTIF(독서목록!$C$2:$C$1099, B70))</f>
        <v/>
      </c>
      <c r="F70" s="12">
        <f>_xludf.IFS(COUNTIF(보류목록!$C$3:$C$1000, B70)&gt;0, "-",COUNTIF(독서목록!$D$2:$D$1099, B70)=0, , COUNTIF(독서목록!$D$2:$D$1099, B70)&gt;0, COUNTIF(독서목록!$D$2:$D$1099, B70))</f>
        <v/>
      </c>
      <c r="G70" s="13" t="inlineStr">
        <is>
          <t>2024.03.04</t>
        </is>
      </c>
      <c r="H70" s="14" t="inlineStr">
        <is>
          <t>기부</t>
        </is>
      </c>
      <c r="I70" s="14" t="n">
        <v>25.12</v>
      </c>
      <c r="J70" s="16" t="inlineStr">
        <is>
          <t>8972916528 9788972916529</t>
        </is>
      </c>
      <c r="K70" s="17" t="inlineStr">
        <is>
          <t>https://search1.kakaocdn.net/thumb/R120x174.q85/?fname=http%3A%2F%2Ft1.daumcdn.net%2Flbook%2Fimage%2F1011270%3Ftimestamp%3D20251122110758</t>
        </is>
      </c>
    </row>
    <row r="71" ht="16.5" customHeight="1" s="118">
      <c r="A71" s="9" t="n"/>
      <c r="B71" s="10" t="inlineStr">
        <is>
          <t>죽음의 수용소에서</t>
        </is>
      </c>
      <c r="C71" s="11" t="inlineStr">
        <is>
          <t>빅터 프랭클</t>
        </is>
      </c>
      <c r="D71" s="11" t="inlineStr">
        <is>
          <t>청아출판사</t>
        </is>
      </c>
      <c r="E71" s="12">
        <f>_xludf.IFS(COUNTIF(보류목록!$B$3:$B$1000, B71)&gt;0, "-",COUNTIF(독서목록!$C$2:$C$1099, B71)=0, , COUNTIF(독서목록!$C$2:$C$1099, B71)&gt;0, COUNTIF(독서목록!$C$2:$C$1099, B71))</f>
        <v/>
      </c>
      <c r="F71" s="12">
        <f>_xludf.IFS(COUNTIF(보류목록!$C$3:$C$1000, B71)&gt;0, "-",COUNTIF(독서목록!$D$2:$D$1099, B71)=0, , COUNTIF(독서목록!$D$2:$D$1099, B71)&gt;0, COUNTIF(독서목록!$D$2:$D$1099, B71))</f>
        <v/>
      </c>
      <c r="G71" s="13" t="inlineStr">
        <is>
          <t>2024.03.04</t>
        </is>
      </c>
      <c r="H71" s="14" t="inlineStr">
        <is>
          <t>기부</t>
        </is>
      </c>
      <c r="I71" s="14" t="n">
        <v>25.12</v>
      </c>
      <c r="J71" s="16" t="inlineStr">
        <is>
          <t>8936811533 9788936811532</t>
        </is>
      </c>
      <c r="K71" s="17" t="inlineStr">
        <is>
          <t>https://search1.kakaocdn.net/thumb/R120x174.q85/?fname=http%3A%2F%2Ft1.daumcdn.net%2Flbook%2Fimage%2F5383127%3Ftimestamp%3D20260323120802</t>
        </is>
      </c>
    </row>
    <row r="72" ht="16.5" customHeight="1" s="118">
      <c r="A72" s="9" t="n"/>
      <c r="B72" s="10" t="inlineStr">
        <is>
          <t>그냥 하지 말라</t>
        </is>
      </c>
      <c r="C72" s="11" t="inlineStr">
        <is>
          <t>송길영</t>
        </is>
      </c>
      <c r="D72" s="11" t="inlineStr">
        <is>
          <t>북스톤</t>
        </is>
      </c>
      <c r="E72" s="12">
        <f>_xludf.IFS(COUNTIF(보류목록!$B$3:$B$1000, B72)&gt;0, "-",COUNTIF(독서목록!$C$2:$C$1099, B72)=0, , COUNTIF(독서목록!$C$2:$C$1099, B72)&gt;0, COUNTIF(독서목록!$C$2:$C$1099, B72))</f>
        <v/>
      </c>
      <c r="F72" s="12">
        <f>_xludf.IFS(COUNTIF(보류목록!$C$3:$C$1000, B72)&gt;0, "-",COUNTIF(독서목록!$D$2:$D$1099, B72)=0, , COUNTIF(독서목록!$D$2:$D$1099, B72)&gt;0, COUNTIF(독서목록!$D$2:$D$1099, B72))</f>
        <v/>
      </c>
      <c r="G72" s="13" t="inlineStr">
        <is>
          <t>2024.03.04</t>
        </is>
      </c>
      <c r="H72" s="14" t="n"/>
      <c r="I72" s="14" t="n"/>
      <c r="J72" s="16" t="inlineStr">
        <is>
          <t>1191211460 9791191211467</t>
        </is>
      </c>
      <c r="K72" s="17" t="inlineStr">
        <is>
          <t>https://search1.kakaocdn.net/thumb/R120x174.q85/?fname=http%3A%2F%2Ft1.daumcdn.net%2Flbook%2Fimage%2F5847708%3Ftimestamp%3D20251014135303</t>
        </is>
      </c>
    </row>
    <row r="73" ht="16.5" customHeight="1" s="118">
      <c r="A73" s="9" t="n"/>
      <c r="B73" s="10" t="inlineStr">
        <is>
          <t>쏟아지는 일 완벽하게 해내는 법</t>
        </is>
      </c>
      <c r="C73" s="11" t="inlineStr">
        <is>
          <t>데이비드 앨런</t>
        </is>
      </c>
      <c r="D73" s="11" t="inlineStr">
        <is>
          <t>김영사</t>
        </is>
      </c>
      <c r="E73" s="12">
        <f>_xludf.IFS(COUNTIF(보류목록!$B$3:$B$1000, B73)&gt;0, "-",COUNTIF(독서목록!$C$2:$C$1099, B73)=0, , COUNTIF(독서목록!$C$2:$C$1099, B73)&gt;0, COUNTIF(독서목록!$C$2:$C$1099, B73))</f>
        <v/>
      </c>
      <c r="F73" s="12">
        <f>_xludf.IFS(COUNTIF(보류목록!$C$3:$C$1000, B73)&gt;0, "-",COUNTIF(독서목록!$D$2:$D$1099, B73)=0, , COUNTIF(독서목록!$D$2:$D$1099, B73)&gt;0, COUNTIF(독서목록!$D$2:$D$1099, B73))</f>
        <v/>
      </c>
      <c r="G73" s="13" t="inlineStr">
        <is>
          <t>2024.03.04</t>
        </is>
      </c>
      <c r="H73" s="14" t="n"/>
      <c r="I73" s="14" t="n"/>
      <c r="J73" s="16" t="inlineStr">
        <is>
          <t>8934975288 9788934975281</t>
        </is>
      </c>
      <c r="K73" s="17" t="inlineStr">
        <is>
          <t>https://search1.kakaocdn.net/thumb/R120x174.q85/?fname=http%3A%2F%2Ft1.daumcdn.net%2Flbook%2Fimage%2F521052%3Ftimestamp%3D20260325110855</t>
        </is>
      </c>
    </row>
    <row r="74" ht="16.5" customHeight="1" s="118">
      <c r="A74" s="9" t="n"/>
      <c r="B74" s="10" t="inlineStr">
        <is>
          <t>딥 워크</t>
        </is>
      </c>
      <c r="C74" s="11" t="inlineStr">
        <is>
          <t>칼 뉴포트</t>
        </is>
      </c>
      <c r="D74" s="11" t="inlineStr">
        <is>
          <t>민음사</t>
        </is>
      </c>
      <c r="E74" s="12">
        <f>_xludf.IFS(COUNTIF(보류목록!$B$3:$B$1000, B74)&gt;0, "-",COUNTIF(독서목록!$C$2:$C$1099, B74)=0, , COUNTIF(독서목록!$C$2:$C$1099, B74)&gt;0, COUNTIF(독서목록!$C$2:$C$1099, B74))</f>
        <v/>
      </c>
      <c r="F74" s="12">
        <f>_xludf.IFS(COUNTIF(보류목록!$C$3:$C$1000, B74)&gt;0, "-",COUNTIF(독서목록!$D$2:$D$1099, B74)=0, , COUNTIF(독서목록!$D$2:$D$1099, B74)&gt;0, COUNTIF(독서목록!$D$2:$D$1099, B74))</f>
        <v/>
      </c>
      <c r="G74" s="13" t="inlineStr">
        <is>
          <t>2024.02.16</t>
        </is>
      </c>
      <c r="H74" s="14" t="n"/>
      <c r="I74" s="14" t="n"/>
      <c r="J74" s="16" t="inlineStr">
        <is>
          <t>8937434083 9788937434082</t>
        </is>
      </c>
      <c r="K74" s="17" t="inlineStr">
        <is>
          <t>https://search1.kakaocdn.net/thumb/R120x174.q85/?fname=http%3A%2F%2Ft1.daumcdn.net%2Flbook%2Fimage%2F540365%3Ftimestamp%3D20250106113344</t>
        </is>
      </c>
    </row>
    <row r="75" ht="16.5" customHeight="1" s="118">
      <c r="A75" s="9" t="n"/>
      <c r="B75" s="10" t="inlineStr">
        <is>
          <t>멋진 신세계</t>
        </is>
      </c>
      <c r="C75" s="11" t="inlineStr">
        <is>
          <t>올더스 헉슬리</t>
        </is>
      </c>
      <c r="D75" s="11" t="inlineStr">
        <is>
          <t>소담출판사</t>
        </is>
      </c>
      <c r="E75" s="12">
        <f>_xludf.IFS(COUNTIF(보류목록!$B$3:$B$1000, B75)&gt;0, "-",COUNTIF(독서목록!$C$2:$C$1099, B75)=0, , COUNTIF(독서목록!$C$2:$C$1099, B75)&gt;0, COUNTIF(독서목록!$C$2:$C$1099, B75))</f>
        <v/>
      </c>
      <c r="F75" s="12">
        <f>_xludf.IFS(COUNTIF(보류목록!$C$3:$C$1000, B75)&gt;0, "-",COUNTIF(독서목록!$D$2:$D$1099, B75)=0, , COUNTIF(독서목록!$D$2:$D$1099, B75)&gt;0, COUNTIF(독서목록!$D$2:$D$1099, B75))</f>
        <v/>
      </c>
      <c r="G75" s="13" t="inlineStr">
        <is>
          <t>2024.02.16</t>
        </is>
      </c>
      <c r="H75" s="14" t="inlineStr">
        <is>
          <t>기부</t>
        </is>
      </c>
      <c r="I75" s="14" t="n">
        <v>25.12</v>
      </c>
      <c r="J75" s="16" t="inlineStr">
        <is>
          <t>8973814729 9788973814725</t>
        </is>
      </c>
      <c r="K75" s="17" t="inlineStr">
        <is>
          <t>https://search1.kakaocdn.net/thumb/R120x174.q85/?fname=http%3A%2F%2Ft1.daumcdn.net%2Flbook%2Fimage%2F1027553%3Ftimestamp%3D20260110110821</t>
        </is>
      </c>
    </row>
    <row r="76" ht="16.5" customHeight="1" s="118">
      <c r="A76" s="9" t="n"/>
      <c r="B76" s="10" t="inlineStr">
        <is>
          <t>당신이 생각하는 모든 것을 믿지 말라</t>
        </is>
      </c>
      <c r="C76" s="11" t="inlineStr">
        <is>
          <t>조세프 응우엔</t>
        </is>
      </c>
      <c r="D76" s="11" t="inlineStr">
        <is>
          <t>서삼독</t>
        </is>
      </c>
      <c r="E76" s="12">
        <f>_xludf.IFS(COUNTIF(보류목록!$B$3:$B$1000, B76)&gt;0, "-",COUNTIF(독서목록!$C$2:$C$1099, B76)=0, , COUNTIF(독서목록!$C$2:$C$1099, B76)&gt;0, COUNTIF(독서목록!$C$2:$C$1099, B76))</f>
        <v/>
      </c>
      <c r="F76" s="12">
        <f>_xludf.IFS(COUNTIF(보류목록!$C$3:$C$1000, B76)&gt;0, "-",COUNTIF(독서목록!$D$2:$D$1099, B76)=0, , COUNTIF(독서목록!$D$2:$D$1099, B76)&gt;0, COUNTIF(독서목록!$D$2:$D$1099, B76))</f>
        <v/>
      </c>
      <c r="G76" s="13" t="inlineStr">
        <is>
          <t>2024.02.16</t>
        </is>
      </c>
      <c r="H76" s="14" t="n"/>
      <c r="I76" s="14" t="n"/>
      <c r="J76" s="16" t="inlineStr">
        <is>
          <t>1193904625 9791193904626</t>
        </is>
      </c>
      <c r="K76" s="19" t="inlineStr">
        <is>
          <t>https://search1.kakaocdn.net/thumb/R120x174.q85/?fname=http%3A%2F%2Ft1.daumcdn.net%2Flbook%2Fimage%2F7076947%3Ftimestamp%3D20251204151019</t>
        </is>
      </c>
    </row>
    <row r="77" ht="16.5" customHeight="1" s="118">
      <c r="A77" s="9" t="n"/>
      <c r="B77" s="10" t="inlineStr">
        <is>
          <t>이처럼 사소한 것들</t>
        </is>
      </c>
      <c r="C77" s="11" t="inlineStr">
        <is>
          <t>클레어 키건</t>
        </is>
      </c>
      <c r="D77" s="11" t="inlineStr">
        <is>
          <t>다산책방</t>
        </is>
      </c>
      <c r="E77" s="12">
        <f>_xludf.IFS(COUNTIF(보류목록!$B$3:$B$1000, B77)&gt;0, "-",COUNTIF(독서목록!$C$2:$C$1099, B77)=0, , COUNTIF(독서목록!$C$2:$C$1099, B77)&gt;0, COUNTIF(독서목록!$C$2:$C$1099, B77))</f>
        <v/>
      </c>
      <c r="F77" s="12">
        <f>_xludf.IFS(COUNTIF(보류목록!$C$3:$C$1000, B77)&gt;0, "-",COUNTIF(독서목록!$D$2:$D$1099, B77)=0, , COUNTIF(독서목록!$D$2:$D$1099, B77)&gt;0, COUNTIF(독서목록!$D$2:$D$1099, B77))</f>
        <v/>
      </c>
      <c r="G77" s="13" t="inlineStr">
        <is>
          <t>2024.02.16</t>
        </is>
      </c>
      <c r="H77" s="14" t="n"/>
      <c r="I77" s="14" t="n"/>
      <c r="J77" s="16" t="inlineStr">
        <is>
          <t>1130650618 9791130650616</t>
        </is>
      </c>
      <c r="K77" s="19" t="inlineStr">
        <is>
          <t>https://search1.kakaocdn.net/thumb/R120x174.q85/?fname=http%3A%2F%2Ft1.daumcdn.net%2Flbook%2Fimage%2F6579425%3Ftimestamp%3D20240824161329</t>
        </is>
      </c>
    </row>
    <row r="78" ht="16.5" customHeight="1" s="118">
      <c r="A78" s="9" t="n"/>
      <c r="B78" s="10" t="inlineStr">
        <is>
          <t>불안의 서</t>
        </is>
      </c>
      <c r="C78" s="11" t="inlineStr">
        <is>
          <t>페르난두 페소아</t>
        </is>
      </c>
      <c r="D78" s="11" t="inlineStr">
        <is>
          <t>봄날의 책</t>
        </is>
      </c>
      <c r="E78" s="12">
        <f>_xludf.IFS(COUNTIF(보류목록!$B$3:$B$1000, B78)&gt;0, "-",COUNTIF(독서목록!$C$2:$C$1099, B78)=0, , COUNTIF(독서목록!$C$2:$C$1099, B78)&gt;0, COUNTIF(독서목록!$C$2:$C$1099, B78))</f>
        <v/>
      </c>
      <c r="F78" s="12">
        <f>_xludf.IFS(COUNTIF(보류목록!$C$3:$C$1000, B78)&gt;0, "-",COUNTIF(독서목록!$D$2:$D$1099, B78)=0, , COUNTIF(독서목록!$D$2:$D$1099, B78)&gt;0, COUNTIF(독서목록!$D$2:$D$1099, B78))</f>
        <v/>
      </c>
      <c r="G78" s="13" t="inlineStr">
        <is>
          <t>2024.01.05</t>
        </is>
      </c>
      <c r="H78" s="14" t="n"/>
      <c r="I78" s="14" t="n"/>
      <c r="J78" s="16" t="inlineStr">
        <is>
          <t>899699796X 9788996997962</t>
        </is>
      </c>
      <c r="K78" s="17" t="inlineStr">
        <is>
          <t>https://search1.kakaocdn.net/thumb/R120x174.q85/?fname=http%3A%2F%2Ft1.daumcdn.net%2Flbook%2Fimage%2F1478013%3Ftimestamp%3D20251211110703</t>
        </is>
      </c>
    </row>
    <row r="79" ht="16.5" customHeight="1" s="118">
      <c r="A79" s="9" t="n"/>
      <c r="B79" s="10" t="inlineStr">
        <is>
          <t>칼 로저스의 사람-중심 상담</t>
        </is>
      </c>
      <c r="C79" s="11" t="inlineStr">
        <is>
          <t>칼 로저스</t>
        </is>
      </c>
      <c r="D79" s="11" t="inlineStr">
        <is>
          <t>학지사</t>
        </is>
      </c>
      <c r="E79" s="12">
        <f>_xludf.IFS(COUNTIF(보류목록!$B$3:$B$1000, B79)&gt;0, "-",COUNTIF(독서목록!$C$2:$C$1099, B79)=0, , COUNTIF(독서목록!$C$2:$C$1099, B79)&gt;0, COUNTIF(독서목록!$C$2:$C$1099, B79))</f>
        <v/>
      </c>
      <c r="F79" s="12">
        <f>_xludf.IFS(COUNTIF(보류목록!$C$3:$C$1000, B79)&gt;0, "-",COUNTIF(독서목록!$D$2:$D$1099, B79)=0, , COUNTIF(독서목록!$D$2:$D$1099, B79)&gt;0, COUNTIF(독서목록!$D$2:$D$1099, B79))</f>
        <v/>
      </c>
      <c r="G79" s="13" t="inlineStr">
        <is>
          <t>2024.01.05</t>
        </is>
      </c>
      <c r="H79" s="14" t="n"/>
      <c r="I79" s="14" t="n"/>
      <c r="J79" s="16" t="inlineStr">
        <is>
          <t>895891534X 9788958915348</t>
        </is>
      </c>
      <c r="K79" s="17" t="inlineStr">
        <is>
          <t>https://search1.kakaocdn.net/thumb/R120x174.q85/?fname=http%3A%2F%2Ft1.daumcdn.net%2Flbook%2Fimage%2F790203%3Ftimestamp%3D20250829110242</t>
        </is>
      </c>
    </row>
    <row r="80" ht="16.5" customHeight="1" s="118">
      <c r="A80" s="9" t="n"/>
      <c r="B80" s="10" t="inlineStr">
        <is>
          <t>만화로 보는 댄 애리얼리 최고의 선택</t>
        </is>
      </c>
      <c r="C80" s="11" t="inlineStr">
        <is>
          <t>댄 애리얼리</t>
        </is>
      </c>
      <c r="D80" s="11" t="inlineStr">
        <is>
          <t>청림출판</t>
        </is>
      </c>
      <c r="E80" s="12">
        <f>_xludf.IFS(COUNTIF(보류목록!$B$3:$B$1000, B80)&gt;0, "-",COUNTIF(독서목록!$C$2:$C$1099, B80)=0, , COUNTIF(독서목록!$C$2:$C$1099, B80)&gt;0, COUNTIF(독서목록!$C$2:$C$1099, B80))</f>
        <v/>
      </c>
      <c r="F80" s="12">
        <f>_xludf.IFS(COUNTIF(보류목록!$C$3:$C$1000, B80)&gt;0, "-",COUNTIF(독서목록!$D$2:$D$1099, B80)=0, , COUNTIF(독서목록!$D$2:$D$1099, B80)&gt;0, COUNTIF(독서목록!$D$2:$D$1099, B80))</f>
        <v/>
      </c>
      <c r="G80" s="13" t="inlineStr">
        <is>
          <t>2024.01.05</t>
        </is>
      </c>
      <c r="H80" s="14" t="n"/>
      <c r="I80" s="14" t="n"/>
      <c r="J80" s="16" t="inlineStr">
        <is>
          <t>8935213233 9788935213238</t>
        </is>
      </c>
      <c r="K80" s="17" t="inlineStr">
        <is>
          <t>https://search1.kakaocdn.net/thumb/R120x174.q85/?fname=http%3A%2F%2Ft1.daumcdn.net%2Flbook%2Fimage%2F5440730%3Ftimestamp%3D20250605143339</t>
        </is>
      </c>
    </row>
    <row r="81" ht="16.5" customHeight="1" s="118">
      <c r="A81" s="9" t="n"/>
      <c r="B81" s="10" t="inlineStr">
        <is>
          <t>The One Thing</t>
        </is>
      </c>
      <c r="C81" s="11" t="inlineStr">
        <is>
          <t>게리 켈러, 제이 파파산게리 켈러 외 1명</t>
        </is>
      </c>
      <c r="D81" s="11" t="inlineStr">
        <is>
          <t>비즈니스북스</t>
        </is>
      </c>
      <c r="E81" s="12">
        <f>_xludf.IFS(COUNTIF(보류목록!$B$3:$B$1000, B81)&gt;0, "-",COUNTIF(독서목록!$C$2:$C$1099, B81)=0, , COUNTIF(독서목록!$C$2:$C$1099, B81)&gt;0, COUNTIF(독서목록!$C$2:$C$1099, B81))</f>
        <v/>
      </c>
      <c r="F81" s="12">
        <f>_xludf.IFS(COUNTIF(보류목록!$C$3:$C$1000, B81)&gt;0, "-",COUNTIF(독서목록!$D$2:$D$1099, B81)=0, , COUNTIF(독서목록!$D$2:$D$1099, B81)&gt;0, COUNTIF(독서목록!$D$2:$D$1099, B81))</f>
        <v/>
      </c>
      <c r="G81" s="13" t="inlineStr">
        <is>
          <t>2023.00.00</t>
        </is>
      </c>
      <c r="H81" s="14" t="n"/>
      <c r="I81" s="14" t="n"/>
      <c r="J81" s="16" t="inlineStr">
        <is>
          <t>8997575163 9788997575169</t>
        </is>
      </c>
      <c r="K81" s="19" t="inlineStr">
        <is>
          <t>https://search1.kakaocdn.net/thumb/R120x174.q85/?fname=http%3A%2F%2Ft1.daumcdn.net%2Flbook%2Fimage%2F1486275%3Ftimestamp%3D20260411110726</t>
        </is>
      </c>
    </row>
    <row r="82" ht="16.5" customHeight="1" s="118">
      <c r="A82" s="9" t="n"/>
      <c r="B82" s="10" t="inlineStr">
        <is>
          <t>인간 실격</t>
        </is>
      </c>
      <c r="C82" s="11" t="inlineStr">
        <is>
          <t>다자이 오사무</t>
        </is>
      </c>
      <c r="D82" s="11" t="inlineStr">
        <is>
          <t>올리버</t>
        </is>
      </c>
      <c r="E82" s="12">
        <f>_xludf.IFS(COUNTIF(보류목록!$B$3:$B$1000, B82)&gt;0, "-",COUNTIF(독서목록!$C$2:$C$1099, B82)=0, , COUNTIF(독서목록!$C$2:$C$1099, B82)&gt;0, COUNTIF(독서목록!$C$2:$C$1099, B82))</f>
        <v/>
      </c>
      <c r="F82" s="12">
        <f>_xludf.IFS(COUNTIF(보류목록!$C$3:$C$1000, B82)&gt;0, "-",COUNTIF(독서목록!$D$2:$D$1099, B82)=0, , COUNTIF(독서목록!$D$2:$D$1099, B82)&gt;0, COUNTIF(독서목록!$D$2:$D$1099, B82))</f>
        <v/>
      </c>
      <c r="G82" s="13" t="inlineStr">
        <is>
          <t>2023.12.11</t>
        </is>
      </c>
      <c r="H82" s="14" t="inlineStr">
        <is>
          <t>기부</t>
        </is>
      </c>
      <c r="I82" s="14" t="n">
        <v>25.12</v>
      </c>
      <c r="J82" s="16" t="inlineStr">
        <is>
          <t>1193130174 9791193130179</t>
        </is>
      </c>
      <c r="K82" s="17" t="inlineStr">
        <is>
          <t>https://search1.kakaocdn.net/thumb/R120x174.q85/?fname=http%3A%2F%2Ft1.daumcdn.net%2Flbook%2Fimage%2F6442214%3Ftimestamp%3D20250130132753</t>
        </is>
      </c>
    </row>
    <row r="83" ht="16.5" customHeight="1" s="118">
      <c r="A83" s="9" t="n"/>
      <c r="B83" s="10" t="inlineStr">
        <is>
          <t>마흔에 읽는 쇼펜하우어</t>
        </is>
      </c>
      <c r="C83" s="11" t="inlineStr">
        <is>
          <t>강용수</t>
        </is>
      </c>
      <c r="D83" s="11" t="inlineStr">
        <is>
          <t>유노북스</t>
        </is>
      </c>
      <c r="E83" s="12">
        <f>_xludf.IFS(COUNTIF(보류목록!$B$3:$B$1000, B83)&gt;0, "-",COUNTIF(독서목록!$C$2:$C$1099, B83)=0, , COUNTIF(독서목록!$C$2:$C$1099, B83)&gt;0, COUNTIF(독서목록!$C$2:$C$1099, B83))</f>
        <v/>
      </c>
      <c r="F83" s="12">
        <f>_xludf.IFS(COUNTIF(보류목록!$C$3:$C$1000, B83)&gt;0, "-",COUNTIF(독서목록!$D$2:$D$1099, B83)=0, , COUNTIF(독서목록!$D$2:$D$1099, B83)&gt;0, COUNTIF(독서목록!$D$2:$D$1099, B83))</f>
        <v/>
      </c>
      <c r="G83" s="13" t="inlineStr">
        <is>
          <t>2023.12.11</t>
        </is>
      </c>
      <c r="H83" s="14" t="n"/>
      <c r="I83" s="14" t="n"/>
      <c r="J83" s="16" t="inlineStr">
        <is>
          <t>1192300815 9791192300818</t>
        </is>
      </c>
      <c r="K83" s="17" t="inlineStr">
        <is>
          <t>https://search1.kakaocdn.net/thumb/R120x174.q85/?fname=http%3A%2F%2Ft1.daumcdn.net%2Flbook%2Fimage%2F6426562%3Ftimestamp%3D20260314123144</t>
        </is>
      </c>
    </row>
    <row r="84" ht="16.5" customHeight="1" s="118">
      <c r="A84" s="9" t="n"/>
      <c r="B84" s="10" t="inlineStr">
        <is>
          <t>도어</t>
        </is>
      </c>
      <c r="C84" s="11" t="inlineStr">
        <is>
          <t>서보 머그더</t>
        </is>
      </c>
      <c r="D84" s="11" t="inlineStr">
        <is>
          <t>프시케의 숲</t>
        </is>
      </c>
      <c r="E84" s="12">
        <f>_xludf.IFS(COUNTIF(보류목록!$B$3:$B$1000, B84)&gt;0, "-",COUNTIF(독서목록!$C$2:$C$1099, B84)=0, , COUNTIF(독서목록!$C$2:$C$1099, B84)&gt;0, COUNTIF(독서목록!$C$2:$C$1099, B84))</f>
        <v/>
      </c>
      <c r="F84" s="12">
        <f>_xludf.IFS(COUNTIF(보류목록!$C$3:$C$1000, B84)&gt;0, "-",COUNTIF(독서목록!$D$2:$D$1099, B84)=0, , COUNTIF(독서목록!$D$2:$D$1099, B84)&gt;0, COUNTIF(독서목록!$D$2:$D$1099, B84))</f>
        <v/>
      </c>
      <c r="G84" s="13" t="inlineStr">
        <is>
          <t>2023.12.11</t>
        </is>
      </c>
      <c r="H84" s="14" t="n"/>
      <c r="I84" s="14" t="n"/>
      <c r="J84" s="16" t="inlineStr">
        <is>
          <t>1189336111 9791189336110</t>
        </is>
      </c>
      <c r="K84" s="17" t="inlineStr">
        <is>
          <t>https://search1.kakaocdn.net/thumb/R120x174.q85/?fname=http%3A%2F%2Ft1.daumcdn.net%2Flbook%2Fimage%2F5127086%3Ftimestamp%3D20260116130954</t>
        </is>
      </c>
    </row>
    <row r="85" ht="16.5" customHeight="1" s="118">
      <c r="A85" s="9" t="n"/>
      <c r="B85" s="10" t="inlineStr">
        <is>
          <t>더 좋은 삶을 위한 철학</t>
        </is>
      </c>
      <c r="C85" s="11" t="inlineStr">
        <is>
          <t>마이클 슈어</t>
        </is>
      </c>
      <c r="D85" s="11" t="inlineStr">
        <is>
          <t>김영사</t>
        </is>
      </c>
      <c r="E85" s="12">
        <f>_xludf.IFS(COUNTIF(보류목록!$B$3:$B$1000, B85)&gt;0, "-",COUNTIF(독서목록!$C$2:$C$1099, B85)=0, , COUNTIF(독서목록!$C$2:$C$1099, B85)&gt;0, COUNTIF(독서목록!$C$2:$C$1099, B85))</f>
        <v/>
      </c>
      <c r="F85" s="12">
        <f>_xludf.IFS(COUNTIF(보류목록!$C$3:$C$1000, B85)&gt;0, "-",COUNTIF(독서목록!$D$2:$D$1099, B85)=0, , COUNTIF(독서목록!$D$2:$D$1099, B85)&gt;0, COUNTIF(독서목록!$D$2:$D$1099, B85))</f>
        <v/>
      </c>
      <c r="G85" s="13" t="inlineStr">
        <is>
          <t>2023.12.11</t>
        </is>
      </c>
      <c r="H85" s="14" t="n"/>
      <c r="I85" s="14" t="n"/>
      <c r="J85" s="16" t="inlineStr">
        <is>
          <t>8934965908 9788934965909</t>
        </is>
      </c>
      <c r="K85" s="17" t="inlineStr">
        <is>
          <t>https://search1.kakaocdn.net/thumb/R120x174.q85/?fname=http%3A%2F%2Ft1.daumcdn.net%2Flbook%2Fimage%2F6292841%3Ftimestamp%3D20260305151322</t>
        </is>
      </c>
    </row>
    <row r="86" ht="16.5" customHeight="1" s="118">
      <c r="A86" s="9" t="n"/>
      <c r="B86" s="10" t="inlineStr">
        <is>
          <t>스토너</t>
        </is>
      </c>
      <c r="C86" s="11" t="inlineStr">
        <is>
          <t>존 윌리엄스</t>
        </is>
      </c>
      <c r="D86" s="11" t="inlineStr">
        <is>
          <t>알에이치코리아</t>
        </is>
      </c>
      <c r="E86" s="12">
        <f>_xludf.IFS(COUNTIF(보류목록!$B$3:$B$1000, B86)&gt;0, "-",COUNTIF(독서목록!$C$2:$C$1099, B86)=0, , COUNTIF(독서목록!$C$2:$C$1099, B86)&gt;0, COUNTIF(독서목록!$C$2:$C$1099, B86))</f>
        <v/>
      </c>
      <c r="F86" s="12">
        <f>_xludf.IFS(COUNTIF(보류목록!$C$3:$C$1000, B86)&gt;0, "-",COUNTIF(독서목록!$D$2:$D$1099, B86)=0, , COUNTIF(독서목록!$D$2:$D$1099, B86)&gt;0, COUNTIF(독서목록!$D$2:$D$1099, B86))</f>
        <v/>
      </c>
      <c r="G86" s="13" t="inlineStr">
        <is>
          <t>2023.11.09</t>
        </is>
      </c>
      <c r="H86" s="14" t="inlineStr">
        <is>
          <t>기부</t>
        </is>
      </c>
      <c r="I86" s="14" t="n">
        <v>25.12</v>
      </c>
      <c r="J86" s="16" t="inlineStr">
        <is>
          <t>8925554992 9788925554990</t>
        </is>
      </c>
      <c r="K86" s="17" t="inlineStr">
        <is>
          <t>https://search1.kakaocdn.net/thumb/R120x174.q85/?fname=http%3A%2F%2Ft1.daumcdn.net%2Flbook%2Fimage%2F415420%3Ftimestamp%3D20250812110242</t>
        </is>
      </c>
    </row>
    <row r="87" ht="16.5" customHeight="1" s="118">
      <c r="A87" s="9" t="n"/>
      <c r="B87" s="10" t="inlineStr">
        <is>
          <t>침묵의 봄</t>
        </is>
      </c>
      <c r="C87" s="11" t="inlineStr">
        <is>
          <t>레이첼 카슨</t>
        </is>
      </c>
      <c r="D87" s="11" t="inlineStr">
        <is>
          <t>에코리브르</t>
        </is>
      </c>
      <c r="E87" s="12">
        <f>_xludf.IFS(COUNTIF(보류목록!$B$3:$B$1000, B87)&gt;0, "-",COUNTIF(독서목록!$C$2:$C$1099, B87)=0, , COUNTIF(독서목록!$C$2:$C$1099, B87)&gt;0, COUNTIF(독서목록!$C$2:$C$1099, B87))</f>
        <v/>
      </c>
      <c r="F87" s="12">
        <f>_xludf.IFS(COUNTIF(보류목록!$C$3:$C$1000, B87)&gt;0, "-",COUNTIF(독서목록!$D$2:$D$1099, B87)=0, , COUNTIF(독서목록!$D$2:$D$1099, B87)&gt;0, COUNTIF(독서목록!$D$2:$D$1099, B87))</f>
        <v/>
      </c>
      <c r="G87" s="13" t="inlineStr">
        <is>
          <t>2023.11.09</t>
        </is>
      </c>
      <c r="H87" s="14" t="inlineStr">
        <is>
          <t>기부</t>
        </is>
      </c>
      <c r="I87" s="14" t="n">
        <v>25.12</v>
      </c>
      <c r="J87" s="16" t="inlineStr">
        <is>
          <t>8962630613 9788962630619</t>
        </is>
      </c>
      <c r="K87" s="17" t="inlineStr">
        <is>
          <t>https://search1.kakaocdn.net/thumb/R120x174.q85/?fname=http%3A%2F%2Ft1.daumcdn.net%2Flbook%2Fimage%2F873075%3Ftimestamp%3D20240426113049</t>
        </is>
      </c>
    </row>
    <row r="88" ht="16.5" customHeight="1" s="118">
      <c r="A88" s="9" t="n"/>
      <c r="B88" s="10" t="inlineStr">
        <is>
          <t>생각하지 않는 사람들</t>
        </is>
      </c>
      <c r="C88" s="11" t="inlineStr">
        <is>
          <t>니콜라스 카</t>
        </is>
      </c>
      <c r="D88" s="11" t="inlineStr">
        <is>
          <t>청림출판</t>
        </is>
      </c>
      <c r="E88" s="12">
        <f>_xludf.IFS(COUNTIF(보류목록!$B$3:$B$1000, B88)&gt;0, "-",COUNTIF(독서목록!$C$2:$C$1099, B88)=0, , COUNTIF(독서목록!$C$2:$C$1099, B88)&gt;0, COUNTIF(독서목록!$C$2:$C$1099, B88))</f>
        <v/>
      </c>
      <c r="F88" s="12">
        <f>_xludf.IFS(COUNTIF(보류목록!$C$3:$C$1000, B88)&gt;0, "-",COUNTIF(독서목록!$D$2:$D$1099, B88)=0, , COUNTIF(독서목록!$D$2:$D$1099, B88)&gt;0, COUNTIF(독서목록!$D$2:$D$1099, B88))</f>
        <v/>
      </c>
      <c r="G88" s="13" t="inlineStr">
        <is>
          <t>2023.10.05</t>
        </is>
      </c>
      <c r="H88" s="14" t="n"/>
      <c r="I88" s="14" t="n"/>
      <c r="J88" s="16" t="inlineStr">
        <is>
          <t>8935213268 9788935213269</t>
        </is>
      </c>
      <c r="K88" s="17" t="inlineStr">
        <is>
          <t>https://search1.kakaocdn.net/thumb/R120x174.q85/?fname=http%3A%2F%2Ft1.daumcdn.net%2Flbook%2Fimage%2F5477394%3Ftimestamp%3D20251111143405</t>
        </is>
      </c>
    </row>
    <row r="89" ht="16.5" customHeight="1" s="118">
      <c r="A89" s="9" t="n"/>
      <c r="B89" s="10" t="inlineStr">
        <is>
          <t>남한산성</t>
        </is>
      </c>
      <c r="C89" s="11" t="inlineStr">
        <is>
          <t>김훈</t>
        </is>
      </c>
      <c r="D89" s="11" t="inlineStr">
        <is>
          <t>학고재</t>
        </is>
      </c>
      <c r="E89" s="12">
        <f>_xludf.IFS(COUNTIF(보류목록!$B$3:$B$1000, B89)&gt;0, "-",COUNTIF(독서목록!$C$2:$C$1099, B89)=0, , COUNTIF(독서목록!$C$2:$C$1099, B89)&gt;0, COUNTIF(독서목록!$C$2:$C$1099, B89))</f>
        <v/>
      </c>
      <c r="F89" s="12">
        <f>_xludf.IFS(COUNTIF(보류목록!$C$3:$C$1000, B89)&gt;0, "-",COUNTIF(독서목록!$D$2:$D$1099, B89)=0, , COUNTIF(독서목록!$D$2:$D$1099, B89)&gt;0, COUNTIF(독서목록!$D$2:$D$1099, B89))</f>
        <v/>
      </c>
      <c r="G89" s="13" t="inlineStr">
        <is>
          <t>2023.10.05</t>
        </is>
      </c>
      <c r="H89" s="14" t="n"/>
      <c r="I89" s="14" t="n"/>
      <c r="J89" s="16" t="inlineStr">
        <is>
          <t>8956253536 9788956253534</t>
        </is>
      </c>
      <c r="K89" s="17" t="inlineStr">
        <is>
          <t>https://search1.kakaocdn.net/thumb/R120x174.q85/?fname=http%3A%2F%2Ft1.daumcdn.net%2Flbook%2Fimage%2F728386%3Ftimestamp%3D20260310110945</t>
        </is>
      </c>
    </row>
    <row r="90" ht="16.5" customHeight="1" s="118">
      <c r="A90" s="9" t="n"/>
      <c r="B90" s="10" t="inlineStr">
        <is>
          <t>가짜 노동</t>
        </is>
      </c>
      <c r="C90" s="11" t="inlineStr">
        <is>
          <t>데니스 뇌르마르크, 아네르스 포그 옌센</t>
        </is>
      </c>
      <c r="D90" s="11" t="inlineStr">
        <is>
          <t>자음과모음</t>
        </is>
      </c>
      <c r="E90" s="12">
        <f>_xludf.IFS(COUNTIF(보류목록!$B$3:$B$1000, B90)&gt;0, "-",COUNTIF(독서목록!$C$2:$C$1099, B90)=0, , COUNTIF(독서목록!$C$2:$C$1099, B90)&gt;0, COUNTIF(독서목록!$C$2:$C$1099, B90))</f>
        <v/>
      </c>
      <c r="F90" s="12">
        <f>_xludf.IFS(COUNTIF(보류목록!$C$3:$C$1000, B90)&gt;0, "-",COUNTIF(독서목록!$D$2:$D$1099, B90)=0, , COUNTIF(독서목록!$D$2:$D$1099, B90)&gt;0, COUNTIF(독서목록!$D$2:$D$1099, B90))</f>
        <v/>
      </c>
      <c r="G90" s="13" t="inlineStr">
        <is>
          <t>2023.09.15</t>
        </is>
      </c>
      <c r="H90" s="14" t="n"/>
      <c r="I90" s="14" t="n"/>
      <c r="J90" s="16" t="inlineStr">
        <is>
          <t>8954450091 9788954450096</t>
        </is>
      </c>
      <c r="K90" s="19" t="inlineStr">
        <is>
          <t>https://search1.kakaocdn.net/thumb/R120x174.q85/?fname=http%3A%2F%2Ft1.daumcdn.net%2Flbook%2Fimage%2F6579587%3Ftimestamp%3D20240821193735</t>
        </is>
      </c>
    </row>
    <row r="91" ht="16.5" customHeight="1" s="118">
      <c r="A91" s="9" t="n"/>
      <c r="B91" s="10" t="inlineStr">
        <is>
          <t>좋은 기업을 넘어 위대한 기업으로</t>
        </is>
      </c>
      <c r="C91" s="11" t="inlineStr">
        <is>
          <t>짐 콜린스</t>
        </is>
      </c>
      <c r="D91" s="11" t="inlineStr">
        <is>
          <t>김영사</t>
        </is>
      </c>
      <c r="E91" s="12">
        <f>_xludf.IFS(COUNTIF(보류목록!$B$3:$B$1000, B91)&gt;0, "-",COUNTIF(독서목록!$C$2:$C$1099, B91)=0, , COUNTIF(독서목록!$C$2:$C$1099, B91)&gt;0, COUNTIF(독서목록!$C$2:$C$1099, B91))</f>
        <v/>
      </c>
      <c r="F91" s="12">
        <f>_xludf.IFS(COUNTIF(보류목록!$C$3:$C$1000, B91)&gt;0, "-",COUNTIF(독서목록!$D$2:$D$1099, B91)=0, , COUNTIF(독서목록!$D$2:$D$1099, B91)&gt;0, COUNTIF(독서목록!$D$2:$D$1099, B91))</f>
        <v/>
      </c>
      <c r="G91" s="13" t="inlineStr">
        <is>
          <t>2023.08.22</t>
        </is>
      </c>
      <c r="H91" s="14" t="n"/>
      <c r="I91" s="14" t="n"/>
      <c r="J91" s="16" t="inlineStr">
        <is>
          <t>8934989793 9788934989790</t>
        </is>
      </c>
      <c r="K91" s="17" t="inlineStr">
        <is>
          <t>https://search1.kakaocdn.net/thumb/R120x174.q85/?fname=http%3A%2F%2Ft1.daumcdn.net%2Flbook%2Fimage%2F5627028%3Ftimestamp%3D20260411120302</t>
        </is>
      </c>
    </row>
    <row r="92" ht="16.5" customHeight="1" s="118">
      <c r="A92" s="9" t="n"/>
      <c r="B92" s="10" t="inlineStr">
        <is>
          <t>도시와 그 불확실한 벽</t>
        </is>
      </c>
      <c r="C92" s="11" t="inlineStr">
        <is>
          <t>무라카미 하루키</t>
        </is>
      </c>
      <c r="D92" s="11" t="inlineStr">
        <is>
          <t>문학동네</t>
        </is>
      </c>
      <c r="E92" s="12">
        <f>_xludf.IFS(COUNTIF(보류목록!$B$3:$B$1000, B92)&gt;0, "-",COUNTIF(독서목록!$C$2:$C$1099, B92)=0, , COUNTIF(독서목록!$C$2:$C$1099, B92)&gt;0, COUNTIF(독서목록!$C$2:$C$1099, B92))</f>
        <v/>
      </c>
      <c r="F92" s="12">
        <f>_xludf.IFS(COUNTIF(보류목록!$C$3:$C$1000, B92)&gt;0, "-",COUNTIF(독서목록!$D$2:$D$1099, B92)=0, , COUNTIF(독서목록!$D$2:$D$1099, B92)&gt;0, COUNTIF(독서목록!$D$2:$D$1099, B92))</f>
        <v/>
      </c>
      <c r="G92" s="13" t="inlineStr">
        <is>
          <t>2023.08.22</t>
        </is>
      </c>
      <c r="H92" s="14" t="inlineStr">
        <is>
          <t>기부</t>
        </is>
      </c>
      <c r="I92" s="14" t="n">
        <v>25.12</v>
      </c>
      <c r="J92" s="16" t="inlineStr">
        <is>
          <t>8954699073 9788954699075</t>
        </is>
      </c>
      <c r="K92" s="17" t="inlineStr">
        <is>
          <t>https://search1.kakaocdn.net/thumb/R120x174.q85/?fname=http%3A%2F%2Ft1.daumcdn.net%2Flbook%2Fimage%2F6425899%3Ftimestamp%3D20260326131318</t>
        </is>
      </c>
    </row>
    <row r="93" ht="16.5" customHeight="1" s="118">
      <c r="A93" s="9" t="n"/>
      <c r="B93" s="10" t="inlineStr">
        <is>
          <t>페드로 파라모</t>
        </is>
      </c>
      <c r="C93" s="11" t="inlineStr">
        <is>
          <t>후안 룰포</t>
        </is>
      </c>
      <c r="D93" s="11" t="inlineStr">
        <is>
          <t>민음사</t>
        </is>
      </c>
      <c r="E93" s="12">
        <f>_xludf.IFS(COUNTIF(보류목록!$B$3:$B$1000, B93)&gt;0, "-",COUNTIF(독서목록!$C$2:$C$1099, B93)=0, , COUNTIF(독서목록!$C$2:$C$1099, B93)&gt;0, COUNTIF(독서목록!$C$2:$C$1099, B93))</f>
        <v/>
      </c>
      <c r="F93" s="12">
        <f>_xludf.IFS(COUNTIF(보류목록!$C$3:$C$1000, B93)&gt;0, "-",COUNTIF(독서목록!$D$2:$D$1099, B93)=0, , COUNTIF(독서목록!$D$2:$D$1099, B93)&gt;0, COUNTIF(독서목록!$D$2:$D$1099, B93))</f>
        <v/>
      </c>
      <c r="G93" s="13" t="inlineStr">
        <is>
          <t>2023.08.22</t>
        </is>
      </c>
      <c r="H93" s="14" t="n"/>
      <c r="I93" s="14" t="n"/>
      <c r="J93" s="16" t="inlineStr">
        <is>
          <t>8937460939 9788937460937</t>
        </is>
      </c>
      <c r="K93" s="19" t="inlineStr">
        <is>
          <t>https://search1.kakaocdn.net/thumb/R120x174.q85/?fname=http%3A%2F%2Ft1.daumcdn.net%2Flbook%2Fimage%2F540859%3Ftimestamp%3D20251217110853</t>
        </is>
      </c>
    </row>
    <row r="94" ht="16.5" customHeight="1" s="118">
      <c r="A94" s="9" t="n"/>
      <c r="B94" s="10" t="inlineStr">
        <is>
          <t>블랙스완</t>
        </is>
      </c>
      <c r="C94" s="11" t="inlineStr">
        <is>
          <t>나심 니콜라스 탈레브</t>
        </is>
      </c>
      <c r="D94" s="11" t="inlineStr">
        <is>
          <t>동녘사이언스</t>
        </is>
      </c>
      <c r="E94" s="12">
        <f>_xludf.IFS(COUNTIF(보류목록!$B$3:$B$1000, B94)&gt;0, "-",COUNTIF(독서목록!$C$2:$C$1099, B94)=0, , COUNTIF(독서목록!$C$2:$C$1099, B94)&gt;0, COUNTIF(독서목록!$C$2:$C$1099, B94))</f>
        <v/>
      </c>
      <c r="F94" s="12">
        <f>_xludf.IFS(COUNTIF(보류목록!$C$3:$C$1000, B94)&gt;0, "-",COUNTIF(독서목록!$D$2:$D$1099, B94)=0, , COUNTIF(독서목록!$D$2:$D$1099, B94)&gt;0, COUNTIF(독서목록!$D$2:$D$1099, B94))</f>
        <v/>
      </c>
      <c r="G94" s="13" t="inlineStr">
        <is>
          <t>2023.08.22</t>
        </is>
      </c>
      <c r="H94" s="14" t="n"/>
      <c r="I94" s="14" t="n"/>
      <c r="J94" s="16" t="inlineStr">
        <is>
          <t>8990247675 9788990247674</t>
        </is>
      </c>
      <c r="K94" s="17" t="inlineStr">
        <is>
          <t>https://search1.kakaocdn.net/thumb/R120x174.q85/?fname=http%3A%2F%2Ft1.daumcdn.net%2Flbook%2Fimage%2F1315879%3Ftimestamp%3D20241107114216</t>
        </is>
      </c>
    </row>
    <row r="95" ht="16.5" customHeight="1" s="118">
      <c r="A95" s="9" t="n"/>
      <c r="B95" s="10" t="inlineStr">
        <is>
          <t>도둑맞은 집중력</t>
        </is>
      </c>
      <c r="C95" s="11" t="inlineStr">
        <is>
          <t>요한 하리</t>
        </is>
      </c>
      <c r="D95" s="11" t="inlineStr">
        <is>
          <t>어크로스</t>
        </is>
      </c>
      <c r="E95" s="12">
        <f>_xludf.IFS(COUNTIF(보류목록!$B$3:$B$1000, B95)&gt;0, "-",COUNTIF(독서목록!$C$2:$C$1099, B95)=0, , COUNTIF(독서목록!$C$2:$C$1099, B95)&gt;0, COUNTIF(독서목록!$C$2:$C$1099, B95))</f>
        <v/>
      </c>
      <c r="F95" s="12">
        <f>_xludf.IFS(COUNTIF(보류목록!$C$3:$C$1000, B95)&gt;0, "-",COUNTIF(독서목록!$D$2:$D$1099, B95)=0, , COUNTIF(독서목록!$D$2:$D$1099, B95)&gt;0, COUNTIF(독서목록!$D$2:$D$1099, B95))</f>
        <v/>
      </c>
      <c r="G95" s="13" t="inlineStr">
        <is>
          <t>2023.07.18</t>
        </is>
      </c>
      <c r="H95" s="14" t="n"/>
      <c r="I95" s="14" t="n"/>
      <c r="J95" s="16" t="inlineStr">
        <is>
          <t>116774098X 9791167740984</t>
        </is>
      </c>
      <c r="K95" s="17" t="inlineStr">
        <is>
          <t>https://search1.kakaocdn.net/thumb/R120x174.q85/?fname=http%3A%2F%2Ft1.daumcdn.net%2Flbook%2Fimage%2F6336810%3Ftimestamp%3D20260108151957</t>
        </is>
      </c>
    </row>
    <row r="96" ht="16.5" customHeight="1" s="118">
      <c r="A96" s="9" t="n"/>
      <c r="B96" s="10" t="inlineStr">
        <is>
          <t>못 말리게 시끄럽고, 참을 수 없이 웃긴 철학책</t>
        </is>
      </c>
      <c r="C96" s="11" t="inlineStr">
        <is>
          <t>스콧 허쇼비츠</t>
        </is>
      </c>
      <c r="D96" s="11" t="inlineStr">
        <is>
          <t>어크로스</t>
        </is>
      </c>
      <c r="E96" s="12">
        <f>_xludf.IFS(COUNTIF(보류목록!$B$3:$B$1000, B96)&gt;0, "-",COUNTIF(독서목록!$C$2:$C$1099, B96)=0, , COUNTIF(독서목록!$C$2:$C$1099, B96)&gt;0, COUNTIF(독서목록!$C$2:$C$1099, B96))</f>
        <v/>
      </c>
      <c r="F96" s="12">
        <f>_xludf.IFS(COUNTIF(보류목록!$C$3:$C$1000, B96)&gt;0, "-",COUNTIF(독서목록!$D$2:$D$1099, B96)=0, , COUNTIF(독서목록!$D$2:$D$1099, B96)&gt;0, COUNTIF(독서목록!$D$2:$D$1099, B96))</f>
        <v/>
      </c>
      <c r="G96" s="13" t="inlineStr">
        <is>
          <t>2023.07.18</t>
        </is>
      </c>
      <c r="H96" s="14" t="inlineStr">
        <is>
          <t>기부</t>
        </is>
      </c>
      <c r="I96" s="14" t="n">
        <v>25.12</v>
      </c>
      <c r="J96" s="16" t="inlineStr">
        <is>
          <t>1167741048 9791167741042</t>
        </is>
      </c>
      <c r="K96" s="19" t="inlineStr">
        <is>
          <t>https://search1.kakaocdn.net/thumb/R120x174.q85/?fname=http%3A%2F%2Ft1.daumcdn.net%2Flbook%2Fimage%2F6359781%3Ftimestamp%3D20250328155502</t>
        </is>
      </c>
    </row>
    <row r="97" ht="16.5" customHeight="1" s="118">
      <c r="A97" s="9" t="n"/>
      <c r="B97" s="10" t="inlineStr">
        <is>
          <t>드라이브</t>
        </is>
      </c>
      <c r="C97" s="11" t="inlineStr">
        <is>
          <t>다니엘 핑크</t>
        </is>
      </c>
      <c r="D97" s="11" t="inlineStr">
        <is>
          <t>청림출판</t>
        </is>
      </c>
      <c r="E97" s="12">
        <f>_xludf.IFS(COUNTIF(보류목록!$B$3:$B$1000, B97)&gt;0, "-",COUNTIF(독서목록!$C$2:$C$1099, B97)=0, , COUNTIF(독서목록!$C$2:$C$1099, B97)&gt;0, COUNTIF(독서목록!$C$2:$C$1099, B97))</f>
        <v/>
      </c>
      <c r="F97" s="12">
        <f>_xludf.IFS(COUNTIF(보류목록!$C$3:$C$1000, B97)&gt;0, "-",COUNTIF(독서목록!$D$2:$D$1099, B97)=0, , COUNTIF(독서목록!$D$2:$D$1099, B97)&gt;0, COUNTIF(독서목록!$D$2:$D$1099, B97))</f>
        <v/>
      </c>
      <c r="G97" s="13" t="inlineStr">
        <is>
          <t>2023.07.18</t>
        </is>
      </c>
      <c r="H97" s="14" t="n"/>
      <c r="I97" s="14" t="n"/>
      <c r="J97" s="16" t="inlineStr">
        <is>
          <t>8935208957 9788935208951</t>
        </is>
      </c>
      <c r="K97" s="17" t="inlineStr">
        <is>
          <t>https://search1.kakaocdn.net/thumb/R120x174.q85/?fname=http%3A%2F%2Ft1.daumcdn.net%2Flbook%2Fimage%2F523209%3Ftimestamp%3D20250918110329</t>
        </is>
      </c>
    </row>
    <row r="98" ht="16.5" customHeight="1" s="118">
      <c r="A98" s="9" t="n"/>
      <c r="B98" s="10" t="inlineStr">
        <is>
          <t>문과 남자의 과학 공부</t>
        </is>
      </c>
      <c r="C98" s="11" t="inlineStr">
        <is>
          <t>유시민</t>
        </is>
      </c>
      <c r="D98" s="11" t="inlineStr">
        <is>
          <t>돌베개</t>
        </is>
      </c>
      <c r="E98" s="12">
        <f>_xludf.IFS(COUNTIF(보류목록!$B$3:$B$1000, B98)&gt;0, "-",COUNTIF(독서목록!$C$2:$C$1099, B98)=0, , COUNTIF(독서목록!$C$2:$C$1099, B98)&gt;0, COUNTIF(독서목록!$C$2:$C$1099, B98))</f>
        <v/>
      </c>
      <c r="F98" s="12">
        <f>_xludf.IFS(COUNTIF(보류목록!$C$3:$C$1000, B98)&gt;0, "-",COUNTIF(독서목록!$D$2:$D$1099, B98)=0, , COUNTIF(독서목록!$D$2:$D$1099, B98)&gt;0, COUNTIF(독서목록!$D$2:$D$1099, B98))</f>
        <v/>
      </c>
      <c r="G98" s="13" t="inlineStr">
        <is>
          <t>2023.06.14</t>
        </is>
      </c>
      <c r="H98" s="14" t="n"/>
      <c r="I98" s="14" t="n"/>
      <c r="J98" s="16" t="inlineStr">
        <is>
          <t>1192836189 9791192836188</t>
        </is>
      </c>
      <c r="K98" s="17" t="inlineStr">
        <is>
          <t>https://search1.kakaocdn.net/thumb/R120x174.q85/?fname=http%3A%2F%2Ft1.daumcdn.net%2Flbook%2Fimage%2F6369770%3Ftimestamp%3D20240412160655</t>
        </is>
      </c>
    </row>
    <row r="99" ht="16.5" customHeight="1" s="118">
      <c r="A99" s="9" t="n"/>
      <c r="B99" s="10" t="inlineStr">
        <is>
          <t>청춘의 독서</t>
        </is>
      </c>
      <c r="C99" s="11" t="inlineStr">
        <is>
          <t>유시민</t>
        </is>
      </c>
      <c r="D99" s="11" t="inlineStr">
        <is>
          <t>융진지식하우스</t>
        </is>
      </c>
      <c r="E99" s="12">
        <f>_xludf.IFS(COUNTIF(보류목록!$B$3:$B$1000, B99)&gt;0, "-",COUNTIF(독서목록!$C$2:$C$1099, B99)=0, , COUNTIF(독서목록!$C$2:$C$1099, B99)&gt;0, COUNTIF(독서목록!$C$2:$C$1099, B99))</f>
        <v/>
      </c>
      <c r="F99" s="12">
        <f>_xludf.IFS(COUNTIF(보류목록!$C$3:$C$1000, B99)&gt;0, "-",COUNTIF(독서목록!$D$2:$D$1099, B99)=0, , COUNTIF(독서목록!$D$2:$D$1099, B99)&gt;0, COUNTIF(독서목록!$D$2:$D$1099, B99))</f>
        <v/>
      </c>
      <c r="G99" s="13" t="inlineStr">
        <is>
          <t>2023.06.14</t>
        </is>
      </c>
      <c r="H99" s="14" t="n"/>
      <c r="I99" s="14" t="n"/>
      <c r="J99" s="16" t="inlineStr">
        <is>
          <t>8901101564 9788901101569</t>
        </is>
      </c>
      <c r="K99" s="19" t="inlineStr">
        <is>
          <t>https://search1.kakaocdn.net/thumb/R120x174.q85/?fname=http%3A%2F%2Ft1.daumcdn.net%2Flbook%2Fimage%2F348100%3Ftimestamp%3D20220803203450</t>
        </is>
      </c>
    </row>
    <row r="100" ht="16.5" customHeight="1" s="118">
      <c r="A100" s="9" t="n"/>
      <c r="B100" s="10" t="inlineStr">
        <is>
          <t>표현의 기술</t>
        </is>
      </c>
      <c r="C100" s="11" t="inlineStr">
        <is>
          <t>유시민</t>
        </is>
      </c>
      <c r="D100" s="11" t="inlineStr">
        <is>
          <t>생각의 길</t>
        </is>
      </c>
      <c r="E100" s="12">
        <f>_xludf.IFS(COUNTIF(보류목록!$B$3:$B$1000, B100)&gt;0, "-",COUNTIF(독서목록!$C$2:$C$1099, B100)=0, , COUNTIF(독서목록!$C$2:$C$1099, B100)&gt;0, COUNTIF(독서목록!$C$2:$C$1099, B100))</f>
        <v/>
      </c>
      <c r="F100" s="12">
        <f>_xludf.IFS(COUNTIF(보류목록!$C$3:$C$1000, B100)&gt;0, "-",COUNTIF(독서목록!$D$2:$D$1099, B100)=0, , COUNTIF(독서목록!$D$2:$D$1099, B100)&gt;0, COUNTIF(독서목록!$D$2:$D$1099, B100))</f>
        <v/>
      </c>
      <c r="G100" s="13" t="inlineStr">
        <is>
          <t>2023.06.14</t>
        </is>
      </c>
      <c r="H100" s="14" t="n"/>
      <c r="I100" s="14" t="n"/>
      <c r="J100" s="16" t="inlineStr">
        <is>
          <t>8965133750 9788965133759</t>
        </is>
      </c>
      <c r="K100" s="17" t="inlineStr">
        <is>
          <t>https://search1.kakaocdn.net/thumb/R120x174.q85/?fname=http%3A%2F%2Ft1.daumcdn.net%2Flbook%2Fimage%2F908991%3Ftimestamp%3D20250521180954</t>
        </is>
      </c>
    </row>
    <row r="101" ht="16.5" customHeight="1" s="118">
      <c r="A101" s="9" t="n"/>
      <c r="B101" s="10" t="inlineStr">
        <is>
          <t>열 번 잘해도 한 번 실수로 무너지는 게 관계다</t>
        </is>
      </c>
      <c r="C101" s="11" t="inlineStr">
        <is>
          <t>김다슬</t>
        </is>
      </c>
      <c r="D101" s="11" t="inlineStr">
        <is>
          <t>클라우디아</t>
        </is>
      </c>
      <c r="E101" s="12">
        <f>_xludf.IFS(COUNTIF(보류목록!$B$3:$B$1000, B101)&gt;0, "-",COUNTIF(독서목록!$C$2:$C$1099, B101)=0, , COUNTIF(독서목록!$C$2:$C$1099, B101)&gt;0, COUNTIF(독서목록!$C$2:$C$1099, B101))</f>
        <v/>
      </c>
      <c r="F101" s="12">
        <f>_xludf.IFS(COUNTIF(보류목록!$C$3:$C$1000, B101)&gt;0, "-",COUNTIF(독서목록!$D$2:$D$1099, B101)=0, , COUNTIF(독서목록!$D$2:$D$1099, B101)&gt;0, COUNTIF(독서목록!$D$2:$D$1099, B101))</f>
        <v/>
      </c>
      <c r="G101" s="13" t="inlineStr">
        <is>
          <t>2023.05.20</t>
        </is>
      </c>
      <c r="H101" s="14" t="n"/>
      <c r="I101" s="14" t="n"/>
      <c r="J101" s="16" t="inlineStr">
        <is>
          <t>1196617147 9791196617141</t>
        </is>
      </c>
      <c r="K101" s="17" t="inlineStr">
        <is>
          <t>https://search1.kakaocdn.net/thumb/R120x174.q85/?fname=http%3A%2F%2Ft1.daumcdn.net%2Flbook%2Fimage%2F6258101%3Ftimestamp%3D20250521220828</t>
        </is>
      </c>
    </row>
    <row r="102" ht="16.5" customHeight="1" s="118">
      <c r="A102" s="9" t="n"/>
      <c r="B102" s="10" t="inlineStr">
        <is>
          <t>불행 피하기 기술</t>
        </is>
      </c>
      <c r="C102" s="11" t="inlineStr">
        <is>
          <t>롤프 도벨리</t>
        </is>
      </c>
      <c r="D102" s="11" t="inlineStr">
        <is>
          <t>인플루엔셜</t>
        </is>
      </c>
      <c r="E102" s="12">
        <f>_xludf.IFS(COUNTIF(보류목록!$B$3:$B$1000, B102)&gt;0, "-",COUNTIF(독서목록!$C$2:$C$1099, B102)=0, , COUNTIF(독서목록!$C$2:$C$1099, B102)&gt;0, COUNTIF(독서목록!$C$2:$C$1099, B102))</f>
        <v/>
      </c>
      <c r="F102" s="12">
        <f>_xludf.IFS(COUNTIF(보류목록!$C$3:$C$1000, B102)&gt;0, "-",COUNTIF(독서목록!$D$2:$D$1099, B102)=0, , COUNTIF(독서목록!$D$2:$D$1099, B102)&gt;0, COUNTIF(독서목록!$D$2:$D$1099, B102))</f>
        <v/>
      </c>
      <c r="G102" s="13" t="inlineStr">
        <is>
          <t>2023.05.20</t>
        </is>
      </c>
      <c r="H102" s="14" t="inlineStr">
        <is>
          <t>기부</t>
        </is>
      </c>
      <c r="I102" s="14" t="inlineStr">
        <is>
          <t>기부</t>
        </is>
      </c>
      <c r="J102" s="16" t="inlineStr">
        <is>
          <t>1186560614 9791186560617</t>
        </is>
      </c>
      <c r="K102" s="17" t="inlineStr">
        <is>
          <t>https://search1.kakaocdn.net/thumb/R120x174.q85/?fname=http%3A%2F%2Ft1.daumcdn.net%2Flbook%2Fimage%2F1633952%3Ftimestamp%3D20221011190119</t>
        </is>
      </c>
    </row>
    <row r="103" ht="16.5" customHeight="1" s="118">
      <c r="A103" s="9" t="n"/>
      <c r="B103" s="10" t="inlineStr">
        <is>
          <t>하이아웃풋 매니지먼트</t>
        </is>
      </c>
      <c r="C103" s="11" t="inlineStr">
        <is>
          <t>앤드루 S. 그로브</t>
        </is>
      </c>
      <c r="D103" s="11" t="inlineStr">
        <is>
          <t>청림출판</t>
        </is>
      </c>
      <c r="E103" s="12">
        <f>_xludf.IFS(COUNTIF(보류목록!$B$3:$B$1000, B103)&gt;0, "-",COUNTIF(독서목록!$C$2:$C$1099, B103)=0, , COUNTIF(독서목록!$C$2:$C$1099, B103)&gt;0, COUNTIF(독서목록!$C$2:$C$1099, B103))</f>
        <v/>
      </c>
      <c r="F103" s="12">
        <f>_xludf.IFS(COUNTIF(보류목록!$C$3:$C$1000, B103)&gt;0, "-",COUNTIF(독서목록!$D$2:$D$1099, B103)=0, , COUNTIF(독서목록!$D$2:$D$1099, B103)&gt;0, COUNTIF(독서목록!$D$2:$D$1099, B103))</f>
        <v/>
      </c>
      <c r="G103" s="13" t="inlineStr">
        <is>
          <t>2023.03.10</t>
        </is>
      </c>
      <c r="H103" s="14" t="n"/>
      <c r="I103" s="14" t="n"/>
      <c r="J103" s="16" t="inlineStr">
        <is>
          <t>8935212180 9788935212187</t>
        </is>
      </c>
      <c r="K103" s="19" t="inlineStr">
        <is>
          <t>https://search1.kakaocdn.net/thumb/R120x174.q85/?fname=http%3A%2F%2Ft1.daumcdn.net%2Flbook%2Fimage%2F523470%3Ftimestamp%3D20240405114200</t>
        </is>
      </c>
    </row>
    <row r="104" ht="16.5" customHeight="1" s="118">
      <c r="A104" s="9" t="n"/>
      <c r="B104" s="10" t="inlineStr">
        <is>
          <t>최강의 조직</t>
        </is>
      </c>
      <c r="C104" s="11" t="inlineStr">
        <is>
          <t>벤 호로위츠</t>
        </is>
      </c>
      <c r="D104" s="11" t="inlineStr">
        <is>
          <t>한국경제신문</t>
        </is>
      </c>
      <c r="E104" s="12">
        <f>_xludf.IFS(COUNTIF(보류목록!$B$3:$B$1000, B104)&gt;0, "-",COUNTIF(독서목록!$C$2:$C$1099, B104)=0, , COUNTIF(독서목록!$C$2:$C$1099, B104)&gt;0, COUNTIF(독서목록!$C$2:$C$1099, B104))</f>
        <v/>
      </c>
      <c r="F104" s="12">
        <f>_xludf.IFS(COUNTIF(보류목록!$C$3:$C$1000, B104)&gt;0, "-",COUNTIF(독서목록!$D$2:$D$1099, B104)=0, , COUNTIF(독서목록!$D$2:$D$1099, B104)&gt;0, COUNTIF(독서목록!$D$2:$D$1099, B104))</f>
        <v/>
      </c>
      <c r="G104" s="13" t="inlineStr">
        <is>
          <t>2023.03.10</t>
        </is>
      </c>
      <c r="H104" s="14" t="n"/>
      <c r="I104" s="14" t="n"/>
      <c r="J104" s="16" t="inlineStr">
        <is>
          <t>8947547166 9788947547161</t>
        </is>
      </c>
      <c r="K104" s="17" t="inlineStr">
        <is>
          <t>https://search1.kakaocdn.net/thumb/R120x174.q85/?fname=http%3A%2F%2Ft1.daumcdn.net%2Flbook%2Fimage%2F5647115%3Ftimestamp%3D20260115142917</t>
        </is>
      </c>
    </row>
    <row r="105" ht="16.5" customHeight="1" s="118">
      <c r="A105" s="9" t="n"/>
      <c r="B105" s="10" t="inlineStr">
        <is>
          <t>언러키 스타트업</t>
        </is>
      </c>
      <c r="C105" s="11" t="inlineStr">
        <is>
          <t>정지음</t>
        </is>
      </c>
      <c r="D105" s="11" t="inlineStr">
        <is>
          <t>민음사</t>
        </is>
      </c>
      <c r="E105" s="12">
        <f>_xludf.IFS(COUNTIF(보류목록!$B$3:$B$1000, B105)&gt;0, "-",COUNTIF(독서목록!$C$2:$C$1099, B105)=0, , COUNTIF(독서목록!$C$2:$C$1099, B105)&gt;0, COUNTIF(독서목록!$C$2:$C$1099, B105))</f>
        <v/>
      </c>
      <c r="F105" s="12">
        <f>_xludf.IFS(COUNTIF(보류목록!$C$3:$C$1000, B105)&gt;0, "-",COUNTIF(독서목록!$D$2:$D$1099, B105)=0, , COUNTIF(독서목록!$D$2:$D$1099, B105)&gt;0, COUNTIF(독서목록!$D$2:$D$1099, B105))</f>
        <v/>
      </c>
      <c r="G105" s="13" t="inlineStr">
        <is>
          <t>2023.02.03</t>
        </is>
      </c>
      <c r="H105" s="14" t="inlineStr">
        <is>
          <t>기부</t>
        </is>
      </c>
      <c r="I105" s="14" t="inlineStr">
        <is>
          <t>기부</t>
        </is>
      </c>
      <c r="J105" s="16" t="inlineStr">
        <is>
          <t>8937427346 9788937427343</t>
        </is>
      </c>
      <c r="K105" s="17" t="inlineStr">
        <is>
          <t>https://search1.kakaocdn.net/thumb/R120x174.q85/?fname=http%3A%2F%2Ft1.daumcdn.net%2Flbook%2Fimage%2F6186059%3Ftimestamp%3D20251216151826</t>
        </is>
      </c>
    </row>
    <row r="106" ht="16.5" customHeight="1" s="118">
      <c r="A106" s="9" t="n"/>
      <c r="B106" s="10" t="inlineStr">
        <is>
          <t>하드씽</t>
        </is>
      </c>
      <c r="C106" s="11" t="inlineStr">
        <is>
          <t>벤 호로위츠</t>
        </is>
      </c>
      <c r="D106" s="11" t="inlineStr">
        <is>
          <t>한국경제신문</t>
        </is>
      </c>
      <c r="E106" s="12">
        <f>_xludf.IFS(COUNTIF(보류목록!$B$3:$B$1000, B106)&gt;0, "-",COUNTIF(독서목록!$C$2:$C$1099, B106)=0, , COUNTIF(독서목록!$C$2:$C$1099, B106)&gt;0, COUNTIF(독서목록!$C$2:$C$1099, B106))</f>
        <v/>
      </c>
      <c r="F106" s="12">
        <f>_xludf.IFS(COUNTIF(보류목록!$C$3:$C$1000, B106)&gt;0, "-",COUNTIF(독서목록!$D$2:$D$1099, B106)=0, , COUNTIF(독서목록!$D$2:$D$1099, B106)&gt;0, COUNTIF(독서목록!$D$2:$D$1099, B106))</f>
        <v/>
      </c>
      <c r="G106" s="13" t="inlineStr">
        <is>
          <t>2023.02.03</t>
        </is>
      </c>
      <c r="H106" s="14" t="n"/>
      <c r="I106" s="14" t="n"/>
      <c r="J106" s="16" t="inlineStr">
        <is>
          <t>8947547034 9788947547031</t>
        </is>
      </c>
      <c r="K106" s="17" t="inlineStr">
        <is>
          <t>https://search1.kakaocdn.net/thumb/R120x174.q85/?fname=http%3A%2F%2Ft1.daumcdn.net%2Flbook%2Fimage%2F5618514%3Ftimestamp%3D20251112144443</t>
        </is>
      </c>
    </row>
    <row r="107" ht="16.5" customHeight="1" s="118">
      <c r="A107" s="9" t="n"/>
      <c r="B107" s="10" t="inlineStr">
        <is>
          <t>제품의 탄생</t>
        </is>
      </c>
      <c r="C107" s="11" t="inlineStr">
        <is>
          <t>오이카와 다쿠야, 소네하라 하루키, 고시로 구미코</t>
        </is>
      </c>
      <c r="D107" s="11" t="inlineStr">
        <is>
          <t>책만</t>
        </is>
      </c>
      <c r="E107" s="12">
        <f>_xludf.IFS(COUNTIF(보류목록!$B$3:$B$1000, B107)&gt;0, "-",COUNTIF(독서목록!$C$2:$C$1099, B107)=0, , COUNTIF(독서목록!$C$2:$C$1099, B107)&gt;0, COUNTIF(독서목록!$C$2:$C$1099, B107))</f>
        <v/>
      </c>
      <c r="F107" s="12">
        <f>_xludf.IFS(COUNTIF(보류목록!$C$3:$C$1000, B107)&gt;0, "-",COUNTIF(독서목록!$D$2:$D$1099, B107)=0, , COUNTIF(독서목록!$D$2:$D$1099, B107)&gt;0, COUNTIF(독서목록!$D$2:$D$1099, B107))</f>
        <v/>
      </c>
      <c r="G107" s="13" t="inlineStr">
        <is>
          <t>2023.02.03</t>
        </is>
      </c>
      <c r="H107" s="14" t="n"/>
      <c r="I107" s="14" t="n"/>
      <c r="J107" s="16" t="inlineStr">
        <is>
          <t>1189909499 9791189909499</t>
        </is>
      </c>
      <c r="K107" s="19" t="inlineStr">
        <is>
          <t>https://search1.kakaocdn.net/thumb/R120x174.q85/?fname=http%3A%2F%2Ft1.daumcdn.net%2Flbook%2Fimage%2F6225570%3Ftimestamp%3D20251221133344</t>
        </is>
      </c>
    </row>
    <row r="108" ht="16.5" customHeight="1" s="118">
      <c r="A108" s="9" t="n"/>
      <c r="B108" s="10" t="inlineStr">
        <is>
          <t>새의 선물</t>
        </is>
      </c>
      <c r="C108" s="11" t="inlineStr">
        <is>
          <t>은희경</t>
        </is>
      </c>
      <c r="D108" s="11" t="inlineStr">
        <is>
          <t>문학동네</t>
        </is>
      </c>
      <c r="E108" s="12">
        <f>_xludf.IFS(COUNTIF(보류목록!$B$3:$B$1000, B108)&gt;0, "-",COUNTIF(독서목록!$C$2:$C$1099, B108)=0, , COUNTIF(독서목록!$C$2:$C$1099, B108)&gt;0, COUNTIF(독서목록!$C$2:$C$1099, B108))</f>
        <v/>
      </c>
      <c r="F108" s="12">
        <f>_xludf.IFS(COUNTIF(보류목록!$C$3:$C$1000, B108)&gt;0, "-",COUNTIF(독서목록!$D$2:$D$1099, B108)=0, , COUNTIF(독서목록!$D$2:$D$1099, B108)&gt;0, COUNTIF(독서목록!$D$2:$D$1099, B108))</f>
        <v/>
      </c>
      <c r="G108" s="13" t="inlineStr">
        <is>
          <t>2023.01.22</t>
        </is>
      </c>
      <c r="H108" s="14" t="n"/>
      <c r="I108" s="14" t="n"/>
      <c r="J108" s="16" t="inlineStr">
        <is>
          <t>8954687040 9788954687041</t>
        </is>
      </c>
      <c r="K108" s="17" t="inlineStr">
        <is>
          <t>https://search1.kakaocdn.net/thumb/R120x174.q85/?fname=http%3A%2F%2Ft1.daumcdn.net%2Flbook%2Fimage%2F6083998%3Ftimestamp%3D20260317122740</t>
        </is>
      </c>
    </row>
    <row r="109" ht="16.5" customHeight="1" s="118">
      <c r="A109" s="9" t="n"/>
      <c r="B109" s="10" t="inlineStr">
        <is>
          <t>바닷가 작업실에서는 전혀 다른 시간이 흐른다</t>
        </is>
      </c>
      <c r="C109" s="11" t="inlineStr">
        <is>
          <t>김정운</t>
        </is>
      </c>
      <c r="D109" s="11" t="inlineStr">
        <is>
          <t>21세기북스</t>
        </is>
      </c>
      <c r="E109" s="12">
        <f>_xludf.IFS(COUNTIF(보류목록!$B$3:$B$1000, B109)&gt;0, "-",COUNTIF(독서목록!$C$2:$C$1099, B109)=0, , COUNTIF(독서목록!$C$2:$C$1099, B109)&gt;0, COUNTIF(독서목록!$C$2:$C$1099, B109))</f>
        <v/>
      </c>
      <c r="F109" s="12">
        <f>_xludf.IFS(COUNTIF(보류목록!$C$3:$C$1000, B109)&gt;0, "-",COUNTIF(독서목록!$D$2:$D$1099, B109)=0, , COUNTIF(독서목록!$D$2:$D$1099, B109)&gt;0, COUNTIF(독서목록!$D$2:$D$1099, B109))</f>
        <v/>
      </c>
      <c r="G109" s="13" t="inlineStr">
        <is>
          <t>2023.01.22</t>
        </is>
      </c>
      <c r="H109" s="14" t="inlineStr">
        <is>
          <t>기부</t>
        </is>
      </c>
      <c r="I109" s="14" t="n">
        <v>25.12</v>
      </c>
      <c r="J109" s="16" t="inlineStr">
        <is>
          <t>8950981084 9788950981082</t>
        </is>
      </c>
      <c r="K109" s="17" t="inlineStr">
        <is>
          <t>https://search1.kakaocdn.net/thumb/R120x174.q85/?fname=http%3A%2F%2Ft1.daumcdn.net%2Flbook%2Fimage%2F4944866%3Ftimestamp%3D20250919121817</t>
        </is>
      </c>
    </row>
    <row r="110" ht="16.5" customHeight="1" s="118">
      <c r="A110" s="9" t="n"/>
      <c r="B110" s="10" t="inlineStr">
        <is>
          <t>방구석 미술관</t>
        </is>
      </c>
      <c r="C110" s="11" t="inlineStr">
        <is>
          <t>조원재</t>
        </is>
      </c>
      <c r="D110" s="11" t="inlineStr">
        <is>
          <t>블랙피쉬</t>
        </is>
      </c>
      <c r="E110" s="12">
        <f>_xludf.IFS(COUNTIF(보류목록!$B$3:$B$1000, B110)&gt;0, "-",COUNTIF(독서목록!$C$2:$C$1099, B110)=0, , COUNTIF(독서목록!$C$2:$C$1099, B110)&gt;0, COUNTIF(독서목록!$C$2:$C$1099, B110))</f>
        <v/>
      </c>
      <c r="F110" s="12">
        <f>_xludf.IFS(COUNTIF(보류목록!$C$3:$C$1000, B110)&gt;0, "-",COUNTIF(독서목록!$D$2:$D$1099, B110)=0, , COUNTIF(독서목록!$D$2:$D$1099, B110)&gt;0, COUNTIF(독서목록!$D$2:$D$1099, B110))</f>
        <v/>
      </c>
      <c r="G110" s="13" t="inlineStr">
        <is>
          <t>2023.01.05</t>
        </is>
      </c>
      <c r="H110" s="14" t="inlineStr">
        <is>
          <t>기부</t>
        </is>
      </c>
      <c r="I110" s="14" t="inlineStr">
        <is>
          <t>기부</t>
        </is>
      </c>
      <c r="J110" s="16" t="inlineStr">
        <is>
          <t>8968331863 9788968331862</t>
        </is>
      </c>
      <c r="K110" s="17" t="inlineStr">
        <is>
          <t>https://search1.kakaocdn.net/thumb/R120x174.q85/?fname=http%3A%2F%2Ft1.daumcdn.net%2Flbook%2Fimage%2F944573%3Ftimestamp%3D20251015110542</t>
        </is>
      </c>
    </row>
    <row r="111" ht="16.5" customHeight="1" s="118">
      <c r="A111" s="9" t="n"/>
      <c r="B111" s="10" t="inlineStr">
        <is>
          <t>설국</t>
        </is>
      </c>
      <c r="C111" s="11" t="inlineStr">
        <is>
          <t>가와바타 야스나리</t>
        </is>
      </c>
      <c r="D111" s="11" t="inlineStr">
        <is>
          <t>민음사</t>
        </is>
      </c>
      <c r="E111" s="12">
        <f>_xludf.IFS(COUNTIF(보류목록!$B$3:$B$1000, B111)&gt;0, "-",COUNTIF(독서목록!$C$2:$C$1099, B111)=0, , COUNTIF(독서목록!$C$2:$C$1099, B111)&gt;0, COUNTIF(독서목록!$C$2:$C$1099, B111))</f>
        <v/>
      </c>
      <c r="F111" s="12">
        <f>_xludf.IFS(COUNTIF(보류목록!$C$3:$C$1000, B111)&gt;0, "-",COUNTIF(독서목록!$D$2:$D$1099, B111)=0, , COUNTIF(독서목록!$D$2:$D$1099, B111)&gt;0, COUNTIF(독서목록!$D$2:$D$1099, B111))</f>
        <v/>
      </c>
      <c r="G111" s="13" t="inlineStr">
        <is>
          <t>2023.01.05</t>
        </is>
      </c>
      <c r="H111" s="14" t="n"/>
      <c r="I111" s="14" t="n"/>
      <c r="J111" s="16" t="inlineStr">
        <is>
          <t>8937460610 9788937460616</t>
        </is>
      </c>
      <c r="K111" s="17" t="inlineStr">
        <is>
          <t>https://search1.kakaocdn.net/thumb/R120x174.q85/?fname=http%3A%2F%2Ft1.daumcdn.net%2Flbook%2Fimage%2F540827%3Ftimestamp%3D20251130110509</t>
        </is>
      </c>
    </row>
    <row r="112" ht="16.5" customHeight="1" s="118">
      <c r="A112" s="9" t="n"/>
      <c r="B112" s="10" t="inlineStr">
        <is>
          <t>시지프 신화</t>
        </is>
      </c>
      <c r="C112" s="11" t="inlineStr">
        <is>
          <t>알베르 카뮈</t>
        </is>
      </c>
      <c r="D112" s="11" t="inlineStr">
        <is>
          <t>민음사</t>
        </is>
      </c>
      <c r="E112" s="12">
        <f>_xludf.IFS(COUNTIF(보류목록!$B$3:$B$1000, B112)&gt;0, "-",COUNTIF(독서목록!$C$2:$C$1099, B112)=0, , COUNTIF(독서목록!$C$2:$C$1099, B112)&gt;0, COUNTIF(독서목록!$C$2:$C$1099, B112))</f>
        <v/>
      </c>
      <c r="F112" s="12">
        <f>_xludf.IFS(COUNTIF(보류목록!$C$3:$C$1000, B112)&gt;0, "-",COUNTIF(독서목록!$D$2:$D$1099, B112)=0, , COUNTIF(독서목록!$D$2:$D$1099, B112)&gt;0, COUNTIF(독서목록!$D$2:$D$1099, B112))</f>
        <v/>
      </c>
      <c r="G112" s="13" t="inlineStr">
        <is>
          <t>2023.01.05</t>
        </is>
      </c>
      <c r="H112" s="14" t="n"/>
      <c r="I112" s="14" t="n"/>
      <c r="J112" s="16" t="inlineStr">
        <is>
          <t>8937463431 9788937463433</t>
        </is>
      </c>
      <c r="K112" s="17" t="inlineStr">
        <is>
          <t>https://search1.kakaocdn.net/thumb/R120x174.q85/?fname=http%3A%2F%2Ft1.daumcdn.net%2Flbook%2Fimage%2F541100%3Ftimestamp%3D20251126110912</t>
        </is>
      </c>
    </row>
    <row r="113" ht="16.5" customHeight="1" s="118">
      <c r="A113" s="9" t="n"/>
      <c r="B113" s="10" t="inlineStr">
        <is>
          <t>채용과 선발의 심리학</t>
        </is>
      </c>
      <c r="C113" s="11" t="inlineStr">
        <is>
          <t>로버트 우드, 팀 페인</t>
        </is>
      </c>
      <c r="D113" s="11" t="inlineStr">
        <is>
          <t>시그마프레스</t>
        </is>
      </c>
      <c r="E113" s="12">
        <f>_xludf.IFS(COUNTIF(보류목록!$B$3:$B$1000, B113)&gt;0, "-",COUNTIF(독서목록!$C$2:$C$1099, B113)=0, , COUNTIF(독서목록!$C$2:$C$1099, B113)&gt;0, COUNTIF(독서목록!$C$2:$C$1099, B113))</f>
        <v/>
      </c>
      <c r="F113" s="12">
        <f>_xludf.IFS(COUNTIF(보류목록!$C$3:$C$1000, B113)&gt;0, "-",COUNTIF(독서목록!$D$2:$D$1099, B113)=0, , COUNTIF(독서목록!$D$2:$D$1099, B113)&gt;0, COUNTIF(독서목록!$D$2:$D$1099, B113))</f>
        <v/>
      </c>
      <c r="G113" s="13" t="inlineStr">
        <is>
          <t>2022.12.09</t>
        </is>
      </c>
      <c r="H113" s="14" t="n"/>
      <c r="I113" s="14" t="n"/>
      <c r="J113" s="16" t="inlineStr">
        <is>
          <t>8990685427 9788990685421</t>
        </is>
      </c>
      <c r="K113" s="17" t="inlineStr">
        <is>
          <t>https://search1.kakaocdn.net/thumb/R120x174.q85/?fname=http%3A%2F%2Ft1.daumcdn.net%2Flbook%2Fimage%2F1324690%3Ftimestamp%3D20190127203555</t>
        </is>
      </c>
    </row>
    <row r="114" ht="16.5" customHeight="1" s="118">
      <c r="A114" s="9" t="n"/>
      <c r="B114" s="10" t="inlineStr">
        <is>
          <t>더 골1</t>
        </is>
      </c>
      <c r="C114" s="11" t="inlineStr">
        <is>
          <t>엘리 골드렛, 제프 콕스</t>
        </is>
      </c>
      <c r="D114" s="11" t="inlineStr">
        <is>
          <t>동양북스</t>
        </is>
      </c>
      <c r="E114" s="12">
        <f>_xludf.IFS(COUNTIF(보류목록!$B$3:$B$1000, B114)&gt;0, "-",COUNTIF(독서목록!$C$2:$C$1099, B114)=0, , COUNTIF(독서목록!$C$2:$C$1099, B114)&gt;0, COUNTIF(독서목록!$C$2:$C$1099, B114))</f>
        <v/>
      </c>
      <c r="F114" s="12">
        <f>_xludf.IFS(COUNTIF(보류목록!$C$3:$C$1000, B114)&gt;0, "-",COUNTIF(독서목록!$D$2:$D$1099, B114)=0, , COUNTIF(독서목록!$D$2:$D$1099, B114)&gt;0, COUNTIF(독서목록!$D$2:$D$1099, B114))</f>
        <v/>
      </c>
      <c r="G114" s="13" t="inlineStr">
        <is>
          <t>2022.11.05</t>
        </is>
      </c>
      <c r="H114" s="14" t="n"/>
      <c r="I114" s="14" t="n"/>
      <c r="J114" s="16" t="inlineStr">
        <is>
          <t>1157685307 9791157685301</t>
        </is>
      </c>
      <c r="K114" s="17" t="inlineStr">
        <is>
          <t>https://search1.kakaocdn.net/thumb/R120x174.q85/?fname=http%3A%2F%2Ft1.daumcdn.net%2Flbook%2Fimage%2F5005911%3Ftimestamp%3D20260403125316</t>
        </is>
      </c>
    </row>
    <row r="115" ht="16.5" customHeight="1" s="118">
      <c r="A115" s="9" t="n"/>
      <c r="B115" s="10" t="inlineStr">
        <is>
          <t>더 골2</t>
        </is>
      </c>
      <c r="C115" s="11" t="inlineStr">
        <is>
          <t>엘리 골드렛</t>
        </is>
      </c>
      <c r="D115" s="11" t="inlineStr">
        <is>
          <t>동양북스</t>
        </is>
      </c>
      <c r="E115" s="12">
        <f>_xludf.IFS(COUNTIF(보류목록!$B$3:$B$1000, B115)&gt;0, "-",COUNTIF(독서목록!$C$2:$C$1099, B115)=0, , COUNTIF(독서목록!$C$2:$C$1099, B115)&gt;0, COUNTIF(독서목록!$C$2:$C$1099, B115))</f>
        <v/>
      </c>
      <c r="F115" s="12">
        <f>_xludf.IFS(COUNTIF(보류목록!$C$3:$C$1000, B115)&gt;0, "-",COUNTIF(독서목록!$D$2:$D$1099, B115)=0, , COUNTIF(독서목록!$D$2:$D$1099, B115)&gt;0, COUNTIF(독서목록!$D$2:$D$1099, B115))</f>
        <v/>
      </c>
      <c r="G115" s="13" t="inlineStr">
        <is>
          <t>2022.11.05</t>
        </is>
      </c>
      <c r="H115" s="14" t="n"/>
      <c r="I115" s="14" t="n"/>
      <c r="J115" s="16" t="inlineStr">
        <is>
          <t>8983002816 9788983002815</t>
        </is>
      </c>
      <c r="K115" s="17" t="inlineStr">
        <is>
          <t>https://search1.kakaocdn.net/thumb/R120x174.q85/?fname=http%3A%2F%2Ft1.daumcdn.net%2Flbook%2Fimage%2F1163427%3Ftimestamp%3D20221025130516</t>
        </is>
      </c>
    </row>
    <row r="116" ht="16.5" customHeight="1" s="118">
      <c r="A116" s="9" t="n"/>
      <c r="B116" s="10" t="inlineStr">
        <is>
          <t>대체 뭐가 문제야</t>
        </is>
      </c>
      <c r="C116" s="11" t="inlineStr">
        <is>
          <t>제럴드 와인버그, 도널드 고즈</t>
        </is>
      </c>
      <c r="D116" s="11" t="inlineStr">
        <is>
          <t>인사이트</t>
        </is>
      </c>
      <c r="E116" s="12">
        <f>_xludf.IFS(COUNTIF(보류목록!$B$3:$B$1000, B116)&gt;0, "-",COUNTIF(독서목록!$C$2:$C$1099, B116)=0, , COUNTIF(독서목록!$C$2:$C$1099, B116)&gt;0, COUNTIF(독서목록!$C$2:$C$1099, B116))</f>
        <v/>
      </c>
      <c r="F116" s="12">
        <f>_xludf.IFS(COUNTIF(보류목록!$C$3:$C$1000, B116)&gt;0, "-",COUNTIF(독서목록!$D$2:$D$1099, B116)=0, , COUNTIF(독서목록!$D$2:$D$1099, B116)&gt;0, COUNTIF(독서목록!$D$2:$D$1099, B116))</f>
        <v/>
      </c>
      <c r="G116" s="13" t="inlineStr">
        <is>
          <t>2022.11.05</t>
        </is>
      </c>
      <c r="H116" s="14" t="n"/>
      <c r="I116" s="14" t="n"/>
      <c r="J116" s="16" t="inlineStr">
        <is>
          <t>8966260667 9788966260669</t>
        </is>
      </c>
      <c r="K116" s="17" t="inlineStr">
        <is>
          <t>https://search1.kakaocdn.net/thumb/R120x174.q85/?fname=http%3A%2F%2Ft1.daumcdn.net%2Flbook%2Fimage%2F927018%3Ftimestamp%3D20231124183326</t>
        </is>
      </c>
    </row>
    <row r="117" ht="16.5" customHeight="1" s="118">
      <c r="A117" s="9" t="n"/>
      <c r="B117" s="10" t="inlineStr">
        <is>
          <t>프로덕트 리더십</t>
        </is>
      </c>
      <c r="C117" s="11" t="inlineStr">
        <is>
          <t>리차드 밴필드, 마틴 에릭손, 네이트 워킹쇼</t>
        </is>
      </c>
      <c r="D117" s="11" t="inlineStr">
        <is>
          <t>에이콘</t>
        </is>
      </c>
      <c r="E117" s="12">
        <f>_xludf.IFS(COUNTIF(보류목록!$B$3:$B$1000, B117)&gt;0, "-",COUNTIF(독서목록!$C$2:$C$1099, B117)=0, , COUNTIF(독서목록!$C$2:$C$1099, B117)&gt;0, COUNTIF(독서목록!$C$2:$C$1099, B117))</f>
        <v/>
      </c>
      <c r="F117" s="12">
        <f>_xludf.IFS(COUNTIF(보류목록!$C$3:$C$1000, B117)&gt;0, "-",COUNTIF(독서목록!$D$2:$D$1099, B117)=0, , COUNTIF(독서목록!$D$2:$D$1099, B117)&gt;0, COUNTIF(독서목록!$D$2:$D$1099, B117))</f>
        <v/>
      </c>
      <c r="G117" s="13" t="inlineStr">
        <is>
          <t>2022.10.05</t>
        </is>
      </c>
      <c r="H117" s="14" t="n"/>
      <c r="I117" s="14" t="n"/>
      <c r="J117" s="16" t="inlineStr">
        <is>
          <t>1161751610 9791161751610</t>
        </is>
      </c>
      <c r="K117" s="19" t="inlineStr">
        <is>
          <t>https://search1.kakaocdn.net/thumb/R120x174.q85/?fname=http%3A%2F%2Ft1.daumcdn.net%2Flbook%2Fimage%2F1605146%3Ftimestamp%3D20260227110901</t>
        </is>
      </c>
    </row>
    <row r="118" ht="16.5" customHeight="1" s="118">
      <c r="A118" s="9" t="n"/>
      <c r="B118" s="10" t="inlineStr">
        <is>
          <t>문장과 순간</t>
        </is>
      </c>
      <c r="C118" s="11" t="inlineStr">
        <is>
          <t>박웅현</t>
        </is>
      </c>
      <c r="D118" s="11" t="inlineStr">
        <is>
          <t>인티앤</t>
        </is>
      </c>
      <c r="E118" s="12">
        <f>_xludf.IFS(COUNTIF(보류목록!$B$3:$B$1000, B118)&gt;0, "-",COUNTIF(독서목록!$C$2:$C$1099, B118)=0, , COUNTIF(독서목록!$C$2:$C$1099, B118)&gt;0, COUNTIF(독서목록!$C$2:$C$1099, B118))</f>
        <v/>
      </c>
      <c r="F118" s="12">
        <f>_xludf.IFS(COUNTIF(보류목록!$C$3:$C$1000, B118)&gt;0, "-",COUNTIF(독서목록!$D$2:$D$1099, B118)=0, , COUNTIF(독서목록!$D$2:$D$1099, B118)&gt;0, COUNTIF(독서목록!$D$2:$D$1099, B118))</f>
        <v/>
      </c>
      <c r="G118" s="13" t="inlineStr">
        <is>
          <t>2022.10.05</t>
        </is>
      </c>
      <c r="H118" s="14" t="inlineStr">
        <is>
          <t>기부</t>
        </is>
      </c>
      <c r="I118" s="14" t="inlineStr">
        <is>
          <t>기부</t>
        </is>
      </c>
      <c r="J118" s="16" t="inlineStr">
        <is>
          <t>1197977007 9791197977008</t>
        </is>
      </c>
      <c r="K118" s="17" t="inlineStr">
        <is>
          <t>https://search1.kakaocdn.net/thumb/R120x174.q85/?fname=http%3A%2F%2Ft1.daumcdn.net%2Flbook%2Fimage%2F6160669%3Ftimestamp%3D20260118144958</t>
        </is>
      </c>
    </row>
    <row r="119" ht="16.5" customHeight="1" s="118">
      <c r="A119" s="9" t="n"/>
      <c r="B119" s="10" t="inlineStr">
        <is>
          <t>위로의 미술관</t>
        </is>
      </c>
      <c r="C119" s="11" t="inlineStr">
        <is>
          <t>진병관</t>
        </is>
      </c>
      <c r="D119" s="11" t="inlineStr">
        <is>
          <t>빅피시</t>
        </is>
      </c>
      <c r="E119" s="12">
        <f>_xludf.IFS(COUNTIF(보류목록!$B$3:$B$1000, B119)&gt;0, "-",COUNTIF(독서목록!$C$2:$C$1099, B119)=0, , COUNTIF(독서목록!$C$2:$C$1099, B119)&gt;0, COUNTIF(독서목록!$C$2:$C$1099, B119))</f>
        <v/>
      </c>
      <c r="F119" s="12">
        <f>_xludf.IFS(COUNTIF(보류목록!$C$3:$C$1000, B119)&gt;0, "-",COUNTIF(독서목록!$D$2:$D$1099, B119)=0, , COUNTIF(독서목록!$D$2:$D$1099, B119)&gt;0, COUNTIF(독서목록!$D$2:$D$1099, B119))</f>
        <v/>
      </c>
      <c r="G119" s="13" t="inlineStr">
        <is>
          <t>2022.10.05</t>
        </is>
      </c>
      <c r="H119" s="14" t="inlineStr">
        <is>
          <t>기부</t>
        </is>
      </c>
      <c r="I119" s="14" t="inlineStr">
        <is>
          <t>기부</t>
        </is>
      </c>
      <c r="J119" s="16" t="inlineStr">
        <is>
          <t>1191825140 9791191825145</t>
        </is>
      </c>
      <c r="K119" s="17" t="inlineStr">
        <is>
          <t>https://search1.kakaocdn.net/thumb/R120x174.q85/?fname=http%3A%2F%2Ft1.daumcdn.net%2Flbook%2Fimage%2F6147253%3Ftimestamp%3D20251214121134</t>
        </is>
      </c>
    </row>
    <row r="120" ht="16.5" customHeight="1" s="118">
      <c r="A120" s="9" t="n"/>
      <c r="B120" s="10" t="inlineStr">
        <is>
          <t>매우 예민한 사람들을 위한 책</t>
        </is>
      </c>
      <c r="C120" s="11" t="inlineStr">
        <is>
          <t>전홍진</t>
        </is>
      </c>
      <c r="D120" s="11" t="inlineStr">
        <is>
          <t>글항아리</t>
        </is>
      </c>
      <c r="E120" s="12">
        <f>_xludf.IFS(COUNTIF(보류목록!$B$3:$B$1000, B120)&gt;0, "-",COUNTIF(독서목록!$C$2:$C$1099, B120)=0, , COUNTIF(독서목록!$C$2:$C$1099, B120)&gt;0, COUNTIF(독서목록!$C$2:$C$1099, B120))</f>
        <v/>
      </c>
      <c r="F120" s="12">
        <f>_xludf.IFS(COUNTIF(보류목록!$C$3:$C$1000, B120)&gt;0, "-",COUNTIF(독서목록!$D$2:$D$1099, B120)=0, , COUNTIF(독서목록!$D$2:$D$1099, B120)&gt;0, COUNTIF(독서목록!$D$2:$D$1099, B120))</f>
        <v/>
      </c>
      <c r="G120" s="13" t="inlineStr">
        <is>
          <t>2022.09.05</t>
        </is>
      </c>
      <c r="H120" s="14" t="inlineStr">
        <is>
          <t>기부</t>
        </is>
      </c>
      <c r="I120" s="14" t="inlineStr">
        <is>
          <t>기부</t>
        </is>
      </c>
      <c r="J120" s="16" t="inlineStr">
        <is>
          <t>8967358024 9788967358020</t>
        </is>
      </c>
      <c r="K120" s="17" t="inlineStr">
        <is>
          <t>https://search1.kakaocdn.net/thumb/R120x174.q85/?fname=http%3A%2F%2Ft1.daumcdn.net%2Flbook%2Fimage%2F5423065%3Ftimestamp%3D20251129135912</t>
        </is>
      </c>
    </row>
    <row r="121" ht="16.5" customHeight="1" s="118">
      <c r="A121" s="9" t="n"/>
      <c r="B121" s="10" t="inlineStr">
        <is>
          <t>크눌프</t>
        </is>
      </c>
      <c r="C121" s="11" t="inlineStr">
        <is>
          <t>헤르만 헤세</t>
        </is>
      </c>
      <c r="D121" s="11" t="inlineStr">
        <is>
          <t>민음사</t>
        </is>
      </c>
      <c r="E121" s="12">
        <f>_xludf.IFS(COUNTIF(보류목록!$B$3:$B$1000, B121)&gt;0, "-",COUNTIF(독서목록!$C$2:$C$1099, B121)=0, , COUNTIF(독서목록!$C$2:$C$1099, B121)&gt;0, COUNTIF(독서목록!$C$2:$C$1099, B121))</f>
        <v/>
      </c>
      <c r="F121" s="12">
        <f>_xludf.IFS(COUNTIF(보류목록!$C$3:$C$1000, B121)&gt;0, "-",COUNTIF(독서목록!$D$2:$D$1099, B121)=0, , COUNTIF(독서목록!$D$2:$D$1099, B121)&gt;0, COUNTIF(독서목록!$D$2:$D$1099, B121))</f>
        <v/>
      </c>
      <c r="G121" s="13" t="inlineStr">
        <is>
          <t>2022.09.05</t>
        </is>
      </c>
      <c r="H121" s="14" t="n"/>
      <c r="I121" s="14" t="n"/>
      <c r="J121" s="16" t="inlineStr">
        <is>
          <t>8937461110 9788937461118</t>
        </is>
      </c>
      <c r="K121" s="17" t="inlineStr">
        <is>
          <t>https://search1.kakaocdn.net/thumb/R120x174.q85/?fname=http%3A%2F%2Ft1.daumcdn.net%2Flbook%2Fimage%2F540877%3Ftimestamp%3D20230428194708</t>
        </is>
      </c>
    </row>
    <row r="122" ht="16.5" customHeight="1" s="118">
      <c r="A122" s="9" t="n"/>
      <c r="B122" s="10" t="inlineStr">
        <is>
          <t>고용 면접의 구조와 과정</t>
        </is>
      </c>
      <c r="C122" s="11" t="inlineStr">
        <is>
          <t>황규대</t>
        </is>
      </c>
      <c r="D122" s="11" t="inlineStr">
        <is>
          <t>오래</t>
        </is>
      </c>
      <c r="E122" s="12">
        <f>_xludf.IFS(COUNTIF(보류목록!$B$3:$B$1000, B122)&gt;0, "-",COUNTIF(독서목록!$C$2:$C$1099, B122)=0, , COUNTIF(독서목록!$C$2:$C$1099, B122)&gt;0, COUNTIF(독서목록!$C$2:$C$1099, B122))</f>
        <v/>
      </c>
      <c r="F122" s="12">
        <f>_xludf.IFS(COUNTIF(보류목록!$C$3:$C$1000, B122)&gt;0, "-",COUNTIF(독서목록!$D$2:$D$1099, B122)=0, , COUNTIF(독서목록!$D$2:$D$1099, B122)&gt;0, COUNTIF(독서목록!$D$2:$D$1099, B122))</f>
        <v/>
      </c>
      <c r="G122" s="13" t="inlineStr">
        <is>
          <t>2022.09.05</t>
        </is>
      </c>
      <c r="H122" s="14" t="n"/>
      <c r="I122" s="14" t="n"/>
      <c r="J122" s="16" t="inlineStr">
        <is>
          <t>8996423106 9788996423102</t>
        </is>
      </c>
      <c r="K122" s="17" t="inlineStr">
        <is>
          <t>https://search1.kakaocdn.net/thumb/R120x174.q85/?fname=http%3A%2F%2Ft1.daumcdn.net%2Flbook%2Fimage%2F1469643%3Ftimestamp%3D20240801112454</t>
        </is>
      </c>
    </row>
    <row r="123" ht="16.5" customHeight="1" s="118">
      <c r="A123" s="9" t="n"/>
      <c r="B123" s="10" t="inlineStr">
        <is>
          <t>어떻게 공부할 것인가</t>
        </is>
      </c>
      <c r="C123" s="11" t="inlineStr">
        <is>
          <t>헨리 뢰디거, 마크 맥대니얼, 피터 브라운</t>
        </is>
      </c>
      <c r="D123" s="11" t="inlineStr">
        <is>
          <t>와이즈베리</t>
        </is>
      </c>
      <c r="E123" s="12">
        <f>_xludf.IFS(COUNTIF(보류목록!$B$3:$B$1000, B123)&gt;0, "-",COUNTIF(독서목록!$C$2:$C$1099, B123)=0, , COUNTIF(독서목록!$C$2:$C$1099, B123)&gt;0, COUNTIF(독서목록!$C$2:$C$1099, B123))</f>
        <v/>
      </c>
      <c r="F123" s="12">
        <f>_xludf.IFS(COUNTIF(보류목록!$C$3:$C$1000, B123)&gt;0, "-",COUNTIF(독서목록!$D$2:$D$1099, B123)=0, , COUNTIF(독서목록!$D$2:$D$1099, B123)&gt;0, COUNTIF(독서목록!$D$2:$D$1099, B123))</f>
        <v/>
      </c>
      <c r="G123" s="13" t="inlineStr">
        <is>
          <t>2022.07.14</t>
        </is>
      </c>
      <c r="H123" s="14" t="n"/>
      <c r="I123" s="14" t="n"/>
      <c r="J123" s="16" t="inlineStr">
        <is>
          <t>8937834863 9788937834868</t>
        </is>
      </c>
      <c r="K123" s="19" t="inlineStr">
        <is>
          <t>https://search1.kakaocdn.net/thumb/R120x174.q85/?fname=http%3A%2F%2Ft1.daumcdn.net%2Flbook%2Fimage%2F545855%3Ftimestamp%3D20260113110841</t>
        </is>
      </c>
    </row>
    <row r="124" ht="16.5" customHeight="1" s="118">
      <c r="A124" s="9" t="n"/>
      <c r="B124" s="10" t="inlineStr">
        <is>
          <t>테크니컬 리더</t>
        </is>
      </c>
      <c r="C124" s="11" t="inlineStr">
        <is>
          <t>제럴드 M. 와인버그</t>
        </is>
      </c>
      <c r="D124" s="11" t="inlineStr">
        <is>
          <t>인사이트</t>
        </is>
      </c>
      <c r="E124" s="12">
        <f>_xludf.IFS(COUNTIF(보류목록!$B$3:$B$1000, B124)&gt;0, "-",COUNTIF(독서목록!$C$2:$C$1099, B124)=0, , COUNTIF(독서목록!$C$2:$C$1099, B124)&gt;0, COUNTIF(독서목록!$C$2:$C$1099, B124))</f>
        <v/>
      </c>
      <c r="F124" s="12">
        <f>_xludf.IFS(COUNTIF(보류목록!$C$3:$C$1000, B124)&gt;0, "-",COUNTIF(독서목록!$D$2:$D$1099, B124)=0, , COUNTIF(독서목록!$D$2:$D$1099, B124)&gt;0, COUNTIF(독서목록!$D$2:$D$1099, B124))</f>
        <v/>
      </c>
      <c r="G124" s="13" t="inlineStr">
        <is>
          <t>2022.07.14</t>
        </is>
      </c>
      <c r="H124" s="14" t="n"/>
      <c r="I124" s="14" t="n"/>
      <c r="J124" s="16" t="inlineStr">
        <is>
          <t>8966260659 9788966260652</t>
        </is>
      </c>
      <c r="K124" s="17" t="inlineStr">
        <is>
          <t>https://search1.kakaocdn.net/thumb/R120x174.q85/?fname=http%3A%2F%2Ft1.daumcdn.net%2Flbook%2Fimage%2F924390%3Ftimestamp%3D20260127110814</t>
        </is>
      </c>
    </row>
    <row r="125" ht="16.5" customHeight="1" s="118">
      <c r="A125" s="9" t="n"/>
      <c r="B125" s="10" t="inlineStr">
        <is>
          <t>통찰, 평범에서 비범으로</t>
        </is>
      </c>
      <c r="C125" s="11" t="inlineStr">
        <is>
          <t>게리 클라인</t>
        </is>
      </c>
      <c r="D125" s="11" t="inlineStr">
        <is>
          <t>알키</t>
        </is>
      </c>
      <c r="E125" s="12">
        <f>_xludf.IFS(COUNTIF(보류목록!$B$3:$B$1000, B125)&gt;0, "-",COUNTIF(독서목록!$C$2:$C$1099, B125)=0, , COUNTIF(독서목록!$C$2:$C$1099, B125)&gt;0, COUNTIF(독서목록!$C$2:$C$1099, B125))</f>
        <v/>
      </c>
      <c r="F125" s="12">
        <f>_xludf.IFS(COUNTIF(보류목록!$C$3:$C$1000, B125)&gt;0, "-",COUNTIF(독서목록!$D$2:$D$1099, B125)=0, , COUNTIF(독서목록!$D$2:$D$1099, B125)&gt;0, COUNTIF(독서목록!$D$2:$D$1099, B125))</f>
        <v/>
      </c>
      <c r="G125" s="13" t="inlineStr">
        <is>
          <t>2022.07.14</t>
        </is>
      </c>
      <c r="H125" s="14" t="n"/>
      <c r="I125" s="14" t="n"/>
      <c r="J125" s="16" t="inlineStr">
        <is>
          <t>895277244X 9788952772442</t>
        </is>
      </c>
      <c r="K125" s="17" t="inlineStr">
        <is>
          <t>https://search1.kakaocdn.net/thumb/R120x174.q85/?fname=http%3A%2F%2Ft1.daumcdn.net%2Flbook%2Fimage%2F645150%3Ftimestamp%3D20240921114246</t>
        </is>
      </c>
    </row>
    <row r="126" ht="16.5" customHeight="1" s="118">
      <c r="A126" s="9" t="n"/>
      <c r="B126" s="10" t="inlineStr">
        <is>
          <t>프로페셔널의 조건</t>
        </is>
      </c>
      <c r="C126" s="11" t="inlineStr">
        <is>
          <t>피터 드러커</t>
        </is>
      </c>
      <c r="D126" s="11" t="inlineStr">
        <is>
          <t>청림출판</t>
        </is>
      </c>
      <c r="E126" s="12">
        <f>_xludf.IFS(COUNTIF(보류목록!$B$3:$B$1000, B126)&gt;0, "-",COUNTIF(독서목록!$C$2:$C$1099, B126)=0, , COUNTIF(독서목록!$C$2:$C$1099, B126)&gt;0, COUNTIF(독서목록!$C$2:$C$1099, B126))</f>
        <v/>
      </c>
      <c r="F126" s="12">
        <f>_xludf.IFS(COUNTIF(보류목록!$C$3:$C$1000, B126)&gt;0, "-",COUNTIF(독서목록!$D$2:$D$1099, B126)=0, , COUNTIF(독서목록!$D$2:$D$1099, B126)&gt;0, COUNTIF(독서목록!$D$2:$D$1099, B126))</f>
        <v/>
      </c>
      <c r="G126" s="13" t="inlineStr">
        <is>
          <t>2022.08.05</t>
        </is>
      </c>
      <c r="H126" s="14" t="n"/>
      <c r="I126" s="14" t="n"/>
      <c r="J126" s="16" t="inlineStr">
        <is>
          <t>8935209430 9788935209439</t>
        </is>
      </c>
      <c r="K126" s="17" t="inlineStr">
        <is>
          <t>https://search1.kakaocdn.net/thumb/R120x174.q85/?fname=http%3A%2F%2Ft1.daumcdn.net%2Flbook%2Fimage%2F522761%3Ftimestamp%3D20260404110634</t>
        </is>
      </c>
    </row>
    <row r="127" ht="16.5" customHeight="1" s="118">
      <c r="A127" s="9" t="n"/>
      <c r="B127" s="10" t="inlineStr">
        <is>
          <t>베네치아의 종소리</t>
        </is>
      </c>
      <c r="C127" s="11" t="inlineStr">
        <is>
          <t>스가 아쓰코</t>
        </is>
      </c>
      <c r="D127" s="11" t="inlineStr">
        <is>
          <t>문학동네</t>
        </is>
      </c>
      <c r="E127" s="12">
        <f>_xludf.IFS(COUNTIF(보류목록!$B$3:$B$1000, B127)&gt;0, "-",COUNTIF(독서목록!$C$2:$C$1099, B127)=0, , COUNTIF(독서목록!$C$2:$C$1099, B127)&gt;0, COUNTIF(독서목록!$C$2:$C$1099, B127))</f>
        <v/>
      </c>
      <c r="F127" s="12">
        <f>_xludf.IFS(COUNTIF(보류목록!$C$3:$C$1000, B127)&gt;0, "-",COUNTIF(독서목록!$D$2:$D$1099, B127)=0, , COUNTIF(독서목록!$D$2:$D$1099, B127)&gt;0, COUNTIF(독서목록!$D$2:$D$1099, B127))</f>
        <v/>
      </c>
      <c r="G127" s="13" t="inlineStr">
        <is>
          <t>2021.12.30</t>
        </is>
      </c>
      <c r="H127" s="14" t="inlineStr">
        <is>
          <t>기부</t>
        </is>
      </c>
      <c r="I127" s="14" t="inlineStr">
        <is>
          <t>기부</t>
        </is>
      </c>
      <c r="J127" s="16" t="inlineStr">
        <is>
          <t>895464323X 9788954643238</t>
        </is>
      </c>
      <c r="K127" s="17" t="inlineStr">
        <is>
          <t>https://search1.kakaocdn.net/thumb/R120x174.q85/?fname=http%3A%2F%2Ft1.daumcdn.net%2Flbook%2Fimage%2F693411%3Ftimestamp%3D20250107113852</t>
        </is>
      </c>
    </row>
    <row r="128" ht="16.5" customHeight="1" s="118">
      <c r="A128" s="9" t="n"/>
      <c r="B128" s="10" t="inlineStr">
        <is>
          <t>갈라파고스</t>
        </is>
      </c>
      <c r="C128" s="11" t="inlineStr">
        <is>
          <t>커트 보네거트</t>
        </is>
      </c>
      <c r="D128" s="11" t="inlineStr">
        <is>
          <t>에프</t>
        </is>
      </c>
      <c r="E128" s="12">
        <f>_xludf.IFS(COUNTIF(보류목록!$B$3:$B$1000, B128)&gt;0, "-",COUNTIF(독서목록!$C$2:$C$1099, B128)=0, , COUNTIF(독서목록!$C$2:$C$1099, B128)&gt;0, COUNTIF(독서목록!$C$2:$C$1099, B128))</f>
        <v/>
      </c>
      <c r="F128" s="12">
        <f>_xludf.IFS(COUNTIF(보류목록!$C$3:$C$1000, B128)&gt;0, "-",COUNTIF(독서목록!$D$2:$D$1099, B128)=0, , COUNTIF(독서목록!$D$2:$D$1099, B128)&gt;0, COUNTIF(독서목록!$D$2:$D$1099, B128))</f>
        <v/>
      </c>
      <c r="G128" s="13" t="inlineStr">
        <is>
          <t>2021.12.30</t>
        </is>
      </c>
      <c r="H128" s="14" t="inlineStr">
        <is>
          <t>기부</t>
        </is>
      </c>
      <c r="I128" s="14" t="inlineStr">
        <is>
          <t>기부</t>
        </is>
      </c>
      <c r="J128" s="16" t="inlineStr">
        <is>
          <t>8961707345 9788961707343</t>
        </is>
      </c>
      <c r="K128" s="19" t="inlineStr">
        <is>
          <t>https://search1.kakaocdn.net/thumb/R120x174.q85/?fname=http%3A%2F%2Ft1.daumcdn.net%2Flbook%2Fimage%2F5073351%3Ftimestamp%3D20260121130424</t>
        </is>
      </c>
    </row>
    <row r="129" ht="16.5" customHeight="1" s="118">
      <c r="A129" s="9" t="n"/>
      <c r="B129" s="10" t="inlineStr">
        <is>
          <t>중용 인간의 맛</t>
        </is>
      </c>
      <c r="C129" s="11" t="inlineStr">
        <is>
          <t>김용옥</t>
        </is>
      </c>
      <c r="D129" s="11" t="inlineStr">
        <is>
          <t>통나무</t>
        </is>
      </c>
      <c r="E129" s="12">
        <f>_xludf.IFS(COUNTIF(보류목록!$B$3:$B$1000, B129)&gt;0, "-",COUNTIF(독서목록!$C$2:$C$1099, B129)=0, , COUNTIF(독서목록!$C$2:$C$1099, B129)&gt;0, COUNTIF(독서목록!$C$2:$C$1099, B129))</f>
        <v/>
      </c>
      <c r="F129" s="12">
        <f>_xludf.IFS(COUNTIF(보류목록!$C$3:$C$1000, B129)&gt;0, "-",COUNTIF(독서목록!$D$2:$D$1099, B129)=0, , COUNTIF(독서목록!$D$2:$D$1099, B129)&gt;0, COUNTIF(독서목록!$D$2:$D$1099, B129))</f>
        <v/>
      </c>
      <c r="G129" s="13" t="inlineStr">
        <is>
          <t>2021.12.30</t>
        </is>
      </c>
      <c r="H129" s="14" t="n"/>
      <c r="I129" s="14" t="n"/>
      <c r="J129" s="16" t="inlineStr">
        <is>
          <t>8982641203 9788982641206</t>
        </is>
      </c>
      <c r="K129" s="19" t="inlineStr">
        <is>
          <t>https://search1.kakaocdn.net/thumb/R120x174.q85/?fname=http%3A%2F%2Ft1.daumcdn.net%2Flbook%2Fimage%2F1153685%3Ftimestamp%3D20251219110744</t>
        </is>
      </c>
    </row>
    <row r="130" ht="16.5" customHeight="1" s="118">
      <c r="A130" s="9" t="n"/>
      <c r="B130" s="10" t="inlineStr">
        <is>
          <t>부의 대이동</t>
        </is>
      </c>
      <c r="C130" s="11" t="inlineStr">
        <is>
          <t>오건영</t>
        </is>
      </c>
      <c r="D130" s="11" t="inlineStr">
        <is>
          <t>페이지2</t>
        </is>
      </c>
      <c r="E130" s="12">
        <f>_xludf.IFS(COUNTIF(보류목록!$B$3:$B$1000, B130)&gt;0, "-",COUNTIF(독서목록!$C$2:$C$1099, B130)=0, , COUNTIF(독서목록!$C$2:$C$1099, B130)&gt;0, COUNTIF(독서목록!$C$2:$C$1099, B130))</f>
        <v/>
      </c>
      <c r="F130" s="12">
        <f>_xludf.IFS(COUNTIF(보류목록!$C$3:$C$1000, B130)&gt;0, "-",COUNTIF(독서목록!$D$2:$D$1099, B130)=0, , COUNTIF(독서목록!$D$2:$D$1099, B130)&gt;0, COUNTIF(독서목록!$D$2:$D$1099, B130))</f>
        <v/>
      </c>
      <c r="G130" s="13" t="inlineStr">
        <is>
          <t>2021.01.11</t>
        </is>
      </c>
      <c r="H130" s="14" t="n"/>
      <c r="I130" s="14" t="n"/>
      <c r="J130" s="16" t="inlineStr">
        <is>
          <t>1196831084 9791196831080</t>
        </is>
      </c>
      <c r="K130" s="17" t="inlineStr">
        <is>
          <t>https://search1.kakaocdn.net/thumb/R120x174.q85/?fname=http%3A%2F%2Ft1.daumcdn.net%2Flbook%2Fimage%2F5419748%3Ftimestamp%3D20240919184102</t>
        </is>
      </c>
    </row>
    <row r="131" ht="16.5" customHeight="1" s="118">
      <c r="A131" s="9" t="n"/>
      <c r="B131" s="10" t="inlineStr">
        <is>
          <t>생각에 관한 생각</t>
        </is>
      </c>
      <c r="C131" s="11" t="inlineStr">
        <is>
          <t>대니얼 카너먼</t>
        </is>
      </c>
      <c r="D131" s="11" t="inlineStr">
        <is>
          <t>김영사</t>
        </is>
      </c>
      <c r="E131" s="12">
        <f>_xludf.IFS(COUNTIF(보류목록!$B$3:$B$1000, B131)&gt;0, "-",COUNTIF(독서목록!$C$2:$C$1099, B131)=0, , COUNTIF(독서목록!$C$2:$C$1099, B131)&gt;0, COUNTIF(독서목록!$C$2:$C$1099, B131))</f>
        <v/>
      </c>
      <c r="F131" s="12">
        <f>_xludf.IFS(COUNTIF(보류목록!$C$3:$C$1000, B131)&gt;0, "-",COUNTIF(독서목록!$D$2:$D$1099, B131)=0, , COUNTIF(독서목록!$D$2:$D$1099, B131)&gt;0, COUNTIF(독서목록!$D$2:$D$1099, B131))</f>
        <v/>
      </c>
      <c r="G131" s="13" t="inlineStr">
        <is>
          <t>2021.09.02</t>
        </is>
      </c>
      <c r="H131" s="14" t="n"/>
      <c r="I131" s="14" t="n"/>
      <c r="J131" s="16" t="inlineStr">
        <is>
          <t>8934981210 9788934981213</t>
        </is>
      </c>
      <c r="K131" s="17" t="inlineStr">
        <is>
          <t>https://search1.kakaocdn.net/thumb/R120x174.q85/?fname=http%3A%2F%2Ft1.daumcdn.net%2Flbook%2Fimage%2F521135%3Ftimestamp%3D20260108111109</t>
        </is>
      </c>
    </row>
    <row r="132" ht="16.5" customHeight="1" s="118">
      <c r="A132" s="9" t="n"/>
      <c r="B132" s="10" t="inlineStr">
        <is>
          <t>브람스를 좋아하세요</t>
        </is>
      </c>
      <c r="C132" s="11" t="inlineStr">
        <is>
          <t>프랑수아즈 사강</t>
        </is>
      </c>
      <c r="D132" s="11" t="inlineStr">
        <is>
          <t>민음사</t>
        </is>
      </c>
      <c r="E132" s="12">
        <f>_xludf.IFS(COUNTIF(보류목록!$B$3:$B$1000, B132)&gt;0, "-",COUNTIF(독서목록!$C$2:$C$1099, B132)=0, , COUNTIF(독서목록!$C$2:$C$1099, B132)&gt;0, COUNTIF(독서목록!$C$2:$C$1099, B132))</f>
        <v/>
      </c>
      <c r="F132" s="12">
        <f>_xludf.IFS(COUNTIF(보류목록!$C$3:$C$1000, B132)&gt;0, "-",COUNTIF(독서목록!$D$2:$D$1099, B132)=0, , COUNTIF(독서목록!$D$2:$D$1099, B132)&gt;0, COUNTIF(독서목록!$D$2:$D$1099, B132))</f>
        <v/>
      </c>
      <c r="G132" s="13" t="inlineStr">
        <is>
          <t>2021.09.02</t>
        </is>
      </c>
      <c r="H132" s="14" t="inlineStr">
        <is>
          <t>기부</t>
        </is>
      </c>
      <c r="I132" s="14" t="inlineStr">
        <is>
          <t>기부</t>
        </is>
      </c>
      <c r="J132" s="16" t="inlineStr">
        <is>
          <t>893746179X 9788937461798</t>
        </is>
      </c>
      <c r="K132" s="17" t="inlineStr">
        <is>
          <t>https://search1.kakaocdn.net/thumb/R120x174.q85/?fname=http%3A%2F%2Ft1.daumcdn.net%2Flbook%2Fimage%2F540945%3Ftimestamp%3D20251203111030</t>
        </is>
      </c>
    </row>
    <row r="133" ht="16.5" customHeight="1" s="118">
      <c r="A133" s="9" t="n"/>
      <c r="B133" s="10" t="inlineStr">
        <is>
          <t>고도를 기다리며</t>
        </is>
      </c>
      <c r="C133" s="11" t="inlineStr">
        <is>
          <t>사뮈엘 베케트</t>
        </is>
      </c>
      <c r="D133" s="11" t="inlineStr">
        <is>
          <t>민음사</t>
        </is>
      </c>
      <c r="E133" s="12">
        <f>_xludf.IFS(COUNTIF(보류목록!$B$3:$B$1000, B133)&gt;0, "-",COUNTIF(독서목록!$C$2:$C$1099, B133)=0, , COUNTIF(독서목록!$C$2:$C$1099, B133)&gt;0, COUNTIF(독서목록!$C$2:$C$1099, B133))</f>
        <v/>
      </c>
      <c r="F133" s="12">
        <f>_xludf.IFS(COUNTIF(보류목록!$C$3:$C$1000, B133)&gt;0, "-",COUNTIF(독서목록!$D$2:$D$1099, B133)=0, , COUNTIF(독서목록!$D$2:$D$1099, B133)&gt;0, COUNTIF(독서목록!$D$2:$D$1099, B133))</f>
        <v/>
      </c>
      <c r="G133" s="13" t="inlineStr">
        <is>
          <t>2021.09.02</t>
        </is>
      </c>
      <c r="H133" s="14" t="n"/>
      <c r="I133" s="14" t="n"/>
      <c r="J133" s="16" t="inlineStr">
        <is>
          <t>8937460432 9788937460432</t>
        </is>
      </c>
      <c r="K133" s="17" t="inlineStr">
        <is>
          <t>https://search1.kakaocdn.net/thumb/R120x174.q85/?fname=http%3A%2F%2Ft1.daumcdn.net%2Flbook%2Fimage%2F540809%3Ftimestamp%3D20240611112505</t>
        </is>
      </c>
    </row>
    <row r="134" ht="16.5" customHeight="1" s="118">
      <c r="A134" s="9" t="n"/>
      <c r="B134" s="10" t="inlineStr">
        <is>
          <t>싯다르타</t>
        </is>
      </c>
      <c r="C134" s="11" t="inlineStr">
        <is>
          <t>헤르만 헤세</t>
        </is>
      </c>
      <c r="D134" s="11" t="inlineStr">
        <is>
          <t>민음사</t>
        </is>
      </c>
      <c r="E134" s="12">
        <f>_xludf.IFS(COUNTIF(보류목록!$B$3:$B$1000, B134)&gt;0, "-",COUNTIF(독서목록!$C$2:$C$1099, B134)=0, , COUNTIF(독서목록!$C$2:$C$1099, B134)&gt;0, COUNTIF(독서목록!$C$2:$C$1099, B134))</f>
        <v/>
      </c>
      <c r="F134" s="12">
        <f>_xludf.IFS(COUNTIF(보류목록!$C$3:$C$1000, B134)&gt;0, "-",COUNTIF(독서목록!$D$2:$D$1099, B134)=0, , COUNTIF(독서목록!$D$2:$D$1099, B134)&gt;0, COUNTIF(독서목록!$D$2:$D$1099, B134))</f>
        <v/>
      </c>
      <c r="G134" s="13" t="inlineStr">
        <is>
          <t>2021.09.02</t>
        </is>
      </c>
      <c r="H134" s="14" t="n"/>
      <c r="I134" s="14" t="n"/>
      <c r="J134" s="16" t="inlineStr">
        <is>
          <t>8937460580 9788937460586</t>
        </is>
      </c>
      <c r="K134" s="17" t="inlineStr">
        <is>
          <t>https://search1.kakaocdn.net/thumb/R120x174.q85/?fname=http%3A%2F%2Ft1.daumcdn.net%2Flbook%2Fimage%2F540824%3Ftimestamp%3D20260305110840</t>
        </is>
      </c>
    </row>
    <row r="135" ht="16.5" customHeight="1" s="118">
      <c r="A135" s="9" t="n"/>
      <c r="B135" s="10" t="inlineStr">
        <is>
          <t>아처</t>
        </is>
      </c>
      <c r="C135" s="11" t="inlineStr">
        <is>
          <t>파울로 코엘료</t>
        </is>
      </c>
      <c r="D135" s="11" t="inlineStr">
        <is>
          <t>문학동네</t>
        </is>
      </c>
      <c r="E135" s="12">
        <f>_xludf.IFS(COUNTIF(보류목록!$B$3:$B$1000, B135)&gt;0, "-",COUNTIF(독서목록!$C$2:$C$1099, B135)=0, , COUNTIF(독서목록!$C$2:$C$1099, B135)&gt;0, COUNTIF(독서목록!$C$2:$C$1099, B135))</f>
        <v/>
      </c>
      <c r="F135" s="12">
        <f>_xludf.IFS(COUNTIF(보류목록!$C$3:$C$1000, B135)&gt;0, "-",COUNTIF(독서목록!$D$2:$D$1099, B135)=0, , COUNTIF(독서목록!$D$2:$D$1099, B135)&gt;0, COUNTIF(독서목록!$D$2:$D$1099, B135))</f>
        <v/>
      </c>
      <c r="G135" s="13" t="inlineStr">
        <is>
          <t>2021.09.02</t>
        </is>
      </c>
      <c r="H135" s="14" t="inlineStr">
        <is>
          <t>기부</t>
        </is>
      </c>
      <c r="I135" s="14" t="inlineStr">
        <is>
          <t>기부</t>
        </is>
      </c>
      <c r="J135" s="16" t="inlineStr">
        <is>
          <t>8954681565 9788954681568</t>
        </is>
      </c>
      <c r="K135" s="17" t="inlineStr">
        <is>
          <t>https://search1.kakaocdn.net/thumb/R120x174.q85/?fname=http%3A%2F%2Ft1.daumcdn.net%2Flbook%2Fimage%2F5804515%3Ftimestamp%3D20251209144803</t>
        </is>
      </c>
    </row>
    <row r="136" ht="16.5" customHeight="1" s="118">
      <c r="A136" s="9" t="n"/>
      <c r="B136" s="10" t="inlineStr">
        <is>
          <t>숫자에 약한 사람들을 위한 통계학 수업</t>
        </is>
      </c>
      <c r="C136" s="11" t="inlineStr">
        <is>
          <t>데이비드 스피겔할터</t>
        </is>
      </c>
      <c r="D136" s="11" t="inlineStr">
        <is>
          <t>웅진지식하우스</t>
        </is>
      </c>
      <c r="E136" s="12">
        <f>_xludf.IFS(COUNTIF(보류목록!$B$3:$B$1000, B136)&gt;0, "-",COUNTIF(독서목록!$C$2:$C$1099, B136)=0, , COUNTIF(독서목록!$C$2:$C$1099, B136)&gt;0, COUNTIF(독서목록!$C$2:$C$1099, B136))</f>
        <v/>
      </c>
      <c r="F136" s="12">
        <f>_xludf.IFS(COUNTIF(보류목록!$C$3:$C$1000, B136)&gt;0, "-",COUNTIF(독서목록!$D$2:$D$1099, B136)=0, , COUNTIF(독서목록!$D$2:$D$1099, B136)&gt;0, COUNTIF(독서목록!$D$2:$D$1099, B136))</f>
        <v/>
      </c>
      <c r="G136" s="13" t="inlineStr">
        <is>
          <t>2021.01.12</t>
        </is>
      </c>
      <c r="H136" s="14" t="n"/>
      <c r="I136" s="14" t="n"/>
      <c r="J136" s="16" t="inlineStr">
        <is>
          <t>8901244489 9788901244488</t>
        </is>
      </c>
      <c r="K136" s="17" t="inlineStr">
        <is>
          <t>https://search1.kakaocdn.net/thumb/R120x174.q85/?fname=http%3A%2F%2Ft1.daumcdn.net%2Flbook%2Fimage%2F5447568%3Ftimestamp%3D20260213120027</t>
        </is>
      </c>
    </row>
    <row r="137" ht="16.5" customHeight="1" s="118">
      <c r="A137" s="9" t="n"/>
      <c r="B137" s="10" t="inlineStr">
        <is>
          <t>상식 밖의 경제학</t>
        </is>
      </c>
      <c r="C137" s="11" t="inlineStr">
        <is>
          <t>댄 애리얼리</t>
        </is>
      </c>
      <c r="D137" s="11" t="inlineStr">
        <is>
          <t>청림출판</t>
        </is>
      </c>
      <c r="E137" s="12">
        <f>_xludf.IFS(COUNTIF(보류목록!$B$3:$B$1000, B137)&gt;0, "-",COUNTIF(독서목록!$C$2:$C$1099, B137)=0, , COUNTIF(독서목록!$C$2:$C$1099, B137)&gt;0, COUNTIF(독서목록!$C$2:$C$1099, B137))</f>
        <v/>
      </c>
      <c r="F137" s="12">
        <f>_xludf.IFS(COUNTIF(보류목록!$C$3:$C$1000, B137)&gt;0, "-",COUNTIF(독서목록!$D$2:$D$1099, B137)=0, , COUNTIF(독서목록!$D$2:$D$1099, B137)&gt;0, COUNTIF(독서목록!$D$2:$D$1099, B137))</f>
        <v/>
      </c>
      <c r="G137" s="13" t="inlineStr">
        <is>
          <t>2021.06.21</t>
        </is>
      </c>
      <c r="H137" s="14" t="n"/>
      <c r="I137" s="14" t="n"/>
      <c r="J137" s="16" t="inlineStr">
        <is>
          <t>8935212326 9788935212323</t>
        </is>
      </c>
      <c r="K137" s="17" t="inlineStr">
        <is>
          <t>https://search1.kakaocdn.net/thumb/R120x174.q85/?fname=http%3A%2F%2Ft1.daumcdn.net%2Flbook%2Fimage%2F3750481%3Ftimestamp%3D20260312110955</t>
        </is>
      </c>
    </row>
    <row r="138" ht="16.5" customHeight="1" s="118">
      <c r="A138" s="9" t="n"/>
      <c r="B138" s="10" t="inlineStr">
        <is>
          <t>스틱</t>
        </is>
      </c>
      <c r="C138" s="11" t="inlineStr">
        <is>
          <t>칩 히스, 댄 히스</t>
        </is>
      </c>
      <c r="D138" s="11" t="inlineStr">
        <is>
          <t>엘도라도</t>
        </is>
      </c>
      <c r="E138" s="12">
        <f>_xludf.IFS(COUNTIF(보류목록!$B$3:$B$1000, B138)&gt;0, "-",COUNTIF(독서목록!$C$2:$C$1099, B138)=0, , COUNTIF(독서목록!$C$2:$C$1099, B138)&gt;0, COUNTIF(독서목록!$C$2:$C$1099, B138))</f>
        <v/>
      </c>
      <c r="F138" s="12">
        <f>_xludf.IFS(COUNTIF(보류목록!$C$3:$C$1000, B138)&gt;0, "-",COUNTIF(독서목록!$D$2:$D$1099, B138)=0, , COUNTIF(독서목록!$D$2:$D$1099, B138)&gt;0, COUNTIF(독서목록!$D$2:$D$1099, B138))</f>
        <v/>
      </c>
      <c r="G138" s="13" t="inlineStr">
        <is>
          <t>2021.06.21</t>
        </is>
      </c>
      <c r="H138" s="14" t="inlineStr">
        <is>
          <t>기부</t>
        </is>
      </c>
      <c r="I138" s="14" t="inlineStr">
        <is>
          <t>기부</t>
        </is>
      </c>
      <c r="J138" s="16" t="inlineStr">
        <is>
          <t>890109827X 9788901098272</t>
        </is>
      </c>
      <c r="K138" s="19" t="inlineStr">
        <is>
          <t>https://search1.kakaocdn.net/thumb/R120x174.q85/?fname=http%3A%2F%2Ft1.daumcdn.net%2Flbook%2Fimage%2F347924%3Ftimestamp%3D20251219110737</t>
        </is>
      </c>
    </row>
    <row r="139" ht="16.5" customHeight="1" s="118">
      <c r="A139" s="9" t="n"/>
      <c r="B139" s="10" t="inlineStr">
        <is>
          <t>조국의 시간</t>
        </is>
      </c>
      <c r="C139" s="11" t="inlineStr">
        <is>
          <t>조국</t>
        </is>
      </c>
      <c r="D139" s="11" t="inlineStr">
        <is>
          <t>한길사</t>
        </is>
      </c>
      <c r="E139" s="12">
        <f>_xludf.IFS(COUNTIF(보류목록!$B$3:$B$1000, B139)&gt;0, "-",COUNTIF(독서목록!$C$2:$C$1099, B139)=0, , COUNTIF(독서목록!$C$2:$C$1099, B139)&gt;0, COUNTIF(독서목록!$C$2:$C$1099, B139))</f>
        <v/>
      </c>
      <c r="F139" s="12">
        <f>_xludf.IFS(COUNTIF(보류목록!$C$3:$C$1000, B139)&gt;0, "-",COUNTIF(독서목록!$D$2:$D$1099, B139)=0, , COUNTIF(독서목록!$D$2:$D$1099, B139)&gt;0, COUNTIF(독서목록!$D$2:$D$1099, B139))</f>
        <v/>
      </c>
      <c r="G139" s="13" t="inlineStr">
        <is>
          <t>2021.06.21</t>
        </is>
      </c>
      <c r="H139" s="14" t="n"/>
      <c r="I139" s="14" t="n"/>
      <c r="J139" s="16" t="inlineStr">
        <is>
          <t>8935668664 9788935668663</t>
        </is>
      </c>
      <c r="K139" s="17" t="inlineStr">
        <is>
          <t>https://search1.kakaocdn.net/thumb/R120x174.q85/?fname=http%3A%2F%2Ft1.daumcdn.net%2Flbook%2Fimage%2F5699305%3Ftimestamp%3D20250107150043</t>
        </is>
      </c>
    </row>
    <row r="140" ht="16.5" customHeight="1" s="118">
      <c r="A140" s="9" t="n"/>
      <c r="B140" s="10" t="inlineStr">
        <is>
          <t>아다지오 소스테누토</t>
        </is>
      </c>
      <c r="C140" s="11" t="inlineStr">
        <is>
          <t>문학수</t>
        </is>
      </c>
      <c r="D140" s="11" t="inlineStr">
        <is>
          <t>돌베개</t>
        </is>
      </c>
      <c r="E140" s="12">
        <f>_xludf.IFS(COUNTIF(보류목록!$B$3:$B$1000, B140)&gt;0, "-",COUNTIF(독서목록!$C$2:$C$1099, B140)=0, , COUNTIF(독서목록!$C$2:$C$1099, B140)&gt;0, COUNTIF(독서목록!$C$2:$C$1099, B140))</f>
        <v/>
      </c>
      <c r="F140" s="12">
        <f>_xludf.IFS(COUNTIF(보류목록!$C$3:$C$1000, B140)&gt;0, "-",COUNTIF(독서목록!$D$2:$D$1099, B140)=0, , COUNTIF(독서목록!$D$2:$D$1099, B140)&gt;0, COUNTIF(독서목록!$D$2:$D$1099, B140))</f>
        <v/>
      </c>
      <c r="G140" s="13" t="inlineStr">
        <is>
          <t>2021.06.21</t>
        </is>
      </c>
      <c r="H140" s="14" t="inlineStr">
        <is>
          <t>기부</t>
        </is>
      </c>
      <c r="I140" s="14" t="inlineStr">
        <is>
          <t>기부</t>
        </is>
      </c>
      <c r="J140" s="16" t="inlineStr">
        <is>
          <t>8971995254 9788971995259</t>
        </is>
      </c>
      <c r="K140" s="17" t="inlineStr">
        <is>
          <t>https://search1.kakaocdn.net/thumb/R120x174.q85/?fname=http%3A%2F%2Ft1.daumcdn.net%2Flbook%2Fimage%2F995111%3Ftimestamp%3D20251119111101</t>
        </is>
      </c>
    </row>
    <row r="141" ht="16.5" customHeight="1" s="118">
      <c r="A141" s="9" t="n"/>
      <c r="B141" s="10" t="inlineStr">
        <is>
          <t>팀장의 탄생</t>
        </is>
      </c>
      <c r="C141" s="11" t="inlineStr">
        <is>
          <t>줄리 주오</t>
        </is>
      </c>
      <c r="D141" s="11" t="inlineStr">
        <is>
          <t>더퀘스트</t>
        </is>
      </c>
      <c r="E141" s="12">
        <f>_xludf.IFS(COUNTIF(보류목록!$B$3:$B$1000, B141)&gt;0, "-",COUNTIF(독서목록!$C$2:$C$1099, B141)=0, , COUNTIF(독서목록!$C$2:$C$1099, B141)&gt;0, COUNTIF(독서목록!$C$2:$C$1099, B141))</f>
        <v/>
      </c>
      <c r="F141" s="12">
        <f>_xludf.IFS(COUNTIF(보류목록!$C$3:$C$1000, B141)&gt;0, "-",COUNTIF(독서목록!$D$2:$D$1099, B141)=0, , COUNTIF(독서목록!$D$2:$D$1099, B141)&gt;0, COUNTIF(독서목록!$D$2:$D$1099, B141))</f>
        <v/>
      </c>
      <c r="G141" s="13" t="inlineStr">
        <is>
          <t>2020.11.01</t>
        </is>
      </c>
      <c r="H141" s="14" t="n"/>
      <c r="I141" s="14" t="n"/>
      <c r="J141" s="16" t="inlineStr">
        <is>
          <t>114071709X 9791140717095</t>
        </is>
      </c>
      <c r="K141" s="17" t="inlineStr">
        <is>
          <t>https://search1.kakaocdn.net/thumb/R120x174.q85/?fname=http%3A%2F%2Ft1.daumcdn.net%2Flbook%2Fimage%2F7151993%3Ftimestamp%3D20260214121232</t>
        </is>
      </c>
    </row>
    <row r="142" ht="16.5" customHeight="1" s="118">
      <c r="A142" s="9" t="n"/>
      <c r="B142" s="10" t="inlineStr">
        <is>
          <t>사피엔스</t>
        </is>
      </c>
      <c r="C142" s="11" t="inlineStr">
        <is>
          <t>유발 하라리</t>
        </is>
      </c>
      <c r="D142" s="11" t="inlineStr">
        <is>
          <t>김영사</t>
        </is>
      </c>
      <c r="E142" s="12">
        <f>_xludf.IFS(COUNTIF(보류목록!$B$3:$B$1000, B142)&gt;0, "-",COUNTIF(독서목록!$C$2:$C$1099, B142)=0, , COUNTIF(독서목록!$C$2:$C$1099, B142)&gt;0, COUNTIF(독서목록!$C$2:$C$1099, B142))</f>
        <v/>
      </c>
      <c r="F142" s="12">
        <f>_xludf.IFS(COUNTIF(보류목록!$C$3:$C$1000, B142)&gt;0, "-",COUNTIF(독서목록!$D$2:$D$1099, B142)=0, , COUNTIF(독서목록!$D$2:$D$1099, B142)&gt;0, COUNTIF(독서목록!$D$2:$D$1099, B142))</f>
        <v/>
      </c>
      <c r="G142" s="13" t="inlineStr">
        <is>
          <t>2020.07.01</t>
        </is>
      </c>
      <c r="H142" s="14" t="n"/>
      <c r="I142" s="14" t="n"/>
      <c r="J142" s="16" t="inlineStr">
        <is>
          <t>1173323481 9791173323485</t>
        </is>
      </c>
      <c r="K142" s="19" t="inlineStr">
        <is>
          <t>https://search1.kakaocdn.net/thumb/R120x174.q85/?fname=http%3A%2F%2Ft1.daumcdn.net%2Flbook%2Fimage%2F7046639%3Ftimestamp%3D20251108151721</t>
        </is>
      </c>
    </row>
    <row r="143" ht="16.5" customHeight="1" s="118">
      <c r="A143" s="9" t="n"/>
      <c r="B143" s="10" t="inlineStr">
        <is>
          <t>하버드 100년 전통 말하기 수업</t>
        </is>
      </c>
      <c r="C143" s="11" t="inlineStr">
        <is>
          <t>류리나</t>
        </is>
      </c>
      <c r="D143" s="11" t="inlineStr">
        <is>
          <t>리드리드출판</t>
        </is>
      </c>
      <c r="E143" s="12">
        <f>_xludf.IFS(COUNTIF(보류목록!$B$3:$B$1000, B143)&gt;0, "-",COUNTIF(독서목록!$C$2:$C$1099, B143)=0, , COUNTIF(독서목록!$C$2:$C$1099, B143)&gt;0, COUNTIF(독서목록!$C$2:$C$1099, B143))</f>
        <v/>
      </c>
      <c r="F143" s="12">
        <f>_xludf.IFS(COUNTIF(보류목록!$C$3:$C$1000, B143)&gt;0, "-",COUNTIF(독서목록!$D$2:$D$1099, B143)=0, , COUNTIF(독서목록!$D$2:$D$1099, B143)&gt;0, COUNTIF(독서목록!$D$2:$D$1099, B143))</f>
        <v/>
      </c>
      <c r="G143" s="22" t="inlineStr">
        <is>
          <t>2020.10.12</t>
        </is>
      </c>
      <c r="H143" s="14" t="n"/>
      <c r="I143" s="14" t="n"/>
      <c r="J143" s="16" t="inlineStr">
        <is>
          <t>8972773417 9788972773412</t>
        </is>
      </c>
      <c r="K143" s="17" t="inlineStr">
        <is>
          <t>https://search1.kakaocdn.net/thumb/R120x174.q85/?fname=http%3A%2F%2Ft1.daumcdn.net%2Flbook%2Fimage%2F5486305%3Ftimestamp%3D20251002134324</t>
        </is>
      </c>
    </row>
    <row r="144" ht="16.5" customHeight="1" s="118">
      <c r="A144" s="9" t="n"/>
      <c r="B144" s="10" t="inlineStr">
        <is>
          <t>사람은 어떻게 생각하고 배우고 기억하는가</t>
        </is>
      </c>
      <c r="C144" s="11" t="inlineStr">
        <is>
          <t>제레드 쿠니 호바스</t>
        </is>
      </c>
      <c r="D144" s="11" t="inlineStr">
        <is>
          <t>토네이도</t>
        </is>
      </c>
      <c r="E144" s="12">
        <f>_xludf.IFS(COUNTIF(보류목록!$B$3:$B$1000, B144)&gt;0, "-",COUNTIF(독서목록!$C$2:$C$1099, B144)=0, , COUNTIF(독서목록!$C$2:$C$1099, B144)&gt;0, COUNTIF(독서목록!$C$2:$C$1099, B144))</f>
        <v/>
      </c>
      <c r="F144" s="12">
        <f>_xludf.IFS(COUNTIF(보류목록!$C$3:$C$1000, B144)&gt;0, "-",COUNTIF(독서목록!$D$2:$D$1099, B144)=0, , COUNTIF(독서목록!$D$2:$D$1099, B144)&gt;0, COUNTIF(독서목록!$D$2:$D$1099, B144))</f>
        <v/>
      </c>
      <c r="G144" s="22" t="inlineStr">
        <is>
          <t>2020.10.12</t>
        </is>
      </c>
      <c r="H144" s="14" t="n"/>
      <c r="I144" s="14" t="n"/>
      <c r="J144" s="16" t="inlineStr">
        <is>
          <t>1158511744 9791158511746</t>
        </is>
      </c>
      <c r="K144" s="19" t="inlineStr">
        <is>
          <t>https://search1.kakaocdn.net/thumb/R120x174.q85/?fname=http%3A%2F%2Ft1.daumcdn.net%2Flbook%2Fimage%2F5265375%3Ftimestamp%3D20260323115443</t>
        </is>
      </c>
    </row>
    <row r="145" ht="16.5" customHeight="1" s="118">
      <c r="A145" s="9" t="n"/>
      <c r="B145" s="10" t="inlineStr">
        <is>
          <t>타이탄의 도구들</t>
        </is>
      </c>
      <c r="C145" s="11" t="inlineStr">
        <is>
          <t>팀 패리스</t>
        </is>
      </c>
      <c r="D145" s="11" t="inlineStr">
        <is>
          <t>토네이도</t>
        </is>
      </c>
      <c r="E145" s="12">
        <f>_xludf.IFS(COUNTIF(보류목록!$B$3:$B$1000, B145)&gt;0, "-",COUNTIF(독서목록!$C$2:$C$1099, B145)=0, , COUNTIF(독서목록!$C$2:$C$1099, B145)&gt;0, COUNTIF(독서목록!$C$2:$C$1099, B145))</f>
        <v/>
      </c>
      <c r="F145" s="12">
        <f>_xludf.IFS(COUNTIF(보류목록!$C$3:$C$1000, B145)&gt;0, "-",COUNTIF(독서목록!$D$2:$D$1099, B145)=0, , COUNTIF(독서목록!$D$2:$D$1099, B145)&gt;0, COUNTIF(독서목록!$D$2:$D$1099, B145))</f>
        <v/>
      </c>
      <c r="G145" s="22" t="inlineStr">
        <is>
          <t>2020.10.12</t>
        </is>
      </c>
      <c r="H145" s="14" t="n"/>
      <c r="I145" s="14" t="n"/>
      <c r="J145" s="16" t="inlineStr">
        <is>
          <t>1158512988 9791158512989</t>
        </is>
      </c>
      <c r="K145" s="19" t="inlineStr">
        <is>
          <t>https://search1.kakaocdn.net/thumb/R120x174.q85/?fname=http%3A%2F%2Ft1.daumcdn.net%2Flbook%2Fimage%2F6724555%3Ftimestamp%3D20250916143547</t>
        </is>
      </c>
    </row>
    <row r="146" ht="16.5" customHeight="1" s="118">
      <c r="A146" s="9" t="n"/>
      <c r="B146" s="10" t="inlineStr">
        <is>
          <t>한문장으로 말하라</t>
        </is>
      </c>
      <c r="C146" s="11" t="inlineStr">
        <is>
          <t>나쓰요 립슈츠</t>
        </is>
      </c>
      <c r="D146" s="11" t="inlineStr">
        <is>
          <t>비즈니스북스</t>
        </is>
      </c>
      <c r="E146" s="12">
        <f>_xludf.IFS(COUNTIF(보류목록!$B$3:$B$1000, B146)&gt;0, "-",COUNTIF(독서목록!$C$2:$C$1099, B146)=0, , COUNTIF(독서목록!$C$2:$C$1099, B146)&gt;0, COUNTIF(독서목록!$C$2:$C$1099, B146))</f>
        <v/>
      </c>
      <c r="F146" s="12">
        <f>_xludf.IFS(COUNTIF(보류목록!$C$3:$C$1000, B146)&gt;0, "-",COUNTIF(독서목록!$D$2:$D$1099, B146)=0, , COUNTIF(독서목록!$D$2:$D$1099, B146)&gt;0, COUNTIF(독서목록!$D$2:$D$1099, B146))</f>
        <v/>
      </c>
      <c r="G146" s="22" t="inlineStr">
        <is>
          <t>2020.10.12</t>
        </is>
      </c>
      <c r="H146" s="14" t="n"/>
      <c r="I146" s="14" t="n"/>
      <c r="J146" s="16" t="inlineStr">
        <is>
          <t>1162541555 9791162541555</t>
        </is>
      </c>
      <c r="K146" s="17" t="inlineStr">
        <is>
          <t>https://search1.kakaocdn.net/thumb/R120x174.q85/?fname=http%3A%2F%2Ft1.daumcdn.net%2Flbook%2Fimage%2F5420560%3Ftimestamp%3D20251127140737</t>
        </is>
      </c>
    </row>
    <row r="147" ht="16.5" customHeight="1" s="118">
      <c r="A147" s="9" t="n"/>
      <c r="B147" s="10" t="inlineStr">
        <is>
          <t>공간이 만든 공간</t>
        </is>
      </c>
      <c r="C147" s="11" t="inlineStr">
        <is>
          <t>유현준</t>
        </is>
      </c>
      <c r="D147" s="11" t="inlineStr">
        <is>
          <t>을유문화사</t>
        </is>
      </c>
      <c r="E147" s="12">
        <f>_xludf.IFS(COUNTIF(보류목록!$B$3:$B$1000, B147)&gt;0, "-",COUNTIF(독서목록!$C$2:$C$1099, B147)=0, , COUNTIF(독서목록!$C$2:$C$1099, B147)&gt;0, COUNTIF(독서목록!$C$2:$C$1099, B147))</f>
        <v/>
      </c>
      <c r="F147" s="12">
        <f>_xludf.IFS(COUNTIF(보류목록!$C$3:$C$1000, B147)&gt;0, "-",COUNTIF(독서목록!$D$2:$D$1099, B147)=0, , COUNTIF(독서목록!$D$2:$D$1099, B147)&gt;0, COUNTIF(독서목록!$D$2:$D$1099, B147))</f>
        <v/>
      </c>
      <c r="G147" s="22" t="inlineStr">
        <is>
          <t>2020.10.12</t>
        </is>
      </c>
      <c r="H147" s="14" t="inlineStr">
        <is>
          <t>기부</t>
        </is>
      </c>
      <c r="I147" s="14" t="inlineStr">
        <is>
          <t>기부</t>
        </is>
      </c>
      <c r="J147" s="16" t="inlineStr">
        <is>
          <t>8932475113 9788932475110</t>
        </is>
      </c>
      <c r="K147" s="19" t="inlineStr">
        <is>
          <t>https://search1.kakaocdn.net/thumb/R120x174.q85/?fname=http%3A%2F%2Ft1.daumcdn.net%2Flbook%2Fimage%2F6676404%3Ftimestamp%3D20240726155853</t>
        </is>
      </c>
    </row>
    <row r="148" ht="16.5" customHeight="1" s="118">
      <c r="A148" s="9" t="n"/>
      <c r="B148" s="10" t="inlineStr">
        <is>
          <t>사실, 내성적인 사람입니다</t>
        </is>
      </c>
      <c r="C148" s="11" t="inlineStr">
        <is>
          <t>남인숙</t>
        </is>
      </c>
      <c r="D148" s="11" t="inlineStr">
        <is>
          <t>21세기북스</t>
        </is>
      </c>
      <c r="E148" s="12">
        <f>_xludf.IFS(COUNTIF(보류목록!$B$3:$B$1000, B148)&gt;0, "-",COUNTIF(독서목록!$C$2:$C$1099, B148)=0, , COUNTIF(독서목록!$C$2:$C$1099, B148)&gt;0, COUNTIF(독서목록!$C$2:$C$1099, B148))</f>
        <v/>
      </c>
      <c r="F148" s="12">
        <f>_xludf.IFS(COUNTIF(보류목록!$C$3:$C$1000, B148)&gt;0, "-",COUNTIF(독서목록!$D$2:$D$1099, B148)=0, , COUNTIF(독서목록!$D$2:$D$1099, B148)&gt;0, COUNTIF(독서목록!$D$2:$D$1099, B148))</f>
        <v/>
      </c>
      <c r="G148" s="13" t="inlineStr">
        <is>
          <t>2020.07.14</t>
        </is>
      </c>
      <c r="H148" s="14" t="inlineStr">
        <is>
          <t>기부</t>
        </is>
      </c>
      <c r="I148" s="14" t="inlineStr">
        <is>
          <t>기부</t>
        </is>
      </c>
      <c r="J148" s="16" t="inlineStr">
        <is>
          <t>8950980770 9788950980771</t>
        </is>
      </c>
      <c r="K148" s="17" t="inlineStr">
        <is>
          <t>https://search1.kakaocdn.net/thumb/R120x174.q85/?fname=http%3A%2F%2Ft1.daumcdn.net%2Flbook%2Fimage%2F4927913%3Ftimestamp%3D20260323113958</t>
        </is>
      </c>
    </row>
    <row r="149" ht="16.5" customHeight="1" s="118">
      <c r="A149" s="9" t="n"/>
      <c r="B149" s="10" t="inlineStr">
        <is>
          <t>GRIT</t>
        </is>
      </c>
      <c r="C149" s="11" t="inlineStr">
        <is>
          <t>앤절라 더크워스</t>
        </is>
      </c>
      <c r="D149" s="11" t="inlineStr">
        <is>
          <t>비즈니스북스</t>
        </is>
      </c>
      <c r="E149" s="12">
        <f>_xludf.IFS(COUNTIF(보류목록!$B$3:$B$1000, B149)&gt;0, "-",COUNTIF(독서목록!$C$2:$C$1099, B149)=0, , COUNTIF(독서목록!$C$2:$C$1099, B149)&gt;0, COUNTIF(독서목록!$C$2:$C$1099, B149))</f>
        <v/>
      </c>
      <c r="F149" s="12">
        <f>_xludf.IFS(COUNTIF(보류목록!$C$3:$C$1000, B149)&gt;0, "-",COUNTIF(독서목록!$D$2:$D$1099, B149)=0, , COUNTIF(독서목록!$D$2:$D$1099, B149)&gt;0, COUNTIF(독서목록!$D$2:$D$1099, B149))</f>
        <v/>
      </c>
      <c r="G149" s="13" t="inlineStr">
        <is>
          <t>2020.06.29</t>
        </is>
      </c>
      <c r="H149" s="14" t="n"/>
      <c r="I149" s="14" t="n"/>
      <c r="J149" s="16" t="inlineStr">
        <is>
          <t>116254063X 9791162540633</t>
        </is>
      </c>
      <c r="K149" s="17" t="inlineStr">
        <is>
          <t>https://search1.kakaocdn.net/thumb/R120x174.q85/?fname=http%3A%2F%2Ft1.daumcdn.net%2Flbook%2Fimage%2F4880425%3Ftimestamp%3D20251213123538</t>
        </is>
      </c>
    </row>
    <row r="150" ht="16.5" customHeight="1" s="118">
      <c r="A150" s="9" t="n"/>
      <c r="B150" s="10" t="inlineStr">
        <is>
          <t>룬샷</t>
        </is>
      </c>
      <c r="C150" s="11" t="inlineStr">
        <is>
          <t>사피 바칼</t>
        </is>
      </c>
      <c r="D150" s="11" t="inlineStr">
        <is>
          <t>흐름출판</t>
        </is>
      </c>
      <c r="E150" s="12">
        <f>_xludf.IFS(COUNTIF(보류목록!$B$3:$B$1000, B150)&gt;0, "-",COUNTIF(독서목록!$C$2:$C$1099, B150)=0, , COUNTIF(독서목록!$C$2:$C$1099, B150)&gt;0, COUNTIF(독서목록!$C$2:$C$1099, B150))</f>
        <v/>
      </c>
      <c r="F150" s="12">
        <f>_xludf.IFS(COUNTIF(보류목록!$C$3:$C$1000, B150)&gt;0, "-",COUNTIF(독서목록!$D$2:$D$1099, B150)=0, , COUNTIF(독서목록!$D$2:$D$1099, B150)&gt;0, COUNTIF(독서목록!$D$2:$D$1099, B150))</f>
        <v/>
      </c>
      <c r="G150" s="13" t="inlineStr">
        <is>
          <t>2020.06.29</t>
        </is>
      </c>
      <c r="H150" s="14" t="n"/>
      <c r="I150" s="14" t="n"/>
      <c r="J150" s="16" t="inlineStr">
        <is>
          <t>8965963796 9788965963790</t>
        </is>
      </c>
      <c r="K150" s="17" t="inlineStr">
        <is>
          <t>https://search1.kakaocdn.net/thumb/R120x174.q85/?fname=http%3A%2F%2Ft1.daumcdn.net%2Flbook%2Fimage%2F5353819%3Ftimestamp%3D20251003131504</t>
        </is>
      </c>
    </row>
    <row r="151" ht="16.5" customHeight="1" s="118">
      <c r="A151" s="9" t="n"/>
      <c r="B151" s="10" t="inlineStr">
        <is>
          <t>역사란 무엇인가</t>
        </is>
      </c>
      <c r="C151" s="11" t="inlineStr">
        <is>
          <t>E.H. 카</t>
        </is>
      </c>
      <c r="D151" s="11" t="inlineStr">
        <is>
          <t>까치</t>
        </is>
      </c>
      <c r="E151" s="12">
        <f>_xludf.IFS(COUNTIF(보류목록!$B$3:$B$1000, B151)&gt;0, "-",COUNTIF(독서목록!$C$2:$C$1099, B151)=0, , COUNTIF(독서목록!$C$2:$C$1099, B151)&gt;0, COUNTIF(독서목록!$C$2:$C$1099, B151))</f>
        <v/>
      </c>
      <c r="F151" s="12">
        <f>_xludf.IFS(COUNTIF(보류목록!$C$3:$C$1000, B151)&gt;0, "-",COUNTIF(독서목록!$D$2:$D$1099, B151)=0, , COUNTIF(독서목록!$D$2:$D$1099, B151)&gt;0, COUNTIF(독서목록!$D$2:$D$1099, B151))</f>
        <v/>
      </c>
      <c r="G151" s="13" t="inlineStr">
        <is>
          <t>2019.08.20</t>
        </is>
      </c>
      <c r="H151" s="14" t="n"/>
      <c r="I151" s="14" t="n"/>
      <c r="J151" s="16" t="inlineStr">
        <is>
          <t>8972915815 9788972915812</t>
        </is>
      </c>
      <c r="K151" s="17" t="inlineStr">
        <is>
          <t>https://search1.kakaocdn.net/thumb/R120x174.q85/?fname=http%3A%2F%2Ft1.daumcdn.net%2Flbook%2Fimage%2F1011234%3Ftimestamp%3D20240216164019</t>
        </is>
      </c>
    </row>
    <row r="152" ht="16.5" customHeight="1" s="118">
      <c r="A152" s="9" t="n"/>
      <c r="B152" s="10" t="inlineStr">
        <is>
          <t>카피캣</t>
        </is>
      </c>
      <c r="C152" s="11" t="inlineStr">
        <is>
          <t>오데드 센카</t>
        </is>
      </c>
      <c r="D152" s="11" t="inlineStr">
        <is>
          <t>청림출판</t>
        </is>
      </c>
      <c r="E152" s="12">
        <f>_xludf.IFS(COUNTIF(보류목록!$B$3:$B$1000, B152)&gt;0, "-",COUNTIF(독서목록!$C$2:$C$1099, B152)=0, , COUNTIF(독서목록!$C$2:$C$1099, B152)&gt;0, COUNTIF(독서목록!$C$2:$C$1099, B152))</f>
        <v/>
      </c>
      <c r="F152" s="12">
        <f>_xludf.IFS(COUNTIF(보류목록!$C$3:$C$1000, B152)&gt;0, "-",COUNTIF(독서목록!$D$2:$D$1099, B152)=0, , COUNTIF(독서목록!$D$2:$D$1099, B152)&gt;0, COUNTIF(독서목록!$D$2:$D$1099, B152))</f>
        <v/>
      </c>
      <c r="G152" s="13" t="inlineStr">
        <is>
          <t>2019.08.20</t>
        </is>
      </c>
      <c r="H152" s="14" t="inlineStr">
        <is>
          <t>기부</t>
        </is>
      </c>
      <c r="I152" s="14" t="inlineStr">
        <is>
          <t>기부</t>
        </is>
      </c>
      <c r="J152" s="16" t="inlineStr">
        <is>
          <t>8935208752 9788935208753</t>
        </is>
      </c>
      <c r="K152" s="17" t="inlineStr">
        <is>
          <t>https://search1.kakaocdn.net/thumb/R120x174.q85/?fname=http%3A%2F%2Ft1.daumcdn.net%2Flbook%2Fimage%2F523226%3Ftimestamp%3D20220203184350</t>
        </is>
      </c>
    </row>
    <row r="153" ht="16.5" customHeight="1" s="118">
      <c r="A153" s="9" t="n"/>
      <c r="B153" s="10" t="inlineStr">
        <is>
          <t>철학이 필요한 시간</t>
        </is>
      </c>
      <c r="C153" s="11" t="inlineStr">
        <is>
          <t>강신주</t>
        </is>
      </c>
      <c r="D153" s="11" t="inlineStr">
        <is>
          <t>사계절</t>
        </is>
      </c>
      <c r="E153" s="12">
        <f>_xludf.IFS(COUNTIF(보류목록!$B$3:$B$1000, B153)&gt;0, "-",COUNTIF(독서목록!$C$2:$C$1099, B153)=0, , COUNTIF(독서목록!$C$2:$C$1099, B153)&gt;0, COUNTIF(독서목록!$C$2:$C$1099, B153))</f>
        <v/>
      </c>
      <c r="F153" s="12">
        <f>_xludf.IFS(COUNTIF(보류목록!$C$3:$C$1000, B153)&gt;0, "-",COUNTIF(독서목록!$D$2:$D$1099, B153)=0, , COUNTIF(독서목록!$D$2:$D$1099, B153)&gt;0, COUNTIF(독서목록!$D$2:$D$1099, B153))</f>
        <v/>
      </c>
      <c r="G153" s="13" t="inlineStr">
        <is>
          <t>2019.08.20</t>
        </is>
      </c>
      <c r="H153" s="14" t="n"/>
      <c r="I153" s="14" t="n"/>
      <c r="J153" s="16" t="inlineStr">
        <is>
          <t>8958285346 9788958285342</t>
        </is>
      </c>
      <c r="K153" s="19" t="inlineStr">
        <is>
          <t>https://search1.kakaocdn.net/thumb/R120x174.q85/?fname=http%3A%2F%2Ft1.daumcdn.net%2Flbook%2Fimage%2F776362%3Ftimestamp%3D20240619113421</t>
        </is>
      </c>
    </row>
    <row r="154" ht="16.5" customHeight="1" s="118">
      <c r="A154" s="9" t="n"/>
      <c r="B154" s="10" t="inlineStr">
        <is>
          <t>논리적 글쓰기</t>
        </is>
      </c>
      <c r="C154" s="11" t="inlineStr">
        <is>
          <t>바바라 민토</t>
        </is>
      </c>
      <c r="D154" s="11" t="inlineStr">
        <is>
          <t>더난출판</t>
        </is>
      </c>
      <c r="E154" s="12">
        <f>_xludf.IFS(COUNTIF(보류목록!$B$3:$B$1000, B154)&gt;0, "-",COUNTIF(독서목록!$C$2:$C$1099, B154)=0, , COUNTIF(독서목록!$C$2:$C$1099, B154)&gt;0, COUNTIF(독서목록!$C$2:$C$1099, B154))</f>
        <v/>
      </c>
      <c r="F154" s="12">
        <f>_xludf.IFS(COUNTIF(보류목록!$C$3:$C$1000, B154)&gt;0, "-",COUNTIF(독서목록!$D$2:$D$1099, B154)=0, , COUNTIF(독서목록!$D$2:$D$1099, B154)&gt;0, COUNTIF(독서목록!$D$2:$D$1099, B154))</f>
        <v/>
      </c>
      <c r="G154" s="13" t="inlineStr">
        <is>
          <t>2019.08.20</t>
        </is>
      </c>
      <c r="H154" s="14" t="n"/>
      <c r="I154" s="14" t="n"/>
      <c r="J154" s="16" t="inlineStr">
        <is>
          <t>8984052892 9788984052895</t>
        </is>
      </c>
      <c r="K154" s="17" t="inlineStr">
        <is>
          <t>https://search1.kakaocdn.net/thumb/R120x174.q85/?fname=http%3A%2F%2Ft1.daumcdn.net%2Flbook%2Fimage%2F1176371%3Ftimestamp%3D20250523113035</t>
        </is>
      </c>
    </row>
    <row r="155" ht="16.5" customHeight="1" s="118">
      <c r="A155" s="9" t="n"/>
      <c r="B155" s="10" t="inlineStr">
        <is>
          <t>젊은 베르테르의 기쁨</t>
        </is>
      </c>
      <c r="C155" s="11" t="inlineStr">
        <is>
          <t>알랭드 보통</t>
        </is>
      </c>
      <c r="D155" s="11" t="inlineStr">
        <is>
          <t>생각의 나무</t>
        </is>
      </c>
      <c r="E155" s="12">
        <f>_xludf.IFS(COUNTIF(보류목록!$B$3:$B$1000, B155)&gt;0, "-",COUNTIF(독서목록!$C$2:$C$1099, B155)=0, , COUNTIF(독서목록!$C$2:$C$1099, B155)&gt;0, COUNTIF(독서목록!$C$2:$C$1099, B155))</f>
        <v/>
      </c>
      <c r="F155" s="12">
        <f>_xludf.IFS(COUNTIF(보류목록!$C$3:$C$1000, B155)&gt;0, "-",COUNTIF(독서목록!$D$2:$D$1099, B155)=0, , COUNTIF(독서목록!$D$2:$D$1099, B155)&gt;0, COUNTIF(독서목록!$D$2:$D$1099, B155))</f>
        <v/>
      </c>
      <c r="G155" s="13" t="inlineStr">
        <is>
          <t>2019.07.06</t>
        </is>
      </c>
      <c r="H155" s="14" t="n"/>
      <c r="I155" s="14" t="n"/>
      <c r="J155" s="16" t="inlineStr">
        <is>
          <t>8984984388 9788984984387</t>
        </is>
      </c>
      <c r="K155" s="17" t="inlineStr">
        <is>
          <t>https://search1.kakaocdn.net/thumb/R120x174.q85/?fname=http%3A%2F%2Ft1.daumcdn.net%2Flbook%2Fimage%2F1202947%3Ftimestamp%3D20221108013235</t>
        </is>
      </c>
    </row>
    <row r="156" ht="16.5" customHeight="1" s="118">
      <c r="A156" s="9" t="n"/>
      <c r="B156" s="10" t="inlineStr">
        <is>
          <t>역사의 역사</t>
        </is>
      </c>
      <c r="C156" s="11" t="inlineStr">
        <is>
          <t>유시민</t>
        </is>
      </c>
      <c r="D156" s="11" t="inlineStr">
        <is>
          <t>돌베개</t>
        </is>
      </c>
      <c r="E156" s="12">
        <f>_xludf.IFS(COUNTIF(보류목록!$B$3:$B$1000, B156)&gt;0, "-",COUNTIF(독서목록!$C$2:$C$1099, B156)=0, , COUNTIF(독서목록!$C$2:$C$1099, B156)&gt;0, COUNTIF(독서목록!$C$2:$C$1099, B156))</f>
        <v/>
      </c>
      <c r="F156" s="12">
        <f>_xludf.IFS(COUNTIF(보류목록!$C$3:$C$1000, B156)&gt;0, "-",COUNTIF(독서목록!$D$2:$D$1099, B156)=0, , COUNTIF(독서목록!$D$2:$D$1099, B156)&gt;0, COUNTIF(독서목록!$D$2:$D$1099, B156))</f>
        <v/>
      </c>
      <c r="G156" s="13" t="inlineStr">
        <is>
          <t>2019.07.06</t>
        </is>
      </c>
      <c r="H156" s="14" t="n"/>
      <c r="I156" s="14" t="n"/>
      <c r="J156" s="16" t="inlineStr">
        <is>
          <t>8971998555 9788971998557</t>
        </is>
      </c>
      <c r="K156" s="19" t="inlineStr">
        <is>
          <t>https://search1.kakaocdn.net/thumb/R120x174.q85/?fname=http%3A%2F%2Ft1.daumcdn.net%2Flbook%2Fimage%2F994585%3Ftimestamp%3D20250906110354</t>
        </is>
      </c>
    </row>
    <row r="157" ht="16.5" customHeight="1" s="118">
      <c r="A157" s="9" t="n"/>
      <c r="B157" s="10" t="inlineStr">
        <is>
          <t>오 자히르</t>
        </is>
      </c>
      <c r="C157" s="11" t="inlineStr">
        <is>
          <t>파울로 코엘료</t>
        </is>
      </c>
      <c r="D157" s="11" t="inlineStr">
        <is>
          <t>문학동네</t>
        </is>
      </c>
      <c r="E157" s="12">
        <f>_xludf.IFS(COUNTIF(보류목록!$B$3:$B$1000, B157)&gt;0, "-",COUNTIF(독서목록!$C$2:$C$1099, B157)=0, , COUNTIF(독서목록!$C$2:$C$1099, B157)&gt;0, COUNTIF(독서목록!$C$2:$C$1099, B157))</f>
        <v/>
      </c>
      <c r="F157" s="12">
        <f>_xludf.IFS(COUNTIF(보류목록!$C$3:$C$1000, B157)&gt;0, "-",COUNTIF(독서목록!$D$2:$D$1099, B157)=0, , COUNTIF(독서목록!$D$2:$D$1099, B157)&gt;0, COUNTIF(독서목록!$D$2:$D$1099, B157))</f>
        <v/>
      </c>
      <c r="G157" s="13" t="inlineStr">
        <is>
          <t>2019.07.06</t>
        </is>
      </c>
      <c r="H157" s="14" t="inlineStr">
        <is>
          <t>기부</t>
        </is>
      </c>
      <c r="I157" s="14" t="inlineStr">
        <is>
          <t>기부</t>
        </is>
      </c>
      <c r="J157" s="16" t="inlineStr">
        <is>
          <t>8982819991 9788982819995</t>
        </is>
      </c>
      <c r="K157" s="19" t="inlineStr">
        <is>
          <t>https://search1.kakaocdn.net/thumb/R120x174.q85/?fname=http%3A%2F%2Ft1.daumcdn.net%2Flbook%2Fimage%2F1156319%3Ftimestamp%3D20251209110826</t>
        </is>
      </c>
    </row>
    <row r="158" ht="16.5" customHeight="1" s="118">
      <c r="A158" s="9" t="n"/>
      <c r="B158" s="10" t="inlineStr">
        <is>
          <t>익숙한 그 집앞</t>
        </is>
      </c>
      <c r="C158" s="11" t="inlineStr">
        <is>
          <t>유희열</t>
        </is>
      </c>
      <c r="D158" s="11" t="inlineStr">
        <is>
          <t>중앙M&amp;B</t>
        </is>
      </c>
      <c r="E158" s="12">
        <f>_xludf.IFS(COUNTIF(보류목록!$B$3:$B$1000, B158)&gt;0, "-",COUNTIF(독서목록!$C$2:$C$1099, B158)=0, , COUNTIF(독서목록!$C$2:$C$1099, B158)&gt;0, COUNTIF(독서목록!$C$2:$C$1099, B158))</f>
        <v/>
      </c>
      <c r="F158" s="12">
        <f>_xludf.IFS(COUNTIF(보류목록!$C$3:$C$1000, B158)&gt;0, "-",COUNTIF(독서목록!$D$2:$D$1099, B158)=0, , COUNTIF(독서목록!$D$2:$D$1099, B158)&gt;0, COUNTIF(독서목록!$D$2:$D$1099, B158))</f>
        <v/>
      </c>
      <c r="G158" s="13" t="inlineStr">
        <is>
          <t>2018.02.04</t>
        </is>
      </c>
      <c r="H158" s="14" t="inlineStr">
        <is>
          <t>기부</t>
        </is>
      </c>
      <c r="I158" s="14" t="inlineStr">
        <is>
          <t>기부</t>
        </is>
      </c>
      <c r="J158" s="16" t="inlineStr">
        <is>
          <t>8983752866 9788983752864</t>
        </is>
      </c>
      <c r="K158" s="17" t="inlineStr">
        <is>
          <t>https://search1.kakaocdn.net/thumb/R120x174.q85/?fname=http%3A%2F%2Ft1.daumcdn.net%2Flbook%2Fimage%2F1164636%3Ftimestamp%3D20231103202244</t>
        </is>
      </c>
    </row>
    <row r="159" ht="16.5" customHeight="1" s="118">
      <c r="A159" s="9" t="n"/>
      <c r="B159" s="10" t="inlineStr">
        <is>
          <t>산에는 꽃이 피네</t>
        </is>
      </c>
      <c r="C159" s="11" t="inlineStr">
        <is>
          <t>법정</t>
        </is>
      </c>
      <c r="D159" s="11" t="inlineStr">
        <is>
          <t>동쪽나라</t>
        </is>
      </c>
      <c r="E159" s="12">
        <f>_xludf.IFS(COUNTIF(보류목록!$B$3:$B$1000, B159)&gt;0, "-",COUNTIF(독서목록!$C$2:$C$1099, B159)=0, , COUNTIF(독서목록!$C$2:$C$1099, B159)&gt;0, COUNTIF(독서목록!$C$2:$C$1099, B159))</f>
        <v/>
      </c>
      <c r="F159" s="12">
        <f>_xludf.IFS(COUNTIF(보류목록!$C$3:$C$1000, B159)&gt;0, "-",COUNTIF(독서목록!$D$2:$D$1099, B159)=0, , COUNTIF(독서목록!$D$2:$D$1099, B159)&gt;0, COUNTIF(독서목록!$D$2:$D$1099, B159))</f>
        <v/>
      </c>
      <c r="G159" s="13" t="inlineStr">
        <is>
          <t>2018.10.21</t>
        </is>
      </c>
      <c r="H159" s="14" t="inlineStr">
        <is>
          <t>기부</t>
        </is>
      </c>
      <c r="I159" s="14" t="inlineStr">
        <is>
          <t>기부</t>
        </is>
      </c>
      <c r="J159" s="16" t="inlineStr">
        <is>
          <t>8976380312 9788976380319</t>
        </is>
      </c>
      <c r="K159" s="17" t="inlineStr">
        <is>
          <t>https://search1.kakaocdn.net/thumb/R120x174.q85/?fname=http%3A%2F%2Ft1.daumcdn.net%2Flbook%2Fimage%2F1072450%3Ftimestamp%3D20220403182834</t>
        </is>
      </c>
    </row>
    <row r="160" ht="16.5" customHeight="1" s="118">
      <c r="A160" s="9" t="n"/>
      <c r="B160" s="10" t="inlineStr">
        <is>
          <t>무소유</t>
        </is>
      </c>
      <c r="C160" s="11" t="inlineStr">
        <is>
          <t>법정</t>
        </is>
      </c>
      <c r="D160" s="11" t="inlineStr">
        <is>
          <t>범우사</t>
        </is>
      </c>
      <c r="E160" s="12">
        <f>_xludf.IFS(COUNTIF(보류목록!$B$3:$B$1000, B160)&gt;0, "-",COUNTIF(독서목록!$C$2:$C$1099, B160)=0, , COUNTIF(독서목록!$C$2:$C$1099, B160)&gt;0, COUNTIF(독서목록!$C$2:$C$1099, B160))</f>
        <v/>
      </c>
      <c r="F160" s="12">
        <f>_xludf.IFS(COUNTIF(보류목록!$C$3:$C$1000, B160)&gt;0, "-",COUNTIF(독서목록!$D$2:$D$1099, B160)=0, , COUNTIF(독서목록!$D$2:$D$1099, B160)&gt;0, COUNTIF(독서목록!$D$2:$D$1099, B160))</f>
        <v/>
      </c>
      <c r="G160" s="13" t="inlineStr">
        <is>
          <t>2018.10.21</t>
        </is>
      </c>
      <c r="H160" s="14" t="n"/>
      <c r="I160" s="14" t="n"/>
      <c r="J160" s="16" t="inlineStr">
        <is>
          <t>8908041311 9788908041318</t>
        </is>
      </c>
      <c r="K160" s="17" t="inlineStr">
        <is>
          <t>https://search1.kakaocdn.net/thumb/R120x174.q85/?fname=http%3A%2F%2Ft1.daumcdn.net%2Flbook%2Fimage%2F363328%3Ftimestamp%3D20240803112640</t>
        </is>
      </c>
    </row>
    <row r="161" ht="16.5" customHeight="1" s="118">
      <c r="A161" s="9" t="n"/>
      <c r="B161" s="10" t="inlineStr">
        <is>
          <t>이기는 습관</t>
        </is>
      </c>
      <c r="C161" s="11" t="inlineStr">
        <is>
          <t>전옥표</t>
        </is>
      </c>
      <c r="D161" s="11" t="inlineStr">
        <is>
          <t>쌤앤파커스</t>
        </is>
      </c>
      <c r="E161" s="12">
        <f>_xludf.IFS(COUNTIF(보류목록!$B$3:$B$1000, B161)&gt;0, "-",COUNTIF(독서목록!$C$2:$C$1099, B161)=0, , COUNTIF(독서목록!$C$2:$C$1099, B161)&gt;0, COUNTIF(독서목록!$C$2:$C$1099, B161))</f>
        <v/>
      </c>
      <c r="F161" s="12">
        <f>_xludf.IFS(COUNTIF(보류목록!$C$3:$C$1000, B161)&gt;0, "-",COUNTIF(독서목록!$D$2:$D$1099, B161)=0, , COUNTIF(독서목록!$D$2:$D$1099, B161)&gt;0, COUNTIF(독서목록!$D$2:$D$1099, B161))</f>
        <v/>
      </c>
      <c r="G161" s="13" t="inlineStr">
        <is>
          <t>2018.10.21</t>
        </is>
      </c>
      <c r="H161" s="14" t="n"/>
      <c r="I161" s="14" t="n"/>
      <c r="J161" s="16" t="inlineStr">
        <is>
          <t>8995881607 9788995881606</t>
        </is>
      </c>
      <c r="K161" s="19" t="inlineStr">
        <is>
          <t>https://search1.kakaocdn.net/thumb/R120x174.q85/?fname=http%3A%2F%2Ft1.daumcdn.net%2Flbook%2Fimage%2F1458984%3Ftimestamp%3D20250427115513</t>
        </is>
      </c>
    </row>
    <row r="162" ht="16.5" customHeight="1" s="118">
      <c r="A162" s="9" t="n"/>
      <c r="B162" s="10" t="inlineStr">
        <is>
          <t>적을 만들지 않는 대화법</t>
        </is>
      </c>
      <c r="C162" s="11" t="inlineStr">
        <is>
          <t>샘혼</t>
        </is>
      </c>
      <c r="D162" s="11" t="inlineStr">
        <is>
          <t>갈매나무</t>
        </is>
      </c>
      <c r="E162" s="12">
        <f>_xludf.IFS(COUNTIF(보류목록!$B$3:$B$1000, B162)&gt;0, "-",COUNTIF(독서목록!$C$2:$C$1099, B162)=0, , COUNTIF(독서목록!$C$2:$C$1099, B162)&gt;0, COUNTIF(독서목록!$C$2:$C$1099, B162))</f>
        <v/>
      </c>
      <c r="F162" s="12">
        <f>_xludf.IFS(COUNTIF(보류목록!$C$3:$C$1000, B162)&gt;0, "-",COUNTIF(독서목록!$D$2:$D$1099, B162)=0, , COUNTIF(독서목록!$D$2:$D$1099, B162)&gt;0, COUNTIF(독서목록!$D$2:$D$1099, B162))</f>
        <v/>
      </c>
      <c r="G162" s="13" t="inlineStr">
        <is>
          <t>2018.09.08</t>
        </is>
      </c>
      <c r="H162" s="14" t="n"/>
      <c r="I162" s="14" t="n"/>
      <c r="J162" s="16" t="inlineStr">
        <is>
          <t>8995932589 9788995932582</t>
        </is>
      </c>
      <c r="K162" s="17" t="inlineStr">
        <is>
          <t>https://search1.kakaocdn.net/thumb/R120x174.q85/?fname=http%3A%2F%2Ft1.daumcdn.net%2Flbook%2Fimage%2F1453259%3Ftimestamp%3D20220716191510</t>
        </is>
      </c>
    </row>
    <row r="163" ht="16.5" customHeight="1" s="118">
      <c r="A163" s="9" t="n"/>
      <c r="B163" s="10" t="inlineStr">
        <is>
          <t>에덴의 용</t>
        </is>
      </c>
      <c r="C163" s="11" t="inlineStr">
        <is>
          <t>칼 세이건</t>
        </is>
      </c>
      <c r="D163" s="11" t="inlineStr">
        <is>
          <t>사이언스북스</t>
        </is>
      </c>
      <c r="E163" s="12">
        <f>_xludf.IFS(COUNTIF(보류목록!$B$3:$B$1000, B163)&gt;0, "-",COUNTIF(독서목록!$C$2:$C$1099, B163)=0, , COUNTIF(독서목록!$C$2:$C$1099, B163)&gt;0, COUNTIF(독서목록!$C$2:$C$1099, B163))</f>
        <v/>
      </c>
      <c r="F163" s="12">
        <f>_xludf.IFS(COUNTIF(보류목록!$C$3:$C$1000, B163)&gt;0, "-",COUNTIF(독서목록!$D$2:$D$1099, B163)=0, , COUNTIF(독서목록!$D$2:$D$1099, B163)&gt;0, COUNTIF(독서목록!$D$2:$D$1099, B163))</f>
        <v/>
      </c>
      <c r="G163" s="13" t="inlineStr">
        <is>
          <t>2018.09.08</t>
        </is>
      </c>
      <c r="H163" s="14" t="n"/>
      <c r="I163" s="14" t="n"/>
      <c r="J163" s="16" t="inlineStr">
        <is>
          <t>8983711833 9788983711830</t>
        </is>
      </c>
      <c r="K163" s="17" t="inlineStr">
        <is>
          <t>https://search1.kakaocdn.net/thumb/R120x174.q85/?fname=http%3A%2F%2Ft1.daumcdn.net%2Flbook%2Fimage%2F1167802%3Ftimestamp%3D20250409113817</t>
        </is>
      </c>
    </row>
    <row r="164" ht="16.5" customHeight="1" s="118">
      <c r="A164" s="9" t="n"/>
      <c r="B164" s="10" t="inlineStr">
        <is>
          <t>죽음에 관하여2</t>
        </is>
      </c>
      <c r="C164" s="11" t="inlineStr">
        <is>
          <t>시니, 혀노</t>
        </is>
      </c>
      <c r="D164" s="11" t="inlineStr">
        <is>
          <t>영컴</t>
        </is>
      </c>
      <c r="E164" s="12">
        <f>_xludf.IFS(COUNTIF(보류목록!$B$3:$B$1000, B164)&gt;0, "-",COUNTIF(독서목록!$C$2:$C$1099, B164)=0, , COUNTIF(독서목록!$C$2:$C$1099, B164)&gt;0, COUNTIF(독서목록!$C$2:$C$1099, B164))</f>
        <v/>
      </c>
      <c r="F164" s="12">
        <f>_xludf.IFS(COUNTIF(보류목록!$C$3:$C$1000, B164)&gt;0, "-",COUNTIF(독서목록!$D$2:$D$1099, B164)=0, , COUNTIF(독서목록!$D$2:$D$1099, B164)&gt;0, COUNTIF(독서목록!$D$2:$D$1099, B164))</f>
        <v/>
      </c>
      <c r="G164" s="13" t="inlineStr">
        <is>
          <t>2018.09.08</t>
        </is>
      </c>
      <c r="H164" s="14" t="n"/>
      <c r="I164" s="14" t="n"/>
      <c r="J164" s="16" t="inlineStr">
        <is>
          <t>8996885150 9788996885153</t>
        </is>
      </c>
      <c r="K164" s="17" t="inlineStr">
        <is>
          <t>https://search1.kakaocdn.net/thumb/R120x174.q85/?fname=http%3A%2F%2Ft1.daumcdn.net%2Flbook%2Fimage%2F1475434%3Ftimestamp%3D20220825194739</t>
        </is>
      </c>
    </row>
    <row r="165" ht="16.5" customHeight="1" s="118">
      <c r="A165" s="9" t="n"/>
      <c r="B165" s="10" t="inlineStr">
        <is>
          <t>죽음에 관하여1</t>
        </is>
      </c>
      <c r="C165" s="11" t="inlineStr">
        <is>
          <t>시니, 혀노</t>
        </is>
      </c>
      <c r="D165" s="11" t="inlineStr">
        <is>
          <t>영컴</t>
        </is>
      </c>
      <c r="E165" s="12">
        <f>_xludf.IFS(COUNTIF(보류목록!$B$3:$B$1000, B165)&gt;0, "-",COUNTIF(독서목록!$C$2:$C$1099, B165)=0, , COUNTIF(독서목록!$C$2:$C$1099, B165)&gt;0, COUNTIF(독서목록!$C$2:$C$1099, B165))</f>
        <v/>
      </c>
      <c r="F165" s="12">
        <f>_xludf.IFS(COUNTIF(보류목록!$C$3:$C$1000, B165)&gt;0, "-",COUNTIF(독서목록!$D$2:$D$1099, B165)=0, , COUNTIF(독서목록!$D$2:$D$1099, B165)&gt;0, COUNTIF(독서목록!$D$2:$D$1099, B165))</f>
        <v/>
      </c>
      <c r="G165" s="13" t="inlineStr">
        <is>
          <t>2018.09.08</t>
        </is>
      </c>
      <c r="H165" s="14" t="n"/>
      <c r="I165" s="14" t="n"/>
      <c r="J165" s="16" t="inlineStr">
        <is>
          <t>1162790237 9791162790236</t>
        </is>
      </c>
      <c r="K165" s="17" t="inlineStr">
        <is>
          <t>https://search1.kakaocdn.net/thumb/R120x174.q85/?fname=http%3A%2F%2Ft1.daumcdn.net%2Flbook%2Fimage%2F3757012%3Ftimestamp%3D20220118150858</t>
        </is>
      </c>
    </row>
    <row r="166" ht="16.5" customHeight="1" s="118">
      <c r="A166" s="9" t="n"/>
      <c r="B166" s="10" t="inlineStr">
        <is>
          <t>1분 경영</t>
        </is>
      </c>
      <c r="C166" s="11" t="inlineStr">
        <is>
          <t>켄 블랜차드, 스펜서 존슨</t>
        </is>
      </c>
      <c r="D166" s="11" t="inlineStr">
        <is>
          <t>21세기북스</t>
        </is>
      </c>
      <c r="E166" s="12">
        <f>_xludf.IFS(COUNTIF(보류목록!$B$3:$B$1000, B166)&gt;0, "-",COUNTIF(독서목록!$C$2:$C$1099, B166)=0, , COUNTIF(독서목록!$C$2:$C$1099, B166)&gt;0, COUNTIF(독서목록!$C$2:$C$1099, B166))</f>
        <v/>
      </c>
      <c r="F166" s="12">
        <f>_xludf.IFS(COUNTIF(보류목록!$C$3:$C$1000, B166)&gt;0, "-",COUNTIF(독서목록!$D$2:$D$1099, B166)=0, , COUNTIF(독서목록!$D$2:$D$1099, B166)&gt;0, COUNTIF(독서목록!$D$2:$D$1099, B166))</f>
        <v/>
      </c>
      <c r="G166" s="13" t="inlineStr">
        <is>
          <t>2018.09.08</t>
        </is>
      </c>
      <c r="H166" s="14" t="inlineStr">
        <is>
          <t>기부</t>
        </is>
      </c>
      <c r="I166" s="14" t="inlineStr">
        <is>
          <t>기부</t>
        </is>
      </c>
      <c r="J166" s="16" t="inlineStr">
        <is>
          <t>8950962012 9788950962012</t>
        </is>
      </c>
      <c r="K166" s="17" t="inlineStr">
        <is>
          <t>https://search1.kakaocdn.net/thumb/R120x174.q85/?fname=http%3A%2F%2Ft1.daumcdn.net%2Flbook%2Fimage%2F625091%3Ftimestamp%3D20251221110839</t>
        </is>
      </c>
    </row>
    <row r="167" ht="16.5" customHeight="1" s="118">
      <c r="A167" s="9" t="n"/>
      <c r="B167" s="10" t="inlineStr">
        <is>
          <t>사랑은 어디로 가는가</t>
        </is>
      </c>
      <c r="C167" s="11" t="inlineStr">
        <is>
          <t>에카르트 폰 히르슈하우젠</t>
        </is>
      </c>
      <c r="D167" s="11" t="inlineStr">
        <is>
          <t>은행나무</t>
        </is>
      </c>
      <c r="E167" s="12">
        <f>_xludf.IFS(COUNTIF(보류목록!$B$3:$B$1000, B167)&gt;0, "-",COUNTIF(독서목록!$C$2:$C$1099, B167)=0, , COUNTIF(독서목록!$C$2:$C$1099, B167)&gt;0, COUNTIF(독서목록!$C$2:$C$1099, B167))</f>
        <v/>
      </c>
      <c r="F167" s="12">
        <f>_xludf.IFS(COUNTIF(보류목록!$C$3:$C$1000, B167)&gt;0, "-",COUNTIF(독서목록!$D$2:$D$1099, B167)=0, , COUNTIF(독서목록!$D$2:$D$1099, B167)&gt;0, COUNTIF(독서목록!$D$2:$D$1099, B167))</f>
        <v/>
      </c>
      <c r="G167" s="13" t="inlineStr">
        <is>
          <t>2018.07.16</t>
        </is>
      </c>
      <c r="H167" s="14" t="n"/>
      <c r="I167" s="14" t="n"/>
      <c r="J167" s="16" t="inlineStr">
        <is>
          <t>8956606692 9788956606699</t>
        </is>
      </c>
      <c r="K167" s="17" t="inlineStr">
        <is>
          <t>https://search1.kakaocdn.net/thumb/R120x174.q85/?fname=http%3A%2F%2Ft1.daumcdn.net%2Flbook%2Fimage%2F737832%3Ftimestamp%3D20240222135323</t>
        </is>
      </c>
    </row>
    <row r="168" ht="16.5" customHeight="1" s="118">
      <c r="A168" s="9" t="n"/>
      <c r="B168" s="10" t="inlineStr">
        <is>
          <t>백년보다 긴 하루</t>
        </is>
      </c>
      <c r="C168" s="11" t="inlineStr">
        <is>
          <t>친기즈 아이뜨마또프</t>
        </is>
      </c>
      <c r="D168" s="11" t="inlineStr">
        <is>
          <t>열린책들</t>
        </is>
      </c>
      <c r="E168" s="12">
        <f>_xludf.IFS(COUNTIF(보류목록!$B$3:$B$1000, B168)&gt;0, "-",COUNTIF(독서목록!$C$2:$C$1099, B168)=0, , COUNTIF(독서목록!$C$2:$C$1099, B168)&gt;0, COUNTIF(독서목록!$C$2:$C$1099, B168))</f>
        <v/>
      </c>
      <c r="F168" s="12">
        <f>_xludf.IFS(COUNTIF(보류목록!$C$3:$C$1000, B168)&gt;0, "-",COUNTIF(독서목록!$D$2:$D$1099, B168)=0, , COUNTIF(독서목록!$D$2:$D$1099, B168)&gt;0, COUNTIF(독서목록!$D$2:$D$1099, B168))</f>
        <v/>
      </c>
      <c r="G168" s="13" t="inlineStr">
        <is>
          <t>2018.07.16</t>
        </is>
      </c>
      <c r="H168" s="14" t="n"/>
      <c r="I168" s="14" t="n"/>
      <c r="J168" s="16" t="inlineStr">
        <is>
          <t>893290961X 9788932909615</t>
        </is>
      </c>
      <c r="K168" s="17" t="inlineStr">
        <is>
          <t>https://search1.kakaocdn.net/thumb/R120x174.q85/?fname=http%3A%2F%2Ft1.daumcdn.net%2Flbook%2Fimage%2F505037%3Ftimestamp%3D20231028165033</t>
        </is>
      </c>
    </row>
    <row r="169" ht="16.5" customHeight="1" s="118">
      <c r="A169" s="9" t="n"/>
      <c r="B169" s="10" t="inlineStr">
        <is>
          <t>체스이야기 낯선 여인의 편지</t>
        </is>
      </c>
      <c r="C169" s="11" t="inlineStr">
        <is>
          <t>슈테판 츠바이크</t>
        </is>
      </c>
      <c r="D169" s="11" t="inlineStr">
        <is>
          <t>문학동네</t>
        </is>
      </c>
      <c r="E169" s="12">
        <f>_xludf.IFS(COUNTIF(보류목록!$B$3:$B$1000, B169)&gt;0, "-",COUNTIF(독서목록!$C$2:$C$1099, B169)=0, , COUNTIF(독서목록!$C$2:$C$1099, B169)&gt;0, COUNTIF(독서목록!$C$2:$C$1099, B169))</f>
        <v/>
      </c>
      <c r="F169" s="12">
        <f>_xludf.IFS(COUNTIF(보류목록!$C$3:$C$1000, B169)&gt;0, "-",COUNTIF(독서목록!$D$2:$D$1099, B169)=0, , COUNTIF(독서목록!$D$2:$D$1099, B169)&gt;0, COUNTIF(독서목록!$D$2:$D$1099, B169))</f>
        <v/>
      </c>
      <c r="G169" s="13" t="inlineStr">
        <is>
          <t>2018.07.16</t>
        </is>
      </c>
      <c r="H169" s="14" t="n"/>
      <c r="I169" s="14" t="n"/>
      <c r="J169" s="16" t="inlineStr">
        <is>
          <t>8954609465 9788954609463</t>
        </is>
      </c>
      <c r="K169" s="17" t="inlineStr">
        <is>
          <t>https://search1.kakaocdn.net/thumb/R120x174.q85/?fname=http%3A%2F%2Ft1.daumcdn.net%2Flbook%2Fimage%2F690440%3Ftimestamp%3D20260317110904</t>
        </is>
      </c>
    </row>
    <row r="170" ht="16.5" customHeight="1" s="118">
      <c r="A170" s="9" t="n"/>
      <c r="B170" s="10" t="inlineStr">
        <is>
          <t>아주 작은 반복의 힘</t>
        </is>
      </c>
      <c r="C170" s="11" t="inlineStr">
        <is>
          <t>로버트 마우어</t>
        </is>
      </c>
      <c r="D170" s="11" t="inlineStr">
        <is>
          <t>스몰빅라이프</t>
        </is>
      </c>
      <c r="E170" s="12">
        <f>_xludf.IFS(COUNTIF(보류목록!$B$3:$B$1000, B170)&gt;0, "-",COUNTIF(독서목록!$C$2:$C$1099, B170)=0, , COUNTIF(독서목록!$C$2:$C$1099, B170)&gt;0, COUNTIF(독서목록!$C$2:$C$1099, B170))</f>
        <v/>
      </c>
      <c r="F170" s="12">
        <f>_xludf.IFS(COUNTIF(보류목록!$C$3:$C$1000, B170)&gt;0, "-",COUNTIF(독서목록!$D$2:$D$1099, B170)=0, , COUNTIF(독서목록!$D$2:$D$1099, B170)&gt;0, COUNTIF(독서목록!$D$2:$D$1099, B170))</f>
        <v/>
      </c>
      <c r="G170" s="13" t="inlineStr">
        <is>
          <t>2018.07.16</t>
        </is>
      </c>
      <c r="H170" s="14" t="n"/>
      <c r="I170" s="14" t="n"/>
      <c r="J170" s="16" t="inlineStr">
        <is>
          <t>1191731359 9791191731354</t>
        </is>
      </c>
      <c r="K170" s="17" t="inlineStr">
        <is>
          <t>https://search1.kakaocdn.net/thumb/R120x174.q85/?fname=http%3A%2F%2Ft1.daumcdn.net%2Flbook%2Fimage%2F6215806%3Ftimestamp%3D20260210151235</t>
        </is>
      </c>
    </row>
    <row r="171" ht="16.5" customHeight="1" s="118">
      <c r="A171" s="9" t="n"/>
      <c r="B171" s="10" t="inlineStr">
        <is>
          <t>어떻게 살 것인가</t>
        </is>
      </c>
      <c r="C171" s="11" t="inlineStr">
        <is>
          <t>유시민</t>
        </is>
      </c>
      <c r="D171" s="11" t="inlineStr">
        <is>
          <t>생각의 길</t>
        </is>
      </c>
      <c r="E171" s="12">
        <f>_xludf.IFS(COUNTIF(보류목록!$B$3:$B$1000, B171)&gt;0, "-",COUNTIF(독서목록!$C$2:$C$1099, B171)=0, , COUNTIF(독서목록!$C$2:$C$1099, B171)&gt;0, COUNTIF(독서목록!$C$2:$C$1099, B171))</f>
        <v/>
      </c>
      <c r="F171" s="12">
        <f>_xludf.IFS(COUNTIF(보류목록!$C$3:$C$1000, B171)&gt;0, "-",COUNTIF(독서목록!$D$2:$D$1099, B171)=0, , COUNTIF(독서목록!$D$2:$D$1099, B171)&gt;0, COUNTIF(독서목록!$D$2:$D$1099, B171))</f>
        <v/>
      </c>
      <c r="G171" s="13" t="inlineStr">
        <is>
          <t>2018.06.21</t>
        </is>
      </c>
      <c r="H171" s="14" t="n"/>
      <c r="I171" s="14" t="n"/>
      <c r="J171" s="16" t="inlineStr">
        <is>
          <t>8965132282 9788965132288</t>
        </is>
      </c>
      <c r="K171" s="17" t="inlineStr">
        <is>
          <t>https://search1.kakaocdn.net/thumb/R120x174.q85/?fname=http%3A%2F%2Ft1.daumcdn.net%2Flbook%2Fimage%2F909803%3Ftimestamp%3D20251121110906</t>
        </is>
      </c>
    </row>
    <row r="172" ht="16.5" customHeight="1" s="118">
      <c r="A172" s="9" t="n"/>
      <c r="B172" s="10" t="inlineStr">
        <is>
          <t>캔터베리 이야기</t>
        </is>
      </c>
      <c r="C172" s="11" t="inlineStr">
        <is>
          <t>제프리 초서</t>
        </is>
      </c>
      <c r="D172" s="11" t="inlineStr">
        <is>
          <t>제프리 초서</t>
        </is>
      </c>
      <c r="E172" s="12">
        <f>_xludf.IFS(COUNTIF(보류목록!$B$3:$B$1000, B172)&gt;0, "-",COUNTIF(독서목록!$C$2:$C$1099, B172)=0, , COUNTIF(독서목록!$C$2:$C$1099, B172)&gt;0, COUNTIF(독서목록!$C$2:$C$1099, B172))</f>
        <v/>
      </c>
      <c r="F172" s="12">
        <f>_xludf.IFS(COUNTIF(보류목록!$C$3:$C$1000, B172)&gt;0, "-",COUNTIF(독서목록!$D$2:$D$1099, B172)=0, , COUNTIF(독서목록!$D$2:$D$1099, B172)&gt;0, COUNTIF(독서목록!$D$2:$D$1099, B172))</f>
        <v/>
      </c>
      <c r="G172" s="13" t="inlineStr">
        <is>
          <t>2018.06.21</t>
        </is>
      </c>
      <c r="H172" s="14" t="n"/>
      <c r="I172" s="14" t="n"/>
      <c r="J172" s="16" t="inlineStr">
        <is>
          <t>1159932263 9791159932267</t>
        </is>
      </c>
      <c r="K172" s="17" t="inlineStr">
        <is>
          <t>https://search1.kakaocdn.net/thumb/R120x174.q85/?fname=http%3A%2F%2Ft1.daumcdn.net%2Flbook%2Fimage%2F6333826%3Ftimestamp%3D20240523162803</t>
        </is>
      </c>
    </row>
    <row r="173" ht="16.5" customHeight="1" s="118">
      <c r="A173" s="9" t="n"/>
      <c r="B173" s="10" t="inlineStr">
        <is>
          <t>검의 대가</t>
        </is>
      </c>
      <c r="C173" s="11" t="inlineStr">
        <is>
          <t>아르투로 페레스 레베르테</t>
        </is>
      </c>
      <c r="D173" s="11" t="inlineStr">
        <is>
          <t>열린책들</t>
        </is>
      </c>
      <c r="E173" s="12">
        <f>_xludf.IFS(COUNTIF(보류목록!$B$3:$B$1000, B173)&gt;0, "-",COUNTIF(독서목록!$C$2:$C$1099, B173)=0, , COUNTIF(독서목록!$C$2:$C$1099, B173)&gt;0, COUNTIF(독서목록!$C$2:$C$1099, B173))</f>
        <v/>
      </c>
      <c r="F173" s="12">
        <f>_xludf.IFS(COUNTIF(보류목록!$C$3:$C$1000, B173)&gt;0, "-",COUNTIF(독서목록!$D$2:$D$1099, B173)=0, , COUNTIF(독서목록!$D$2:$D$1099, B173)&gt;0, COUNTIF(독서목록!$D$2:$D$1099, B173))</f>
        <v/>
      </c>
      <c r="G173" s="13" t="inlineStr">
        <is>
          <t>2018.06.21</t>
        </is>
      </c>
      <c r="H173" s="14" t="inlineStr">
        <is>
          <t>기부</t>
        </is>
      </c>
      <c r="I173" s="14" t="inlineStr">
        <is>
          <t>기부</t>
        </is>
      </c>
      <c r="J173" s="16" t="inlineStr">
        <is>
          <t>8932909954 9788932909950</t>
        </is>
      </c>
      <c r="K173" s="17" t="inlineStr">
        <is>
          <t>https://search1.kakaocdn.net/thumb/R120x174.q85/?fname=http%3A%2F%2Ft1.daumcdn.net%2Flbook%2Fimage%2F506547%3Ftimestamp%3D20240130151302</t>
        </is>
      </c>
    </row>
    <row r="174" ht="16.5" customHeight="1" s="118">
      <c r="A174" s="9" t="n"/>
      <c r="B174" s="10" t="inlineStr">
        <is>
          <t>적과 흑(하)</t>
        </is>
      </c>
      <c r="C174" s="11" t="inlineStr">
        <is>
          <t>스탕달</t>
        </is>
      </c>
      <c r="D174" s="11" t="inlineStr">
        <is>
          <t>열린책들</t>
        </is>
      </c>
      <c r="E174" s="12">
        <f>_xludf.IFS(COUNTIF(보류목록!$B$3:$B$1000, B174)&gt;0, "-",COUNTIF(독서목록!$C$2:$C$1099, B174)=0, , COUNTIF(독서목록!$C$2:$C$1099, B174)&gt;0, COUNTIF(독서목록!$C$2:$C$1099, B174))</f>
        <v/>
      </c>
      <c r="F174" s="12">
        <f>_xludf.IFS(COUNTIF(보류목록!$C$3:$C$1000, B174)&gt;0, "-",COUNTIF(독서목록!$D$2:$D$1099, B174)=0, , COUNTIF(독서목록!$D$2:$D$1099, B174)&gt;0, COUNTIF(독서목록!$D$2:$D$1099, B174))</f>
        <v/>
      </c>
      <c r="G174" s="13" t="inlineStr">
        <is>
          <t>2018.05.02</t>
        </is>
      </c>
      <c r="H174" s="14" t="n"/>
      <c r="I174" s="14" t="n"/>
      <c r="J174" s="16" t="inlineStr">
        <is>
          <t>8932909865 9788932909868</t>
        </is>
      </c>
      <c r="K174" s="19" t="inlineStr">
        <is>
          <t>https://search1.kakaocdn.net/thumb/R120x174.q85/?fname=http%3A%2F%2Ft1.daumcdn.net%2Flbook%2Fimage%2F506632%3Ftimestamp%3D20251014110342</t>
        </is>
      </c>
    </row>
    <row r="175" ht="16.5" customHeight="1" s="118">
      <c r="A175" s="9" t="n"/>
      <c r="B175" s="10" t="inlineStr">
        <is>
          <t>적과 흑(상)</t>
        </is>
      </c>
      <c r="C175" s="11" t="inlineStr">
        <is>
          <t>스탕달</t>
        </is>
      </c>
      <c r="D175" s="11" t="inlineStr">
        <is>
          <t>열린책들</t>
        </is>
      </c>
      <c r="E175" s="12">
        <f>_xludf.IFS(COUNTIF(보류목록!$B$3:$B$1000, B175)&gt;0, "-",COUNTIF(독서목록!$C$2:$C$1099, B175)=0, , COUNTIF(독서목록!$C$2:$C$1099, B175)&gt;0, COUNTIF(독서목록!$C$2:$C$1099, B175))</f>
        <v/>
      </c>
      <c r="F175" s="12">
        <f>_xludf.IFS(COUNTIF(보류목록!$C$3:$C$1000, B175)&gt;0, "-",COUNTIF(독서목록!$D$2:$D$1099, B175)=0, , COUNTIF(독서목록!$D$2:$D$1099, B175)&gt;0, COUNTIF(독서목록!$D$2:$D$1099, B175))</f>
        <v/>
      </c>
      <c r="G175" s="13" t="inlineStr">
        <is>
          <t>2018.05.02</t>
        </is>
      </c>
      <c r="H175" s="14" t="n"/>
      <c r="I175" s="14" t="n"/>
      <c r="J175" s="16" t="inlineStr">
        <is>
          <t>8932909857 9788932909851</t>
        </is>
      </c>
      <c r="K175" s="19" t="inlineStr">
        <is>
          <t>https://search1.kakaocdn.net/thumb/R120x174.q85/?fname=http%3A%2F%2Ft1.daumcdn.net%2Flbook%2Fimage%2F506537%3Ftimestamp%3D20251014110341</t>
        </is>
      </c>
    </row>
    <row r="176" ht="16.5" customHeight="1" s="118">
      <c r="A176" s="9" t="n"/>
      <c r="B176" s="10" t="inlineStr">
        <is>
          <t>서부 전선 이상 없다</t>
        </is>
      </c>
      <c r="C176" s="11" t="inlineStr">
        <is>
          <t>에리히 마리아 레마르크</t>
        </is>
      </c>
      <c r="D176" s="11" t="inlineStr">
        <is>
          <t>열린책들</t>
        </is>
      </c>
      <c r="E176" s="12">
        <f>_xludf.IFS(COUNTIF(보류목록!$B$3:$B$1000, B176)&gt;0, "-",COUNTIF(독서목록!$C$2:$C$1099, B176)=0, , COUNTIF(독서목록!$C$2:$C$1099, B176)&gt;0, COUNTIF(독서목록!$C$2:$C$1099, B176))</f>
        <v/>
      </c>
      <c r="F176" s="12">
        <f>_xludf.IFS(COUNTIF(보류목록!$C$3:$C$1000, B176)&gt;0, "-",COUNTIF(독서목록!$D$2:$D$1099, B176)=0, , COUNTIF(독서목록!$D$2:$D$1099, B176)&gt;0, COUNTIF(독서목록!$D$2:$D$1099, B176))</f>
        <v/>
      </c>
      <c r="G176" s="13" t="inlineStr">
        <is>
          <t>2018.05.02</t>
        </is>
      </c>
      <c r="H176" s="14" t="inlineStr">
        <is>
          <t>기부</t>
        </is>
      </c>
      <c r="I176" s="14" t="inlineStr">
        <is>
          <t>기부</t>
        </is>
      </c>
      <c r="J176" s="16" t="inlineStr">
        <is>
          <t>8932909849 9788932909844</t>
        </is>
      </c>
      <c r="K176" s="17" t="inlineStr">
        <is>
          <t>https://search1.kakaocdn.net/thumb/R120x174.q85/?fname=http%3A%2F%2Ft1.daumcdn.net%2Flbook%2Fimage%2F507052%3Ftimestamp%3D20231101164432</t>
        </is>
      </c>
    </row>
    <row r="177" ht="16.5" customHeight="1" s="118">
      <c r="A177" s="9" t="n"/>
      <c r="B177" s="10" t="inlineStr">
        <is>
          <t>순수의 시대</t>
        </is>
      </c>
      <c r="C177" s="11" t="inlineStr">
        <is>
          <t>이디스 워튼</t>
        </is>
      </c>
      <c r="D177" s="11" t="inlineStr">
        <is>
          <t>열린책들</t>
        </is>
      </c>
      <c r="E177" s="12">
        <f>_xludf.IFS(COUNTIF(보류목록!$B$3:$B$1000, B177)&gt;0, "-",COUNTIF(독서목록!$C$2:$C$1099, B177)=0, , COUNTIF(독서목록!$C$2:$C$1099, B177)&gt;0, COUNTIF(독서목록!$C$2:$C$1099, B177))</f>
        <v/>
      </c>
      <c r="F177" s="12">
        <f>_xludf.IFS(COUNTIF(보류목록!$C$3:$C$1000, B177)&gt;0, "-",COUNTIF(독서목록!$D$2:$D$1099, B177)=0, , COUNTIF(독서목록!$D$2:$D$1099, B177)&gt;0, COUNTIF(독서목록!$D$2:$D$1099, B177))</f>
        <v/>
      </c>
      <c r="G177" s="13" t="inlineStr">
        <is>
          <t>2018.05.02</t>
        </is>
      </c>
      <c r="H177" s="14" t="inlineStr">
        <is>
          <t>기부</t>
        </is>
      </c>
      <c r="I177" s="14" t="inlineStr">
        <is>
          <t>기부</t>
        </is>
      </c>
      <c r="J177" s="16" t="inlineStr">
        <is>
          <t>8932909946 9788932909943</t>
        </is>
      </c>
      <c r="K177" s="17" t="inlineStr">
        <is>
          <t>https://search1.kakaocdn.net/thumb/R120x174.q85/?fname=http%3A%2F%2Ft1.daumcdn.net%2Flbook%2Fimage%2F506914%3Ftimestamp%3D20231228173648</t>
        </is>
      </c>
    </row>
    <row r="178" ht="16.5" customHeight="1" s="118">
      <c r="A178" s="9" t="n"/>
      <c r="B178" s="10" t="inlineStr">
        <is>
          <t>인생수정</t>
        </is>
      </c>
      <c r="C178" s="11" t="inlineStr">
        <is>
          <t>조너선프랜즌</t>
        </is>
      </c>
      <c r="D178" s="11" t="inlineStr">
        <is>
          <t>은행나무</t>
        </is>
      </c>
      <c r="E178" s="12">
        <f>_xludf.IFS(COUNTIF(보류목록!$B$3:$B$1000, B178)&gt;0, "-",COUNTIF(독서목록!$C$2:$C$1099, B178)=0, , COUNTIF(독서목록!$C$2:$C$1099, B178)&gt;0, COUNTIF(독서목록!$C$2:$C$1099, B178))</f>
        <v/>
      </c>
      <c r="F178" s="12">
        <f>_xludf.IFS(COUNTIF(보류목록!$C$3:$C$1000, B178)&gt;0, "-",COUNTIF(독서목록!$D$2:$D$1099, B178)=0, , COUNTIF(독서목록!$D$2:$D$1099, B178)&gt;0, COUNTIF(독서목록!$D$2:$D$1099, B178))</f>
        <v/>
      </c>
      <c r="G178" s="13" t="inlineStr">
        <is>
          <t>2018.04.14</t>
        </is>
      </c>
      <c r="H178" s="14" t="n"/>
      <c r="I178" s="14" t="n"/>
      <c r="J178" s="16" t="inlineStr">
        <is>
          <t>8956606234 9788956606231</t>
        </is>
      </c>
      <c r="K178" s="17" t="inlineStr">
        <is>
          <t>https://search1.kakaocdn.net/thumb/R120x174.q85/?fname=http%3A%2F%2Ft1.daumcdn.net%2Flbook%2Fimage%2F737618%3Ftimestamp%3D20260327111005</t>
        </is>
      </c>
    </row>
    <row r="179" ht="16.5" customHeight="1" s="118">
      <c r="A179" s="9" t="n"/>
      <c r="B179" s="10" t="inlineStr">
        <is>
          <t>뉴스의 시대</t>
        </is>
      </c>
      <c r="C179" s="11" t="inlineStr">
        <is>
          <t>알랭드 보통</t>
        </is>
      </c>
      <c r="D179" s="11" t="inlineStr">
        <is>
          <t>문학동네</t>
        </is>
      </c>
      <c r="E179" s="12">
        <f>_xludf.IFS(COUNTIF(보류목록!$B$3:$B$1000, B179)&gt;0, "-",COUNTIF(독서목록!$C$2:$C$1099, B179)=0, , COUNTIF(독서목록!$C$2:$C$1099, B179)&gt;0, COUNTIF(독서목록!$C$2:$C$1099, B179))</f>
        <v/>
      </c>
      <c r="F179" s="12">
        <f>_xludf.IFS(COUNTIF(보류목록!$C$3:$C$1000, B179)&gt;0, "-",COUNTIF(독서목록!$D$2:$D$1099, B179)=0, , COUNTIF(독서목록!$D$2:$D$1099, B179)&gt;0, COUNTIF(독서목록!$D$2:$D$1099, B179))</f>
        <v/>
      </c>
      <c r="G179" s="13" t="inlineStr">
        <is>
          <t>2018.03.14</t>
        </is>
      </c>
      <c r="H179" s="14" t="n"/>
      <c r="I179" s="14" t="n"/>
      <c r="J179" s="16" t="inlineStr">
        <is>
          <t>895462524X 9788954625241</t>
        </is>
      </c>
      <c r="K179" s="17" t="inlineStr">
        <is>
          <t>https://search1.kakaocdn.net/thumb/R120x174.q85/?fname=http%3A%2F%2Ft1.daumcdn.net%2Flbook%2Fimage%2F691925%3Ftimestamp%3D20251127110909</t>
        </is>
      </c>
    </row>
    <row r="180" ht="16.5" customHeight="1" s="118">
      <c r="A180" s="9" t="n"/>
      <c r="B180" s="10" t="inlineStr">
        <is>
          <t>호모사피엔스씨의 위험한 고민</t>
        </is>
      </c>
      <c r="C180" s="11" t="inlineStr">
        <is>
          <t>권복규, 원종우, 이명현, 이정모, 이창무, 이필렬</t>
        </is>
      </c>
      <c r="D180" s="11" t="inlineStr">
        <is>
          <t>메디치미디어</t>
        </is>
      </c>
      <c r="E180" s="12">
        <f>_xludf.IFS(COUNTIF(보류목록!$B$3:$B$1000, B180)&gt;0, "-",COUNTIF(독서목록!$C$2:$C$1099, B180)=0, , COUNTIF(독서목록!$C$2:$C$1099, B180)&gt;0, COUNTIF(독서목록!$C$2:$C$1099, B180))</f>
        <v/>
      </c>
      <c r="F180" s="12">
        <f>_xludf.IFS(COUNTIF(보류목록!$C$3:$C$1000, B180)&gt;0, "-",COUNTIF(독서목록!$D$2:$D$1099, B180)=0, , COUNTIF(독서목록!$D$2:$D$1099, B180)&gt;0, COUNTIF(독서목록!$D$2:$D$1099, B180))</f>
        <v/>
      </c>
      <c r="G180" s="13" t="inlineStr">
        <is>
          <t>2017.12.24</t>
        </is>
      </c>
      <c r="H180" s="14" t="inlineStr">
        <is>
          <t>기부</t>
        </is>
      </c>
      <c r="I180" s="14" t="inlineStr">
        <is>
          <t>기부</t>
        </is>
      </c>
      <c r="J180" s="16" t="inlineStr">
        <is>
          <t>1157063713 9791157063710</t>
        </is>
      </c>
      <c r="K180" s="19" t="inlineStr">
        <is>
          <t>https://search1.kakaocdn.net/thumb/R120x174.q85/?fname=http%3A%2F%2Ft1.daumcdn.net%2Flbook%2Fimage%2F6726690%3Ftimestamp%3D20250527161037</t>
        </is>
      </c>
    </row>
    <row r="181" ht="16.5" customHeight="1" s="118">
      <c r="A181" s="9" t="n"/>
      <c r="B181" s="10" t="inlineStr">
        <is>
          <t>우아한 관찰주의자</t>
        </is>
      </c>
      <c r="C181" s="11" t="inlineStr">
        <is>
          <t>에이미 E. 허먼</t>
        </is>
      </c>
      <c r="D181" s="11" t="inlineStr">
        <is>
          <t>청림출판</t>
        </is>
      </c>
      <c r="E181" s="12">
        <f>_xludf.IFS(COUNTIF(보류목록!$B$3:$B$1000, B181)&gt;0, "-",COUNTIF(독서목록!$C$2:$C$1099, B181)=0, , COUNTIF(독서목록!$C$2:$C$1099, B181)&gt;0, COUNTIF(독서목록!$C$2:$C$1099, B181))</f>
        <v/>
      </c>
      <c r="F181" s="12">
        <f>_xludf.IFS(COUNTIF(보류목록!$C$3:$C$1000, B181)&gt;0, "-",COUNTIF(독서목록!$D$2:$D$1099, B181)=0, , COUNTIF(독서목록!$D$2:$D$1099, B181)&gt;0, COUNTIF(독서목록!$D$2:$D$1099, B181))</f>
        <v/>
      </c>
      <c r="G181" s="13" t="inlineStr">
        <is>
          <t>2017.12.24</t>
        </is>
      </c>
      <c r="H181" s="14" t="inlineStr">
        <is>
          <t>기부</t>
        </is>
      </c>
      <c r="I181" s="14" t="inlineStr">
        <is>
          <t>기부</t>
        </is>
      </c>
      <c r="J181" s="16" t="inlineStr">
        <is>
          <t>8935214167 9788935214167</t>
        </is>
      </c>
      <c r="K181" s="19" t="inlineStr">
        <is>
          <t>https://search1.kakaocdn.net/thumb/R120x174.q85/?fname=http%3A%2F%2Ft1.daumcdn.net%2Flbook%2Fimage%2F6348498%3Ftimestamp%3D20250927140428</t>
        </is>
      </c>
    </row>
    <row r="182" ht="16.5" customHeight="1" s="118">
      <c r="A182" s="9" t="n"/>
      <c r="B182" s="10" t="inlineStr">
        <is>
          <t>공터에서</t>
        </is>
      </c>
      <c r="C182" s="11" t="inlineStr">
        <is>
          <t>김훈</t>
        </is>
      </c>
      <c r="D182" s="11" t="inlineStr">
        <is>
          <t>해냄</t>
        </is>
      </c>
      <c r="E182" s="12">
        <f>_xludf.IFS(COUNTIF(보류목록!$B$3:$B$1000, B182)&gt;0, "-",COUNTIF(독서목록!$C$2:$C$1099, B182)=0, , COUNTIF(독서목록!$C$2:$C$1099, B182)&gt;0, COUNTIF(독서목록!$C$2:$C$1099, B182))</f>
        <v/>
      </c>
      <c r="F182" s="12">
        <f>_xludf.IFS(COUNTIF(보류목록!$C$3:$C$1000, B182)&gt;0, "-",COUNTIF(독서목록!$D$2:$D$1099, B182)=0, , COUNTIF(독서목록!$D$2:$D$1099, B182)&gt;0, COUNTIF(독서목록!$D$2:$D$1099, B182))</f>
        <v/>
      </c>
      <c r="G182" s="13" t="inlineStr">
        <is>
          <t>2017.12.24</t>
        </is>
      </c>
      <c r="H182" s="14" t="n"/>
      <c r="I182" s="14" t="n"/>
      <c r="J182" s="16" t="inlineStr">
        <is>
          <t>896574587X 9788965745877</t>
        </is>
      </c>
      <c r="K182" s="17" t="inlineStr">
        <is>
          <t>https://search1.kakaocdn.net/thumb/R120x174.q85/?fname=http%3A%2F%2Ft1.daumcdn.net%2Flbook%2Fimage%2F918857%3Ftimestamp%3D20250107113909</t>
        </is>
      </c>
    </row>
    <row r="183" ht="16.5" customHeight="1" s="118">
      <c r="A183" s="9" t="n"/>
      <c r="B183" s="10" t="inlineStr">
        <is>
          <t>넛지</t>
        </is>
      </c>
      <c r="C183" s="11" t="inlineStr">
        <is>
          <t>리처드 탈러, 캐스 선스타인</t>
        </is>
      </c>
      <c r="D183" s="11" t="inlineStr">
        <is>
          <t>리더스북</t>
        </is>
      </c>
      <c r="E183" s="12">
        <f>_xludf.IFS(COUNTIF(보류목록!$B$3:$B$1000, B183)&gt;0, "-",COUNTIF(독서목록!$C$2:$C$1099, B183)=0, , COUNTIF(독서목록!$C$2:$C$1099, B183)&gt;0, COUNTIF(독서목록!$C$2:$C$1099, B183))</f>
        <v/>
      </c>
      <c r="F183" s="12">
        <f>_xludf.IFS(COUNTIF(보류목록!$C$3:$C$1000, B183)&gt;0, "-",COUNTIF(독서목록!$D$2:$D$1099, B183)=0, , COUNTIF(독서목록!$D$2:$D$1099, B183)&gt;0, COUNTIF(독서목록!$D$2:$D$1099, B183))</f>
        <v/>
      </c>
      <c r="G183" s="13" t="inlineStr">
        <is>
          <t>2017.12.24</t>
        </is>
      </c>
      <c r="H183" s="14" t="inlineStr">
        <is>
          <t>기부</t>
        </is>
      </c>
      <c r="I183" s="14" t="inlineStr">
        <is>
          <t>기부</t>
        </is>
      </c>
      <c r="J183" s="16" t="inlineStr">
        <is>
          <t>8901260670 9788901260679</t>
        </is>
      </c>
      <c r="K183" s="17" t="inlineStr">
        <is>
          <t>https://search1.kakaocdn.net/thumb/R120x174.q85/?fname=http%3A%2F%2Ft1.daumcdn.net%2Flbook%2Fimage%2F6100884%3Ftimestamp%3D20250924140729</t>
        </is>
      </c>
    </row>
    <row r="184" ht="16.5" customHeight="1" s="118">
      <c r="A184" s="9" t="n"/>
      <c r="B184" s="10" t="inlineStr">
        <is>
          <t>모비딕</t>
        </is>
      </c>
      <c r="C184" s="11" t="inlineStr">
        <is>
          <t>허먼 멜빌</t>
        </is>
      </c>
      <c r="D184" s="11" t="inlineStr">
        <is>
          <t>작가정신</t>
        </is>
      </c>
      <c r="E184" s="12">
        <f>_xludf.IFS(COUNTIF(보류목록!$B$3:$B$1000, B184)&gt;0, "-",COUNTIF(독서목록!$C$2:$C$1099, B184)=0, , COUNTIF(독서목록!$C$2:$C$1099, B184)&gt;0, COUNTIF(독서목록!$C$2:$C$1099, B184))</f>
        <v/>
      </c>
      <c r="F184" s="12">
        <f>_xludf.IFS(COUNTIF(보류목록!$C$3:$C$1000, B184)&gt;0, "-",COUNTIF(독서목록!$D$2:$D$1099, B184)=0, , COUNTIF(독서목록!$D$2:$D$1099, B184)&gt;0, COUNTIF(독서목록!$D$2:$D$1099, B184))</f>
        <v/>
      </c>
      <c r="G184" s="13" t="inlineStr">
        <is>
          <t>2017.09.30</t>
        </is>
      </c>
      <c r="H184" s="14" t="n"/>
      <c r="I184" s="14" t="n"/>
      <c r="J184" s="124" t="inlineStr">
        <is>
          <t>1160262241 9788972883630</t>
        </is>
      </c>
      <c r="K184" s="17" t="inlineStr">
        <is>
          <t>https://search1.kakaocdn.net/thumb/R120x174.q85/?fname=http%3A%2F%2Ft1.daumcdn.net%2Flbook%2Fimage%2F5666585%3Ftimestamp%3D20240718164924</t>
        </is>
      </c>
    </row>
    <row r="185" ht="16.5" customHeight="1" s="118">
      <c r="A185" s="9" t="n"/>
      <c r="B185" s="10" t="inlineStr">
        <is>
          <t>로지컬 씽킹</t>
        </is>
      </c>
      <c r="C185" s="11" t="inlineStr">
        <is>
          <t>테루야 하나코 외</t>
        </is>
      </c>
      <c r="D185" s="11" t="inlineStr">
        <is>
          <t>일빛</t>
        </is>
      </c>
      <c r="E185" s="12">
        <f>_xludf.IFS(COUNTIF(보류목록!$B$3:$B$1000, B185)&gt;0, "-",COUNTIF(독서목록!$C$2:$C$1099, B185)=0, , COUNTIF(독서목록!$C$2:$C$1099, B185)&gt;0, COUNTIF(독서목록!$C$2:$C$1099, B185))</f>
        <v/>
      </c>
      <c r="F185" s="12">
        <f>_xludf.IFS(COUNTIF(보류목록!$C$3:$C$1000, B185)&gt;0, "-",COUNTIF(독서목록!$D$2:$D$1099, B185)=0, , COUNTIF(독서목록!$D$2:$D$1099, B185)&gt;0, COUNTIF(독서목록!$D$2:$D$1099, B185))</f>
        <v/>
      </c>
      <c r="G185" s="13" t="inlineStr">
        <is>
          <t>2017.08.11</t>
        </is>
      </c>
      <c r="H185" s="14" t="n"/>
      <c r="I185" s="14" t="n"/>
      <c r="J185" s="16" t="inlineStr">
        <is>
          <t>8985893890 9788985893893</t>
        </is>
      </c>
      <c r="K185" s="19" t="inlineStr">
        <is>
          <t>https://search1.kakaocdn.net/thumb/R120x174.q85/?fname=http%3A%2F%2Ft1.daumcdn.net%2Flbook%2Fimage%2F1226723%3Ftimestamp%3D20221025122411</t>
        </is>
      </c>
    </row>
    <row r="186" ht="16.5" customHeight="1" s="118">
      <c r="A186" s="9" t="n"/>
      <c r="B186" s="10" t="inlineStr">
        <is>
          <t>사람을 얻는 기술</t>
        </is>
      </c>
      <c r="C186" s="11" t="inlineStr">
        <is>
          <t>레일 라운즈</t>
        </is>
      </c>
      <c r="D186" s="11" t="inlineStr">
        <is>
          <t>토네이도</t>
        </is>
      </c>
      <c r="E186" s="12">
        <f>_xludf.IFS(COUNTIF(보류목록!$B$3:$B$1000, B186)&gt;0, "-",COUNTIF(독서목록!$C$2:$C$1099, B186)=0, , COUNTIF(독서목록!$C$2:$C$1099, B186)&gt;0, COUNTIF(독서목록!$C$2:$C$1099, B186))</f>
        <v/>
      </c>
      <c r="F186" s="12">
        <f>_xludf.IFS(COUNTIF(보류목록!$C$3:$C$1000, B186)&gt;0, "-",COUNTIF(독서목록!$D$2:$D$1099, B186)=0, , COUNTIF(독서목록!$D$2:$D$1099, B186)&gt;0, COUNTIF(독서목록!$D$2:$D$1099, B186))</f>
        <v/>
      </c>
      <c r="G186" s="13" t="inlineStr">
        <is>
          <t>2017.08.11</t>
        </is>
      </c>
      <c r="H186" s="14" t="n"/>
      <c r="I186" s="14" t="n"/>
      <c r="J186" s="16" t="inlineStr">
        <is>
          <t>8992060238 9788992060233</t>
        </is>
      </c>
      <c r="K186" s="17" t="inlineStr">
        <is>
          <t>https://search1.kakaocdn.net/thumb/R120x174.q85/?fname=http%3A%2F%2Ft1.daumcdn.net%2Flbook%2Fimage%2F1366342%3Ftimestamp%3D20220601172928</t>
        </is>
      </c>
    </row>
    <row r="187" ht="16.5" customHeight="1" s="118">
      <c r="A187" s="9" t="n"/>
      <c r="B187" s="10" t="inlineStr">
        <is>
          <t>원하는 것이 있다면 감정을 흔들어라</t>
        </is>
      </c>
      <c r="C187" s="11" t="inlineStr">
        <is>
          <t>다니엘 샤피로, 로저 피셔</t>
        </is>
      </c>
      <c r="D187" s="11" t="inlineStr">
        <is>
          <t>한국경제신문사</t>
        </is>
      </c>
      <c r="E187" s="12">
        <f>_xludf.IFS(COUNTIF(보류목록!$B$3:$B$1000, B187)&gt;0, "-",COUNTIF(독서목록!$C$2:$C$1099, B187)=0, , COUNTIF(독서목록!$C$2:$C$1099, B187)&gt;0, COUNTIF(독서목록!$C$2:$C$1099, B187))</f>
        <v/>
      </c>
      <c r="F187" s="12">
        <f>_xludf.IFS(COUNTIF(보류목록!$C$3:$C$1000, B187)&gt;0, "-",COUNTIF(독서목록!$D$2:$D$1099, B187)=0, , COUNTIF(독서목록!$D$2:$D$1099, B187)&gt;0, COUNTIF(독서목록!$D$2:$D$1099, B187))</f>
        <v/>
      </c>
      <c r="G187" s="13" t="inlineStr">
        <is>
          <t>2017.08.11</t>
        </is>
      </c>
      <c r="H187" s="14" t="n"/>
      <c r="I187" s="14" t="n"/>
      <c r="J187" s="16" t="inlineStr">
        <is>
          <t>8947529125 9788947529129</t>
        </is>
      </c>
      <c r="K187" s="17" t="inlineStr">
        <is>
          <t>https://search1.kakaocdn.net/thumb/R120x174.q85/?fname=http%3A%2F%2Ft1.daumcdn.net%2Flbook%2Fimage%2F611799%3Ftimestamp%3D20250627113334</t>
        </is>
      </c>
    </row>
    <row r="188" ht="16.5" customHeight="1" s="118">
      <c r="A188" s="9" t="n"/>
      <c r="B188" s="10" t="inlineStr">
        <is>
          <t>정재승의 과학 콘서트</t>
        </is>
      </c>
      <c r="C188" s="11" t="inlineStr">
        <is>
          <t>정재승</t>
        </is>
      </c>
      <c r="D188" s="11" t="inlineStr">
        <is>
          <t>동아시아</t>
        </is>
      </c>
      <c r="E188" s="12">
        <f>_xludf.IFS(COUNTIF(보류목록!$B$3:$B$1000, B188)&gt;0, "-",COUNTIF(독서목록!$C$2:$C$1099, B188)=0, , COUNTIF(독서목록!$C$2:$C$1099, B188)&gt;0, COUNTIF(독서목록!$C$2:$C$1099, B188))</f>
        <v/>
      </c>
      <c r="F188" s="12">
        <f>_xludf.IFS(COUNTIF(보류목록!$C$3:$C$1000, B188)&gt;0, "-",COUNTIF(독서목록!$D$2:$D$1099, B188)=0, , COUNTIF(독서목록!$D$2:$D$1099, B188)&gt;0, COUNTIF(독서목록!$D$2:$D$1099, B188))</f>
        <v/>
      </c>
      <c r="G188" s="13" t="inlineStr">
        <is>
          <t>2017.08.11</t>
        </is>
      </c>
      <c r="H188" s="14" t="inlineStr">
        <is>
          <t>기부</t>
        </is>
      </c>
      <c r="I188" s="14" t="n">
        <v>25.12</v>
      </c>
      <c r="J188" s="16" t="inlineStr">
        <is>
          <t>8988165349 9788988165348</t>
        </is>
      </c>
      <c r="K188" s="17" t="inlineStr">
        <is>
          <t>https://search1.kakaocdn.net/thumb/R120x174.q85/?fname=http%3A%2F%2Ft1.daumcdn.net%2Flbook%2Fimage%2F1271688%3Ftimestamp%3D20221107225745</t>
        </is>
      </c>
    </row>
    <row r="189" ht="16.5" customHeight="1" s="118">
      <c r="A189" s="9" t="n"/>
      <c r="B189" s="10" t="inlineStr">
        <is>
          <t>심플러</t>
        </is>
      </c>
      <c r="C189" s="11" t="inlineStr">
        <is>
          <t>캐스 선스타인</t>
        </is>
      </c>
      <c r="D189" s="11" t="inlineStr">
        <is>
          <t>21세기북스</t>
        </is>
      </c>
      <c r="E189" s="12">
        <f>_xludf.IFS(COUNTIF(보류목록!$B$3:$B$1000, B189)&gt;0, "-",COUNTIF(독서목록!$C$2:$C$1099, B189)=0, , COUNTIF(독서목록!$C$2:$C$1099, B189)&gt;0, COUNTIF(독서목록!$C$2:$C$1099, B189))</f>
        <v/>
      </c>
      <c r="F189" s="12">
        <f>_xludf.IFS(COUNTIF(보류목록!$C$3:$C$1000, B189)&gt;0, "-",COUNTIF(독서목록!$D$2:$D$1099, B189)=0, , COUNTIF(독서목록!$D$2:$D$1099, B189)&gt;0, COUNTIF(독서목록!$D$2:$D$1099, B189))</f>
        <v/>
      </c>
      <c r="G189" s="13" t="inlineStr">
        <is>
          <t>2017.08.11</t>
        </is>
      </c>
      <c r="H189" s="14" t="n"/>
      <c r="I189" s="14" t="n"/>
      <c r="J189" s="16" t="inlineStr">
        <is>
          <t>8950951916 9788950951917</t>
        </is>
      </c>
      <c r="K189" s="17" t="inlineStr">
        <is>
          <t>https://search1.kakaocdn.net/thumb/R120x174.q85/?fname=http%3A%2F%2Ft1.daumcdn.net%2Flbook%2Fimage%2F624229%3Ftimestamp%3D20251011110356</t>
        </is>
      </c>
    </row>
    <row r="190" ht="16.5" customHeight="1" s="118">
      <c r="A190" s="23" t="n"/>
      <c r="B190" s="24" t="inlineStr">
        <is>
          <t>위험한 과학책</t>
        </is>
      </c>
      <c r="C190" s="11" t="inlineStr">
        <is>
          <t>랜들 먼로</t>
        </is>
      </c>
      <c r="D190" s="11" t="inlineStr">
        <is>
          <t>시공사</t>
        </is>
      </c>
      <c r="E190" s="12">
        <f>_xludf.IFS(COUNTIF(보류목록!$B$3:$B$1000, B190)&gt;0, "-",COUNTIF(독서목록!$C$2:$C$1099, B190)=0, , COUNTIF(독서목록!$C$2:$C$1099, B190)&gt;0, COUNTIF(독서목록!$C$2:$C$1099, B190))</f>
        <v/>
      </c>
      <c r="F190" s="12">
        <f>_xludf.IFS(COUNTIF(보류목록!$C$3:$C$1000, B190)&gt;0, "-",COUNTIF(독서목록!$D$2:$D$1099, B190)=0, , COUNTIF(독서목록!$D$2:$D$1099, B190)&gt;0, COUNTIF(독서목록!$D$2:$D$1099, B190))</f>
        <v/>
      </c>
      <c r="G190" s="13" t="inlineStr">
        <is>
          <t>2017.07.30</t>
        </is>
      </c>
      <c r="H190" s="14" t="inlineStr">
        <is>
          <t>기부</t>
        </is>
      </c>
      <c r="I190" s="14" t="inlineStr">
        <is>
          <t>기부</t>
        </is>
      </c>
      <c r="J190" s="16" t="inlineStr">
        <is>
          <t>1169257178 9791169257176</t>
        </is>
      </c>
      <c r="K190" s="17" t="inlineStr">
        <is>
          <t>https://search1.kakaocdn.net/thumb/R120x174.q85/?fname=http%3A%2F%2Ft1.daumcdn.net%2Flbook%2Fimage%2F6333047%3Ftimestamp%3D20260108151947</t>
        </is>
      </c>
    </row>
    <row r="191" ht="16.5" customHeight="1" s="118">
      <c r="A191" s="9" t="n"/>
      <c r="B191" s="10" t="inlineStr">
        <is>
          <t>소송</t>
        </is>
      </c>
      <c r="C191" s="11" t="inlineStr">
        <is>
          <t>프란츠 카프카</t>
        </is>
      </c>
      <c r="D191" s="11" t="inlineStr">
        <is>
          <t>문학동네</t>
        </is>
      </c>
      <c r="E191" s="12">
        <f>_xludf.IFS(COUNTIF(보류목록!$B$3:$B$1000, B191)&gt;0, "-",COUNTIF(독서목록!$C$2:$C$1099, B191)=0, , COUNTIF(독서목록!$C$2:$C$1099, B191)&gt;0, COUNTIF(독서목록!$C$2:$C$1099, B191))</f>
        <v/>
      </c>
      <c r="F191" s="12">
        <f>_xludf.IFS(COUNTIF(보류목록!$C$3:$C$1000, B191)&gt;0, "-",COUNTIF(독서목록!$D$2:$D$1099, B191)=0, , COUNTIF(독서목록!$D$2:$D$1099, B191)&gt;0, COUNTIF(독서목록!$D$2:$D$1099, B191))</f>
        <v/>
      </c>
      <c r="G191" s="13" t="inlineStr">
        <is>
          <t>2017.07.30</t>
        </is>
      </c>
      <c r="H191" s="14" t="n"/>
      <c r="I191" s="14" t="n"/>
      <c r="J191" s="16" t="inlineStr">
        <is>
          <t>8954610234 9788954610230</t>
        </is>
      </c>
      <c r="K191" s="17" t="inlineStr">
        <is>
          <t>https://search1.kakaocdn.net/thumb/R120x174.q85/?fname=http%3A%2F%2Ft1.daumcdn.net%2Flbook%2Fimage%2F690517%3Ftimestamp%3D20231117160843</t>
        </is>
      </c>
    </row>
    <row r="192" ht="16.5" customHeight="1" s="118">
      <c r="A192" s="9" t="n"/>
      <c r="B192" s="10" t="inlineStr">
        <is>
          <t>피에트라 강가에서 나는 울었네</t>
        </is>
      </c>
      <c r="C192" s="11" t="inlineStr">
        <is>
          <t>파울로 코엘료</t>
        </is>
      </c>
      <c r="D192" s="11" t="inlineStr">
        <is>
          <t>문학동네</t>
        </is>
      </c>
      <c r="E192" s="12">
        <f>_xludf.IFS(COUNTIF(보류목록!$B$3:$B$1000, B192)&gt;0, "-",COUNTIF(독서목록!$C$2:$C$1099, B192)=0, , COUNTIF(독서목록!$C$2:$C$1099, B192)&gt;0, COUNTIF(독서목록!$C$2:$C$1099, B192))</f>
        <v/>
      </c>
      <c r="F192" s="12">
        <f>_xludf.IFS(COUNTIF(보류목록!$C$3:$C$1000, B192)&gt;0, "-",COUNTIF(독서목록!$D$2:$D$1099, B192)=0, , COUNTIF(독서목록!$D$2:$D$1099, B192)&gt;0, COUNTIF(독서목록!$D$2:$D$1099, B192))</f>
        <v/>
      </c>
      <c r="G192" s="13" t="inlineStr">
        <is>
          <t>2017.07.30</t>
        </is>
      </c>
      <c r="H192" s="14" t="inlineStr">
        <is>
          <t>기부</t>
        </is>
      </c>
      <c r="I192" s="14" t="inlineStr">
        <is>
          <t>기부</t>
        </is>
      </c>
      <c r="J192" s="16" t="inlineStr">
        <is>
          <t>8982816593 9788982816598</t>
        </is>
      </c>
      <c r="K192" s="17" t="inlineStr">
        <is>
          <t>https://search1.kakaocdn.net/thumb/R120x174.q85/?fname=http%3A%2F%2Ft1.daumcdn.net%2Flbook%2Fimage%2F1156236%3Ftimestamp%3D20221011174951</t>
        </is>
      </c>
    </row>
    <row r="193" ht="16.5" customHeight="1" s="118">
      <c r="A193" s="9" t="n"/>
      <c r="B193" s="10" t="inlineStr">
        <is>
          <t>이기는 대화</t>
        </is>
      </c>
      <c r="C193" s="11" t="inlineStr">
        <is>
          <t>이서정</t>
        </is>
      </c>
      <c r="D193" s="11" t="inlineStr">
        <is>
          <t>머니플러스</t>
        </is>
      </c>
      <c r="E193" s="12">
        <f>_xludf.IFS(COUNTIF(보류목록!$B$3:$B$1000, B193)&gt;0, "-",COUNTIF(독서목록!$C$2:$C$1099, B193)=0, , COUNTIF(독서목록!$C$2:$C$1099, B193)&gt;0, COUNTIF(독서목록!$C$2:$C$1099, B193))</f>
        <v/>
      </c>
      <c r="F193" s="12">
        <f>_xludf.IFS(COUNTIF(보류목록!$C$3:$C$1000, B193)&gt;0, "-",COUNTIF(독서목록!$D$2:$D$1099, B193)=0, , COUNTIF(독서목록!$D$2:$D$1099, B193)&gt;0, COUNTIF(독서목록!$D$2:$D$1099, B193))</f>
        <v/>
      </c>
      <c r="G193" s="13" t="inlineStr">
        <is>
          <t>2017.07.30</t>
        </is>
      </c>
      <c r="H193" s="14" t="n"/>
      <c r="I193" s="14" t="n"/>
      <c r="J193" s="16" t="inlineStr">
        <is>
          <t>8991113753 9788991113756</t>
        </is>
      </c>
      <c r="K193" s="17" t="inlineStr">
        <is>
          <t>https://search1.kakaocdn.net/thumb/R120x174.q85/?fname=http%3A%2F%2Ft1.daumcdn.net%2Flbook%2Fimage%2F1338049%3Ftimestamp%3D20240508112939</t>
        </is>
      </c>
    </row>
    <row r="194" ht="16.5" customHeight="1" s="118">
      <c r="A194" s="9" t="n"/>
      <c r="B194" s="10" t="inlineStr">
        <is>
          <t>말주변이 없어도 대화 잘하는법</t>
        </is>
      </c>
      <c r="C194" s="11" t="inlineStr">
        <is>
          <t>김영돈</t>
        </is>
      </c>
      <c r="D194" s="11" t="inlineStr">
        <is>
          <t>다연</t>
        </is>
      </c>
      <c r="E194" s="12">
        <f>_xludf.IFS(COUNTIF(보류목록!$B$3:$B$1000, B194)&gt;0, "-",COUNTIF(독서목록!$C$2:$C$1099, B194)=0, , COUNTIF(독서목록!$C$2:$C$1099, B194)&gt;0, COUNTIF(독서목록!$C$2:$C$1099, B194))</f>
        <v/>
      </c>
      <c r="F194" s="12">
        <f>_xludf.IFS(COUNTIF(보류목록!$C$3:$C$1000, B194)&gt;0, "-",COUNTIF(독서목록!$D$2:$D$1099, B194)=0, , COUNTIF(독서목록!$D$2:$D$1099, B194)&gt;0, COUNTIF(독서목록!$D$2:$D$1099, B194))</f>
        <v/>
      </c>
      <c r="G194" s="13" t="inlineStr">
        <is>
          <t>2017.07.30</t>
        </is>
      </c>
      <c r="H194" s="14" t="n"/>
      <c r="I194" s="14" t="n"/>
      <c r="J194" s="16" t="inlineStr">
        <is>
          <t>8992441851 9788992441858</t>
        </is>
      </c>
      <c r="K194" s="17" t="inlineStr">
        <is>
          <t>https://search1.kakaocdn.net/thumb/R120x174.q85/?fname=http%3A%2F%2Ft1.daumcdn.net%2Flbook%2Fimage%2F1381888%3Ftimestamp%3D20221214175743</t>
        </is>
      </c>
    </row>
    <row r="195" ht="16.5" customHeight="1" s="118">
      <c r="A195" s="9" t="n"/>
      <c r="B195" s="10" t="inlineStr">
        <is>
          <t>에브리맨</t>
        </is>
      </c>
      <c r="C195" s="11" t="inlineStr">
        <is>
          <t>필립 로스</t>
        </is>
      </c>
      <c r="D195" s="11" t="inlineStr">
        <is>
          <t>문학동네</t>
        </is>
      </c>
      <c r="E195" s="12">
        <f>_xludf.IFS(COUNTIF(보류목록!$B$3:$B$1000, B195)&gt;0, "-",COUNTIF(독서목록!$C$2:$C$1099, B195)=0, , COUNTIF(독서목록!$C$2:$C$1099, B195)&gt;0, COUNTIF(독서목록!$C$2:$C$1099, B195))</f>
        <v/>
      </c>
      <c r="F195" s="12">
        <f>_xludf.IFS(COUNTIF(보류목록!$C$3:$C$1000, B195)&gt;0, "-",COUNTIF(독서목록!$D$2:$D$1099, B195)=0, , COUNTIF(독서목록!$D$2:$D$1099, B195)&gt;0, COUNTIF(독서목록!$D$2:$D$1099, B195))</f>
        <v/>
      </c>
      <c r="G195" s="13" t="inlineStr">
        <is>
          <t>2017.07.22</t>
        </is>
      </c>
      <c r="H195" s="14" t="inlineStr">
        <is>
          <t>기부</t>
        </is>
      </c>
      <c r="I195" s="14" t="inlineStr">
        <is>
          <t>기부</t>
        </is>
      </c>
      <c r="J195" s="16" t="inlineStr">
        <is>
          <t>8954608833 9788954608831</t>
        </is>
      </c>
      <c r="K195" s="17" t="inlineStr">
        <is>
          <t>https://search1.kakaocdn.net/thumb/R120x174.q85/?fname=http%3A%2F%2Ft1.daumcdn.net%2Flbook%2Fimage%2F690373%3Ftimestamp%3D20230610153533</t>
        </is>
      </c>
    </row>
    <row r="196" ht="16.5" customHeight="1" s="118">
      <c r="A196" s="9" t="n"/>
      <c r="B196" s="10" t="inlineStr">
        <is>
          <t>현의 노래</t>
        </is>
      </c>
      <c r="C196" s="11" t="inlineStr">
        <is>
          <t>김훈</t>
        </is>
      </c>
      <c r="D196" s="11" t="inlineStr">
        <is>
          <t>생각의 나무</t>
        </is>
      </c>
      <c r="E196" s="12">
        <f>_xludf.IFS(COUNTIF(보류목록!$B$3:$B$1000, B196)&gt;0, "-",COUNTIF(독서목록!$C$2:$C$1099, B196)=0, , COUNTIF(독서목록!$C$2:$C$1099, B196)&gt;0, COUNTIF(독서목록!$C$2:$C$1099, B196))</f>
        <v/>
      </c>
      <c r="F196" s="12">
        <f>_xludf.IFS(COUNTIF(보류목록!$C$3:$C$1000, B196)&gt;0, "-",COUNTIF(독서목록!$D$2:$D$1099, B196)=0, , COUNTIF(독서목록!$D$2:$D$1099, B196)&gt;0, COUNTIF(독서목록!$D$2:$D$1099, B196))</f>
        <v/>
      </c>
      <c r="G196" s="13" t="inlineStr">
        <is>
          <t>2017.07.22</t>
        </is>
      </c>
      <c r="H196" s="14" t="n"/>
      <c r="I196" s="14" t="n"/>
      <c r="J196" s="16" t="inlineStr">
        <is>
          <t>8984984450 9788984984455</t>
        </is>
      </c>
      <c r="K196" s="17" t="inlineStr">
        <is>
          <t>https://search1.kakaocdn.net/thumb/R120x174.q85/?fname=http%3A%2F%2Ft1.daumcdn.net%2Flbook%2Fimage%2F1210309%3Ftimestamp%3D20221025141135</t>
        </is>
      </c>
    </row>
    <row r="197" ht="16.5" customHeight="1" s="118">
      <c r="A197" s="9" t="n"/>
      <c r="B197" s="10" t="inlineStr">
        <is>
          <t>고리오 영감</t>
        </is>
      </c>
      <c r="C197" s="11" t="inlineStr">
        <is>
          <t>오노레 드 발자크</t>
        </is>
      </c>
      <c r="D197" s="11" t="inlineStr">
        <is>
          <t>민음사</t>
        </is>
      </c>
      <c r="E197" s="12">
        <f>_xludf.IFS(COUNTIF(보류목록!$B$3:$B$1000, B197)&gt;0, "-",COUNTIF(독서목록!$C$2:$C$1099, B197)=0, , COUNTIF(독서목록!$C$2:$C$1099, B197)&gt;0, COUNTIF(독서목록!$C$2:$C$1099, B197))</f>
        <v/>
      </c>
      <c r="F197" s="12">
        <f>_xludf.IFS(COUNTIF(보류목록!$C$3:$C$1000, B197)&gt;0, "-",COUNTIF(독서목록!$D$2:$D$1099, B197)=0, , COUNTIF(독서목록!$D$2:$D$1099, B197)&gt;0, COUNTIF(독서목록!$D$2:$D$1099, B197))</f>
        <v/>
      </c>
      <c r="G197" s="13" t="inlineStr">
        <is>
          <t>2017.07.22</t>
        </is>
      </c>
      <c r="H197" s="14" t="n"/>
      <c r="I197" s="14" t="n"/>
      <c r="J197" s="16" t="inlineStr">
        <is>
          <t>8937460181 9788937460180</t>
        </is>
      </c>
      <c r="K197" s="17" t="inlineStr">
        <is>
          <t>https://search1.kakaocdn.net/thumb/R120x174.q85/?fname=http%3A%2F%2Ft1.daumcdn.net%2Flbook%2Fimage%2F540784%3Ftimestamp%3D20251217110838</t>
        </is>
      </c>
    </row>
    <row r="198" ht="16.5" customHeight="1" s="118">
      <c r="A198" s="9" t="n"/>
      <c r="B198" s="10" t="inlineStr">
        <is>
          <t>두 도시 이야기</t>
        </is>
      </c>
      <c r="C198" s="11" t="inlineStr">
        <is>
          <t>찰스 디킨스</t>
        </is>
      </c>
      <c r="D198" s="11" t="inlineStr">
        <is>
          <t>책읽는 수요일</t>
        </is>
      </c>
      <c r="E198" s="12">
        <f>_xludf.IFS(COUNTIF(보류목록!$B$3:$B$1000, B198)&gt;0, "-",COUNTIF(독서목록!$C$2:$C$1099, B198)=0, , COUNTIF(독서목록!$C$2:$C$1099, B198)&gt;0, COUNTIF(독서목록!$C$2:$C$1099, B198))</f>
        <v/>
      </c>
      <c r="F198" s="12">
        <f>_xludf.IFS(COUNTIF(보류목록!$C$3:$C$1000, B198)&gt;0, "-",COUNTIF(독서목록!$D$2:$D$1099, B198)=0, , COUNTIF(독서목록!$D$2:$D$1099, B198)&gt;0, COUNTIF(독서목록!$D$2:$D$1099, B198))</f>
        <v/>
      </c>
      <c r="G198" s="13" t="inlineStr">
        <is>
          <t>2017.07.22</t>
        </is>
      </c>
      <c r="H198" s="14" t="n"/>
      <c r="I198" s="14" t="n"/>
      <c r="J198" s="16" t="inlineStr">
        <is>
          <t>8962606968 9788962606966</t>
        </is>
      </c>
      <c r="K198" s="17" t="inlineStr">
        <is>
          <t>https://search1.kakaocdn.net/thumb/R120x174.q85/?fname=http%3A%2F%2Ft1.daumcdn.net%2Flbook%2Fimage%2F872140%3Ftimestamp%3D20240620112942</t>
        </is>
      </c>
    </row>
    <row r="199" ht="16.5" customHeight="1" s="118">
      <c r="A199" s="9" t="n"/>
      <c r="B199" s="10" t="inlineStr">
        <is>
          <t>웃는 남자(하)</t>
        </is>
      </c>
      <c r="C199" s="11" t="inlineStr">
        <is>
          <t>빅토르 위고</t>
        </is>
      </c>
      <c r="D199" s="11" t="inlineStr">
        <is>
          <t>열린책들</t>
        </is>
      </c>
      <c r="E199" s="12">
        <f>_xludf.IFS(COUNTIF(보류목록!$B$3:$B$1000, B199)&gt;0, "-",COUNTIF(독서목록!$C$2:$C$1099, B199)=0, , COUNTIF(독서목록!$C$2:$C$1099, B199)&gt;0, COUNTIF(독서목록!$C$2:$C$1099, B199))</f>
        <v/>
      </c>
      <c r="F199" s="12">
        <f>_xludf.IFS(COUNTIF(보류목록!$C$3:$C$1000, B199)&gt;0, "-",COUNTIF(독서목록!$D$2:$D$1099, B199)=0, , COUNTIF(독서목록!$D$2:$D$1099, B199)&gt;0, COUNTIF(독서목록!$D$2:$D$1099, B199))</f>
        <v/>
      </c>
      <c r="G199" s="13" t="inlineStr">
        <is>
          <t>2017.07.22</t>
        </is>
      </c>
      <c r="H199" s="14" t="n"/>
      <c r="I199" s="14" t="n"/>
      <c r="J199" s="16" t="inlineStr">
        <is>
          <t>8932910030 9788932910031</t>
        </is>
      </c>
      <c r="K199" s="17" t="inlineStr">
        <is>
          <t>https://search1.kakaocdn.net/thumb/R120x174.q85/?fname=http%3A%2F%2Ft1.daumcdn.net%2Flbook%2Fimage%2F505078%3Ftimestamp%3D20231015165322</t>
        </is>
      </c>
    </row>
    <row r="200" ht="16.5" customHeight="1" s="118">
      <c r="A200" s="9" t="n"/>
      <c r="B200" s="10" t="inlineStr">
        <is>
          <t>웃는 남자(상)</t>
        </is>
      </c>
      <c r="C200" s="11" t="inlineStr">
        <is>
          <t>빅토르 위고</t>
        </is>
      </c>
      <c r="D200" s="11" t="inlineStr">
        <is>
          <t>열린책들</t>
        </is>
      </c>
      <c r="E200" s="12">
        <f>_xludf.IFS(COUNTIF(보류목록!$B$3:$B$1000, B200)&gt;0, "-",COUNTIF(독서목록!$C$2:$C$1099, B200)=0, , COUNTIF(독서목록!$C$2:$C$1099, B200)&gt;0, COUNTIF(독서목록!$C$2:$C$1099, B200))</f>
        <v/>
      </c>
      <c r="F200" s="12">
        <f>_xludf.IFS(COUNTIF(보류목록!$C$3:$C$1000, B200)&gt;0, "-",COUNTIF(독서목록!$D$2:$D$1099, B200)=0, , COUNTIF(독서목록!$D$2:$D$1099, B200)&gt;0, COUNTIF(독서목록!$D$2:$D$1099, B200))</f>
        <v/>
      </c>
      <c r="G200" s="13" t="inlineStr">
        <is>
          <t>2017.07.22</t>
        </is>
      </c>
      <c r="H200" s="14" t="n"/>
      <c r="I200" s="14" t="n"/>
      <c r="J200" s="16" t="inlineStr">
        <is>
          <t>8932910022 9788932910024</t>
        </is>
      </c>
      <c r="K200" s="17" t="inlineStr">
        <is>
          <t>https://search1.kakaocdn.net/thumb/R120x174.q85/?fname=http%3A%2F%2Ft1.daumcdn.net%2Flbook%2Fimage%2F507071%3Ftimestamp%3D20240105192414</t>
        </is>
      </c>
    </row>
    <row r="201" ht="16.5" customHeight="1" s="118">
      <c r="A201" s="9" t="n"/>
      <c r="B201" s="10" t="inlineStr">
        <is>
          <t>변신*시골의사</t>
        </is>
      </c>
      <c r="C201" s="11" t="inlineStr">
        <is>
          <t>프란츠 카프카</t>
        </is>
      </c>
      <c r="D201" s="11" t="inlineStr">
        <is>
          <t>민음사</t>
        </is>
      </c>
      <c r="E201" s="12">
        <f>_xludf.IFS(COUNTIF(보류목록!$B$3:$B$1000, B201)&gt;0, "-",COUNTIF(독서목록!$C$2:$C$1099, B201)=0, , COUNTIF(독서목록!$C$2:$C$1099, B201)&gt;0, COUNTIF(독서목록!$C$2:$C$1099, B201))</f>
        <v/>
      </c>
      <c r="F201" s="12">
        <f>_xludf.IFS(COUNTIF(보류목록!$C$3:$C$1000, B201)&gt;0, "-",COUNTIF(독서목록!$D$2:$D$1099, B201)=0, , COUNTIF(독서목록!$D$2:$D$1099, B201)&gt;0, COUNTIF(독서목록!$D$2:$D$1099, B201))</f>
        <v/>
      </c>
      <c r="G201" s="13" t="inlineStr">
        <is>
          <t>2017.05.27</t>
        </is>
      </c>
      <c r="H201" s="14" t="n"/>
      <c r="I201" s="14" t="n"/>
      <c r="J201" s="16" t="inlineStr">
        <is>
          <t>8937460041 9788937460043</t>
        </is>
      </c>
      <c r="K201" s="17" t="inlineStr">
        <is>
          <t>https://search1.kakaocdn.net/thumb/R120x174.q85/?fname=http%3A%2F%2Ft1.daumcdn.net%2Flbook%2Fimage%2F540770%3Ftimestamp%3D20250919110253</t>
        </is>
      </c>
    </row>
    <row r="202" ht="16.5" customHeight="1" s="118">
      <c r="A202" s="9" t="n"/>
      <c r="B202" s="10" t="inlineStr">
        <is>
          <t>플랑드르 거장의 그림</t>
        </is>
      </c>
      <c r="C202" s="11" t="inlineStr">
        <is>
          <t>아르투로 페레스 레베르테</t>
        </is>
      </c>
      <c r="D202" s="11" t="inlineStr">
        <is>
          <t>열린책들</t>
        </is>
      </c>
      <c r="E202" s="12">
        <f>_xludf.IFS(COUNTIF(보류목록!$B$3:$B$1000, B202)&gt;0, "-",COUNTIF(독서목록!$C$2:$C$1099, B202)=0, , COUNTIF(독서목록!$C$2:$C$1099, B202)&gt;0, COUNTIF(독서목록!$C$2:$C$1099, B202))</f>
        <v/>
      </c>
      <c r="F202" s="12">
        <f>_xludf.IFS(COUNTIF(보류목록!$C$3:$C$1000, B202)&gt;0, "-",COUNTIF(독서목록!$D$2:$D$1099, B202)=0, , COUNTIF(독서목록!$D$2:$D$1099, B202)&gt;0, COUNTIF(독서목록!$D$2:$D$1099, B202))</f>
        <v/>
      </c>
      <c r="G202" s="13" t="inlineStr">
        <is>
          <t>2017.05.27</t>
        </is>
      </c>
      <c r="H202" s="14" t="inlineStr">
        <is>
          <t>기부</t>
        </is>
      </c>
      <c r="I202" s="14" t="inlineStr">
        <is>
          <t>기부</t>
        </is>
      </c>
      <c r="J202" s="16" t="inlineStr">
        <is>
          <t>8932904006 9788932904009</t>
        </is>
      </c>
      <c r="K202" s="17" t="inlineStr">
        <is>
          <t>https://search1.kakaocdn.net/thumb/R120x174.q85/?fname=http%3A%2F%2Ft1.daumcdn.net%2Flbook%2Fimage%2F506301%3Ftimestamp%3D20221025182912</t>
        </is>
      </c>
    </row>
    <row r="203" ht="16.5" customHeight="1" s="118">
      <c r="A203" s="9" t="n"/>
      <c r="B203" s="10" t="inlineStr">
        <is>
          <t>청춘은 아름다워</t>
        </is>
      </c>
      <c r="C203" s="11" t="inlineStr">
        <is>
          <t>헤르만 헤세</t>
        </is>
      </c>
      <c r="D203" s="11" t="inlineStr">
        <is>
          <t>문학동네</t>
        </is>
      </c>
      <c r="E203" s="12">
        <f>_xludf.IFS(COUNTIF(보류목록!$B$3:$B$1000, B203)&gt;0, "-",COUNTIF(독서목록!$C$2:$C$1099, B203)=0, , COUNTIF(독서목록!$C$2:$C$1099, B203)&gt;0, COUNTIF(독서목록!$C$2:$C$1099, B203))</f>
        <v/>
      </c>
      <c r="F203" s="12">
        <f>_xludf.IFS(COUNTIF(보류목록!$C$3:$C$1000, B203)&gt;0, "-",COUNTIF(독서목록!$D$2:$D$1099, B203)=0, , COUNTIF(독서목록!$D$2:$D$1099, B203)&gt;0, COUNTIF(독서목록!$D$2:$D$1099, B203))</f>
        <v/>
      </c>
      <c r="G203" s="13" t="inlineStr">
        <is>
          <t>2017.01.25</t>
        </is>
      </c>
      <c r="H203" s="14" t="n"/>
      <c r="I203" s="14" t="n"/>
      <c r="J203" s="16" t="inlineStr">
        <is>
          <t>8954625959 9788954625951</t>
        </is>
      </c>
      <c r="K203" s="17" t="inlineStr">
        <is>
          <t>https://search1.kakaocdn.net/thumb/R120x174.q85/?fname=http%3A%2F%2Ft1.daumcdn.net%2Flbook%2Fimage%2F691791%3Ftimestamp%3D20220730175946</t>
        </is>
      </c>
    </row>
    <row r="204" ht="16.5" customHeight="1" s="118">
      <c r="A204" s="9" t="n"/>
      <c r="B204" s="10" t="inlineStr">
        <is>
          <t>벨킨 이야기, 스페이드 여왕</t>
        </is>
      </c>
      <c r="C204" s="11" t="inlineStr">
        <is>
          <t>푸슈킨</t>
        </is>
      </c>
      <c r="D204" s="11" t="inlineStr">
        <is>
          <t>민음사</t>
        </is>
      </c>
      <c r="E204" s="12">
        <f>_xludf.IFS(COUNTIF(보류목록!$B$3:$B$1000, B204)&gt;0, "-",COUNTIF(독서목록!$C$2:$C$1099, B204)=0, , COUNTIF(독서목록!$C$2:$C$1099, B204)&gt;0, COUNTIF(독서목록!$C$2:$C$1099, B204))</f>
        <v/>
      </c>
      <c r="F204" s="12">
        <f>_xludf.IFS(COUNTIF(보류목록!$C$3:$C$1000, B204)&gt;0, "-",COUNTIF(독서목록!$D$2:$D$1099, B204)=0, , COUNTIF(독서목록!$D$2:$D$1099, B204)&gt;0, COUNTIF(독서목록!$D$2:$D$1099, B204))</f>
        <v/>
      </c>
      <c r="G204" s="13" t="inlineStr">
        <is>
          <t>2017.01.25</t>
        </is>
      </c>
      <c r="H204" s="14" t="n"/>
      <c r="I204" s="14" t="n"/>
      <c r="J204" s="16" t="inlineStr">
        <is>
          <t>8937460629 9788937460623</t>
        </is>
      </c>
      <c r="K204" s="17" t="inlineStr">
        <is>
          <t>https://search1.kakaocdn.net/thumb/R120x174.q85/?fname=http%3A%2F%2Ft1.daumcdn.net%2Flbook%2Fimage%2F540828%3Ftimestamp%3D20260113110833</t>
        </is>
      </c>
    </row>
    <row r="205" ht="16.5" customHeight="1" s="118">
      <c r="A205" s="9" t="n"/>
      <c r="B205" s="10" t="inlineStr">
        <is>
          <t>돼지꿈</t>
        </is>
      </c>
      <c r="C205" s="11" t="inlineStr">
        <is>
          <t>황석영</t>
        </is>
      </c>
      <c r="D205" s="11" t="inlineStr">
        <is>
          <t>민음사</t>
        </is>
      </c>
      <c r="E205" s="12">
        <f>_xludf.IFS(COUNTIF(보류목록!$B$3:$B$1000, B205)&gt;0, "-",COUNTIF(독서목록!$C$2:$C$1099, B205)=0, , COUNTIF(독서목록!$C$2:$C$1099, B205)&gt;0, COUNTIF(독서목록!$C$2:$C$1099, B205))</f>
        <v/>
      </c>
      <c r="F205" s="12">
        <f>_xludf.IFS(COUNTIF(보류목록!$C$3:$C$1000, B205)&gt;0, "-",COUNTIF(독서목록!$D$2:$D$1099, B205)=0, , COUNTIF(독서목록!$D$2:$D$1099, B205)&gt;0, COUNTIF(독서목록!$D$2:$D$1099, B205))</f>
        <v/>
      </c>
      <c r="G205" s="13" t="inlineStr">
        <is>
          <t>2017.01.25</t>
        </is>
      </c>
      <c r="H205" s="14" t="n"/>
      <c r="I205" s="14" t="n"/>
      <c r="J205" s="16" t="inlineStr">
        <is>
          <t>8937461250 9788937461255</t>
        </is>
      </c>
      <c r="K205" s="17" t="inlineStr">
        <is>
          <t>https://search1.kakaocdn.net/thumb/R120x174.q85/?fname=http%3A%2F%2Ft1.daumcdn.net%2Flbook%2Fimage%2F540891%3Ftimestamp%3D20251217110901</t>
        </is>
      </c>
    </row>
    <row r="206" ht="16.5" customHeight="1" s="118">
      <c r="A206" s="9" t="n"/>
      <c r="B206" s="10" t="inlineStr">
        <is>
          <t>이상한 나라의 앨리스</t>
        </is>
      </c>
      <c r="C206" s="11" t="inlineStr">
        <is>
          <t>루이스 캐럴</t>
        </is>
      </c>
      <c r="D206" s="11" t="inlineStr">
        <is>
          <t>열린책들</t>
        </is>
      </c>
      <c r="E206" s="12">
        <f>_xludf.IFS(COUNTIF(보류목록!$B$3:$B$1000, B206)&gt;0, "-",COUNTIF(독서목록!$C$2:$C$1099, B206)=0, , COUNTIF(독서목록!$C$2:$C$1099, B206)&gt;0, COUNTIF(독서목록!$C$2:$C$1099, B206))</f>
        <v/>
      </c>
      <c r="F206" s="12">
        <f>_xludf.IFS(COUNTIF(보류목록!$C$3:$C$1000, B206)&gt;0, "-",COUNTIF(독서목록!$D$2:$D$1099, B206)=0, , COUNTIF(독서목록!$D$2:$D$1099, B206)&gt;0, COUNTIF(독서목록!$D$2:$D$1099, B206))</f>
        <v/>
      </c>
      <c r="G206" s="13" t="inlineStr">
        <is>
          <t>2017.01.25</t>
        </is>
      </c>
      <c r="H206" s="14" t="n"/>
      <c r="I206" s="14" t="n"/>
      <c r="J206" s="16" t="inlineStr">
        <is>
          <t>8932909326 9788932909325</t>
        </is>
      </c>
      <c r="K206" s="17" t="inlineStr">
        <is>
          <t>https://search1.kakaocdn.net/thumb/R120x174.q85/?fname=http%3A%2F%2Ft1.daumcdn.net%2Flbook%2Fimage%2F506585%3Ftimestamp%3D20231007172807</t>
        </is>
      </c>
    </row>
    <row r="207" ht="16.5" customHeight="1" s="118">
      <c r="A207" s="9" t="n"/>
      <c r="B207" s="10" t="inlineStr">
        <is>
          <t>황야의 이리</t>
        </is>
      </c>
      <c r="C207" s="11" t="inlineStr">
        <is>
          <t>헤르만 헤세</t>
        </is>
      </c>
      <c r="D207" s="11" t="inlineStr">
        <is>
          <t>민음사</t>
        </is>
      </c>
      <c r="E207" s="12">
        <f>_xludf.IFS(COUNTIF(보류목록!$B$3:$B$1000, B207)&gt;0, "-",COUNTIF(독서목록!$C$2:$C$1099, B207)=0, , COUNTIF(독서목록!$C$2:$C$1099, B207)&gt;0, COUNTIF(독서목록!$C$2:$C$1099, B207))</f>
        <v/>
      </c>
      <c r="F207" s="12">
        <f>_xludf.IFS(COUNTIF(보류목록!$C$3:$C$1000, B207)&gt;0, "-",COUNTIF(독서목록!$D$2:$D$1099, B207)=0, , COUNTIF(독서목록!$D$2:$D$1099, B207)&gt;0, COUNTIF(독서목록!$D$2:$D$1099, B207))</f>
        <v/>
      </c>
      <c r="G207" s="13" t="inlineStr">
        <is>
          <t>2016.12.17</t>
        </is>
      </c>
      <c r="H207" s="14" t="n"/>
      <c r="I207" s="14" t="n"/>
      <c r="J207" s="16" t="inlineStr">
        <is>
          <t>893746067X 9788937460678</t>
        </is>
      </c>
      <c r="K207" s="17" t="inlineStr">
        <is>
          <t>https://search1.kakaocdn.net/thumb/R120x174.q85/?fname=http%3A%2F%2Ft1.daumcdn.net%2Flbook%2Fimage%2F540833%3Ftimestamp%3D20251211110646</t>
        </is>
      </c>
    </row>
    <row r="208" ht="16.5" customHeight="1" s="118">
      <c r="A208" s="9" t="n"/>
      <c r="B208" s="10" t="inlineStr">
        <is>
          <t>농담</t>
        </is>
      </c>
      <c r="C208" s="11" t="inlineStr">
        <is>
          <t>밀란 쿤데라</t>
        </is>
      </c>
      <c r="D208" s="11" t="inlineStr">
        <is>
          <t>민음사</t>
        </is>
      </c>
      <c r="E208" s="12">
        <f>_xludf.IFS(COUNTIF(보류목록!$B$3:$B$1000, B208)&gt;0, "-",COUNTIF(독서목록!$C$2:$C$1099, B208)=0, , COUNTIF(독서목록!$C$2:$C$1099, B208)&gt;0, COUNTIF(독서목록!$C$2:$C$1099, B208))</f>
        <v/>
      </c>
      <c r="F208" s="12">
        <f>_xludf.IFS(COUNTIF(보류목록!$C$3:$C$1000, B208)&gt;0, "-",COUNTIF(독서목록!$D$2:$D$1099, B208)=0, , COUNTIF(독서목록!$D$2:$D$1099, B208)&gt;0, COUNTIF(독서목록!$D$2:$D$1099, B208))</f>
        <v/>
      </c>
      <c r="G208" s="13" t="inlineStr">
        <is>
          <t>2016.12.17</t>
        </is>
      </c>
      <c r="H208" s="14" t="n"/>
      <c r="I208" s="14" t="n"/>
      <c r="J208" s="16" t="inlineStr">
        <is>
          <t>8937460297 9788937460296</t>
        </is>
      </c>
      <c r="K208" s="17" t="inlineStr">
        <is>
          <t>https://search1.kakaocdn.net/thumb/R120x174.q85/?fname=http%3A%2F%2Ft1.daumcdn.net%2Flbook%2Fimage%2F540795%3Ftimestamp%3D20250201113414</t>
        </is>
      </c>
    </row>
    <row r="209" ht="16.5" customHeight="1" s="118">
      <c r="A209" s="9" t="n"/>
      <c r="B209" s="10" t="inlineStr">
        <is>
          <t>말테의 수기</t>
        </is>
      </c>
      <c r="C209" s="11" t="inlineStr">
        <is>
          <t>라이너 마리아 릴케</t>
        </is>
      </c>
      <c r="D209" s="11" t="inlineStr">
        <is>
          <t>민음사</t>
        </is>
      </c>
      <c r="E209" s="12">
        <f>_xludf.IFS(COUNTIF(보류목록!$B$3:$B$1000, B209)&gt;0, "-",COUNTIF(독서목록!$C$2:$C$1099, B209)=0, , COUNTIF(독서목록!$C$2:$C$1099, B209)&gt;0, COUNTIF(독서목록!$C$2:$C$1099, B209))</f>
        <v/>
      </c>
      <c r="F209" s="12">
        <f>_xludf.IFS(COUNTIF(보류목록!$C$3:$C$1000, B209)&gt;0, "-",COUNTIF(독서목록!$D$2:$D$1099, B209)=0, , COUNTIF(독서목록!$D$2:$D$1099, B209)&gt;0, COUNTIF(독서목록!$D$2:$D$1099, B209))</f>
        <v/>
      </c>
      <c r="G209" s="13" t="inlineStr">
        <is>
          <t>2016.12.17</t>
        </is>
      </c>
      <c r="H209" s="14" t="n"/>
      <c r="I209" s="14" t="n"/>
      <c r="J209" s="16" t="inlineStr">
        <is>
          <t>8937425378 9788937425370</t>
        </is>
      </c>
      <c r="K209" s="17" t="inlineStr">
        <is>
          <t>https://search1.kakaocdn.net/thumb/R120x174.q85/?fname=http%3A%2F%2Ft1.daumcdn.net%2Flbook%2Fimage%2F540206%3Ftimestamp%3D20260110110803</t>
        </is>
      </c>
    </row>
    <row r="210" ht="16.5" customHeight="1" s="118">
      <c r="A210" s="9" t="n"/>
      <c r="B210" s="10" t="inlineStr">
        <is>
          <t>TED TALKS</t>
        </is>
      </c>
      <c r="C210" s="11" t="inlineStr">
        <is>
          <t>크리스 앤더슨</t>
        </is>
      </c>
      <c r="D210" s="11" t="inlineStr">
        <is>
          <t>21세기북스</t>
        </is>
      </c>
      <c r="E210" s="12">
        <f>_xludf.IFS(COUNTIF(보류목록!$B$3:$B$1000, B210)&gt;0, "-",COUNTIF(독서목록!$C$2:$C$1099, B210)=0, , COUNTIF(독서목록!$C$2:$C$1099, B210)&gt;0, COUNTIF(독서목록!$C$2:$C$1099, B210))</f>
        <v/>
      </c>
      <c r="F210" s="12">
        <f>_xludf.IFS(COUNTIF(보류목록!$C$3:$C$1000, B210)&gt;0, "-",COUNTIF(독서목록!$D$2:$D$1099, B210)=0, , COUNTIF(독서목록!$D$2:$D$1099, B210)&gt;0, COUNTIF(독서목록!$D$2:$D$1099, B210))</f>
        <v/>
      </c>
      <c r="G210" s="13" t="inlineStr">
        <is>
          <t>2016.12.03</t>
        </is>
      </c>
      <c r="H210" s="14" t="n"/>
      <c r="I210" s="14" t="n"/>
      <c r="J210" s="16" t="inlineStr">
        <is>
          <t>8950958988 9788950958985</t>
        </is>
      </c>
      <c r="K210" s="17" t="inlineStr">
        <is>
          <t>https://search1.kakaocdn.net/thumb/R120x174.q85/?fname=http%3A%2F%2Ft1.daumcdn.net%2Flbook%2Fimage%2F625880%3Ftimestamp%3D20231206150109</t>
        </is>
      </c>
    </row>
    <row r="211" ht="16.5" customHeight="1" s="118">
      <c r="A211" s="9" t="n"/>
      <c r="B211" s="10" t="inlineStr">
        <is>
          <t>설민석의 조선왕조실록</t>
        </is>
      </c>
      <c r="C211" s="11" t="inlineStr">
        <is>
          <t>설민석</t>
        </is>
      </c>
      <c r="D211" s="11" t="inlineStr">
        <is>
          <t>세계사</t>
        </is>
      </c>
      <c r="E211" s="12">
        <f>_xludf.IFS(COUNTIF(보류목록!$B$3:$B$1000, B211)&gt;0, "-",COUNTIF(독서목록!$C$2:$C$1099, B211)=0, , COUNTIF(독서목록!$C$2:$C$1099, B211)&gt;0, COUNTIF(독서목록!$C$2:$C$1099, B211))</f>
        <v/>
      </c>
      <c r="F211" s="12">
        <f>_xludf.IFS(COUNTIF(보류목록!$C$3:$C$1000, B211)&gt;0, "-",COUNTIF(독서목록!$D$2:$D$1099, B211)=0, , COUNTIF(독서목록!$D$2:$D$1099, B211)&gt;0, COUNTIF(독서목록!$D$2:$D$1099, B211))</f>
        <v/>
      </c>
      <c r="G211" s="13" t="inlineStr">
        <is>
          <t>2016.11.22</t>
        </is>
      </c>
      <c r="H211" s="14" t="n"/>
      <c r="I211" s="14" t="n"/>
      <c r="J211" s="16" t="inlineStr">
        <is>
          <t>8933870695 9788933870693</t>
        </is>
      </c>
      <c r="K211" s="17" t="inlineStr">
        <is>
          <t>https://search1.kakaocdn.net/thumb/R120x174.q85/?fname=http%3A%2F%2Ft1.daumcdn.net%2Flbook%2Fimage%2F513452%3Ftimestamp%3D20251015110527</t>
        </is>
      </c>
    </row>
    <row r="212" ht="16.5" customHeight="1" s="118">
      <c r="A212" s="9" t="n"/>
      <c r="B212" s="10" t="inlineStr">
        <is>
          <t>피로사회</t>
        </is>
      </c>
      <c r="C212" s="11" t="inlineStr">
        <is>
          <t>한병철</t>
        </is>
      </c>
      <c r="D212" s="11" t="inlineStr">
        <is>
          <t>문학과지성사</t>
        </is>
      </c>
      <c r="E212" s="12">
        <f>_xludf.IFS(COUNTIF(보류목록!$B$3:$B$1000, B212)&gt;0, "-",COUNTIF(독서목록!$C$2:$C$1099, B212)=0, , COUNTIF(독서목록!$C$2:$C$1099, B212)&gt;0, COUNTIF(독서목록!$C$2:$C$1099, B212))</f>
        <v/>
      </c>
      <c r="F212" s="12">
        <f>_xludf.IFS(COUNTIF(보류목록!$C$3:$C$1000, B212)&gt;0, "-",COUNTIF(독서목록!$D$2:$D$1099, B212)=0, , COUNTIF(독서목록!$D$2:$D$1099, B212)&gt;0, COUNTIF(독서목록!$D$2:$D$1099, B212))</f>
        <v/>
      </c>
      <c r="G212" s="13" t="inlineStr">
        <is>
          <t>2016.11.22</t>
        </is>
      </c>
      <c r="H212" s="14" t="n"/>
      <c r="I212" s="14" t="n"/>
      <c r="J212" s="16" t="inlineStr">
        <is>
          <t>8932022887 9788932022888</t>
        </is>
      </c>
      <c r="K212" s="17" t="inlineStr">
        <is>
          <t>https://search1.kakaocdn.net/thumb/R120x174.q85/?fname=http%3A%2F%2Ft1.daumcdn.net%2Flbook%2Fimage%2F494755%3Ftimestamp%3D20260321110704</t>
        </is>
      </c>
    </row>
    <row r="213" ht="16.5" customHeight="1" s="118">
      <c r="A213" s="9" t="n"/>
      <c r="B213" s="10" t="inlineStr">
        <is>
          <t>대통령의 글쓰기</t>
        </is>
      </c>
      <c r="C213" s="11" t="inlineStr">
        <is>
          <t>강원국</t>
        </is>
      </c>
      <c r="D213" s="11" t="inlineStr">
        <is>
          <t>메디치</t>
        </is>
      </c>
      <c r="E213" s="12">
        <f>_xludf.IFS(COUNTIF(보류목록!$B$3:$B$1000, B213)&gt;0, "-",COUNTIF(독서목록!$C$2:$C$1099, B213)=0, , COUNTIF(독서목록!$C$2:$C$1099, B213)&gt;0, COUNTIF(독서목록!$C$2:$C$1099, B213))</f>
        <v/>
      </c>
      <c r="F213" s="12">
        <f>_xludf.IFS(COUNTIF(보류목록!$C$3:$C$1000, B213)&gt;0, "-",COUNTIF(독서목록!$D$2:$D$1099, B213)=0, , COUNTIF(독서목록!$D$2:$D$1099, B213)&gt;0, COUNTIF(독서목록!$D$2:$D$1099, B213))</f>
        <v/>
      </c>
      <c r="G213" s="13" t="inlineStr">
        <is>
          <t>2016.11.22</t>
        </is>
      </c>
      <c r="H213" s="14" t="inlineStr">
        <is>
          <t>기부</t>
        </is>
      </c>
      <c r="I213" s="14" t="inlineStr">
        <is>
          <t>기부</t>
        </is>
      </c>
      <c r="J213" s="16" t="inlineStr">
        <is>
          <t>8994612955 9788994612959</t>
        </is>
      </c>
      <c r="K213" s="17" t="inlineStr">
        <is>
          <t>https://search1.kakaocdn.net/thumb/R120x174.q85/?fname=http%3A%2F%2Ft1.daumcdn.net%2Flbook%2Fimage%2F1424141%3Ftimestamp%3D20260201110649</t>
        </is>
      </c>
    </row>
    <row r="214" ht="16.5" customHeight="1" s="118">
      <c r="A214" s="9" t="n"/>
      <c r="B214" s="10" t="inlineStr">
        <is>
          <t>좁은 문</t>
        </is>
      </c>
      <c r="C214" s="11" t="inlineStr">
        <is>
          <t>앙드레 지드</t>
        </is>
      </c>
      <c r="D214" s="11" t="inlineStr">
        <is>
          <t>펭귄클래식코리아</t>
        </is>
      </c>
      <c r="E214" s="12">
        <f>_xludf.IFS(COUNTIF(보류목록!$B$3:$B$1000, B214)&gt;0, "-",COUNTIF(독서목록!$C$2:$C$1099, B214)=0, , COUNTIF(독서목록!$C$2:$C$1099, B214)&gt;0, COUNTIF(독서목록!$C$2:$C$1099, B214))</f>
        <v/>
      </c>
      <c r="F214" s="12">
        <f>_xludf.IFS(COUNTIF(보류목록!$C$3:$C$1000, B214)&gt;0, "-",COUNTIF(독서목록!$D$2:$D$1099, B214)=0, , COUNTIF(독서목록!$D$2:$D$1099, B214)&gt;0, COUNTIF(독서목록!$D$2:$D$1099, B214))</f>
        <v/>
      </c>
      <c r="G214" s="13" t="inlineStr">
        <is>
          <t>2016.11.22</t>
        </is>
      </c>
      <c r="H214" s="14" t="n"/>
      <c r="I214" s="14" t="n"/>
      <c r="J214" s="16" t="inlineStr">
        <is>
          <t>480D190223370</t>
        </is>
      </c>
      <c r="K214" s="19" t="inlineStr">
        <is>
          <t>https://search1.kakaocdn.net/thumb/R120x174.q85/?fname=http%3A%2F%2Ft1.daumcdn.net%2Flbook%2Fimage%2F4890706%3Ftimestamp%3D20190303083410</t>
        </is>
      </c>
    </row>
    <row r="215" ht="16.5" customHeight="1" s="118">
      <c r="A215" s="9" t="n"/>
      <c r="B215" s="10" t="inlineStr">
        <is>
          <t>시를 잊은 그대에게</t>
        </is>
      </c>
      <c r="C215" s="11" t="inlineStr">
        <is>
          <t>정재찬</t>
        </is>
      </c>
      <c r="D215" s="11" t="inlineStr">
        <is>
          <t>휴머니스트</t>
        </is>
      </c>
      <c r="E215" s="12">
        <f>_xludf.IFS(COUNTIF(보류목록!$B$3:$B$1000, B215)&gt;0, "-",COUNTIF(독서목록!$C$2:$C$1099, B215)=0, , COUNTIF(독서목록!$C$2:$C$1099, B215)&gt;0, COUNTIF(독서목록!$C$2:$C$1099, B215))</f>
        <v/>
      </c>
      <c r="F215" s="12">
        <f>_xludf.IFS(COUNTIF(보류목록!$C$3:$C$1000, B215)&gt;0, "-",COUNTIF(독서목록!$D$2:$D$1099, B215)=0, , COUNTIF(독서목록!$D$2:$D$1099, B215)&gt;0, COUNTIF(독서목록!$D$2:$D$1099, B215))</f>
        <v/>
      </c>
      <c r="G215" s="13" t="inlineStr">
        <is>
          <t>2016.11.22</t>
        </is>
      </c>
      <c r="H215" s="14" t="n"/>
      <c r="I215" s="14" t="n"/>
      <c r="J215" s="16" t="inlineStr">
        <is>
          <t>8958628227 9788958628224</t>
        </is>
      </c>
      <c r="K215" s="17" t="inlineStr">
        <is>
          <t>https://search1.kakaocdn.net/thumb/R120x174.q85/?fname=http%3A%2F%2Ft1.daumcdn.net%2Flbook%2Fimage%2F786881%3Ftimestamp%3D20260124111022</t>
        </is>
      </c>
    </row>
    <row r="216" ht="16.5" customHeight="1" s="118">
      <c r="A216" s="9" t="n"/>
      <c r="B216" s="10" t="inlineStr">
        <is>
          <t>군주론</t>
        </is>
      </c>
      <c r="C216" s="11" t="inlineStr">
        <is>
          <t>마키아벨리</t>
        </is>
      </c>
      <c r="D216" s="11" t="inlineStr">
        <is>
          <t>해누리</t>
        </is>
      </c>
      <c r="E216" s="12">
        <f>_xludf.IFS(COUNTIF(보류목록!$B$3:$B$1000, B216)&gt;0, "-",COUNTIF(독서목록!$C$2:$C$1099, B216)=0, , COUNTIF(독서목록!$C$2:$C$1099, B216)&gt;0, COUNTIF(독서목록!$C$2:$C$1099, B216))</f>
        <v/>
      </c>
      <c r="F216" s="12">
        <f>_xludf.IFS(COUNTIF(보류목록!$C$3:$C$1000, B216)&gt;0, "-",COUNTIF(독서목록!$D$2:$D$1099, B216)=0, , COUNTIF(독서목록!$D$2:$D$1099, B216)&gt;0, COUNTIF(독서목록!$D$2:$D$1099, B216))</f>
        <v/>
      </c>
      <c r="G216" s="13" t="inlineStr">
        <is>
          <t>2016.07.03</t>
        </is>
      </c>
      <c r="H216" s="14" t="n"/>
      <c r="I216" s="14" t="n"/>
      <c r="J216" s="16" t="inlineStr">
        <is>
          <t>8962261065 9788962261066</t>
        </is>
      </c>
      <c r="K216" s="17" t="inlineStr">
        <is>
          <t>https://search1.kakaocdn.net/thumb/R120x174.q85/?fname=http%3A%2F%2Ft1.daumcdn.net%2Flbook%2Fimage%2F5005812%3Ftimestamp%3D20220812221340</t>
        </is>
      </c>
    </row>
    <row r="217" ht="16.5" customHeight="1" s="118">
      <c r="A217" s="9" t="n"/>
      <c r="B217" s="10" t="inlineStr">
        <is>
          <t>리더의 그릇</t>
        </is>
      </c>
      <c r="C217" s="11" t="inlineStr">
        <is>
          <t>나카지마다카시</t>
        </is>
      </c>
      <c r="D217" s="11" t="inlineStr">
        <is>
          <t>다산</t>
        </is>
      </c>
      <c r="E217" s="12">
        <f>_xludf.IFS(COUNTIF(보류목록!$B$3:$B$1000, B217)&gt;0, "-",COUNTIF(독서목록!$C$2:$C$1099, B217)=0, , COUNTIF(독서목록!$C$2:$C$1099, B217)&gt;0, COUNTIF(독서목록!$C$2:$C$1099, B217))</f>
        <v/>
      </c>
      <c r="F217" s="12">
        <f>_xludf.IFS(COUNTIF(보류목록!$C$3:$C$1000, B217)&gt;0, "-",COUNTIF(독서목록!$D$2:$D$1099, B217)=0, , COUNTIF(독서목록!$D$2:$D$1099, B217)&gt;0, COUNTIF(독서목록!$D$2:$D$1099, B217))</f>
        <v/>
      </c>
      <c r="G217" s="13" t="inlineStr">
        <is>
          <t>2016.03.00</t>
        </is>
      </c>
      <c r="H217" s="14" t="n"/>
      <c r="I217" s="14" t="n"/>
      <c r="J217" s="16" t="inlineStr">
        <is>
          <t>1130607399 9791130607399</t>
        </is>
      </c>
      <c r="K217" s="17" t="inlineStr">
        <is>
          <t>https://search1.kakaocdn.net/thumb/R120x174.q85/?fname=http%3A%2F%2Ft1.daumcdn.net%2Flbook%2Fimage%2F1536688%3Ftimestamp%3D20251218110947</t>
        </is>
      </c>
    </row>
    <row r="218" ht="16.5" customHeight="1" s="118">
      <c r="A218" s="9" t="n"/>
      <c r="B218" s="10" t="inlineStr">
        <is>
          <t>사람을 남겨라</t>
        </is>
      </c>
      <c r="C218" s="11" t="inlineStr">
        <is>
          <t>정동일</t>
        </is>
      </c>
      <c r="D218" s="11" t="inlineStr">
        <is>
          <t>북스톤</t>
        </is>
      </c>
      <c r="E218" s="12">
        <f>_xludf.IFS(COUNTIF(보류목록!$B$3:$B$1000, B218)&gt;0, "-",COUNTIF(독서목록!$C$2:$C$1099, B218)=0, , COUNTIF(독서목록!$C$2:$C$1099, B218)&gt;0, COUNTIF(독서목록!$C$2:$C$1099, B218))</f>
        <v/>
      </c>
      <c r="F218" s="12">
        <f>_xludf.IFS(COUNTIF(보류목록!$C$3:$C$1000, B218)&gt;0, "-",COUNTIF(독서목록!$D$2:$D$1099, B218)=0, , COUNTIF(독서목록!$D$2:$D$1099, B218)&gt;0, COUNTIF(독서목록!$D$2:$D$1099, B218))</f>
        <v/>
      </c>
      <c r="G218" s="13" t="inlineStr">
        <is>
          <t>2016.03.00</t>
        </is>
      </c>
      <c r="H218" s="14" t="n"/>
      <c r="I218" s="14" t="n"/>
      <c r="J218" s="16" t="inlineStr">
        <is>
          <t>1195463812 9791195463817</t>
        </is>
      </c>
      <c r="K218" s="17" t="inlineStr">
        <is>
          <t>https://search1.kakaocdn.net/thumb/R120x174.q85/?fname=http%3A%2F%2Ft1.daumcdn.net%2Flbook%2Fimage%2F1661606%3Ftimestamp%3D20250709110645</t>
        </is>
      </c>
    </row>
    <row r="219" ht="16.5" customHeight="1" s="118">
      <c r="A219" s="9" t="n"/>
      <c r="B219" s="10" t="inlineStr">
        <is>
          <t>관계의 본심</t>
        </is>
      </c>
      <c r="C219" s="11" t="inlineStr">
        <is>
          <t>클리포드 나스, 코리나 옌</t>
        </is>
      </c>
      <c r="D219" s="11" t="inlineStr">
        <is>
          <t>푸른숲</t>
        </is>
      </c>
      <c r="E219" s="12">
        <f>_xludf.IFS(COUNTIF(보류목록!$B$3:$B$1000, B219)&gt;0, "-",COUNTIF(독서목록!$C$2:$C$1099, B219)=0, , COUNTIF(독서목록!$C$2:$C$1099, B219)&gt;0, COUNTIF(독서목록!$C$2:$C$1099, B219))</f>
        <v/>
      </c>
      <c r="F219" s="12">
        <f>_xludf.IFS(COUNTIF(보류목록!$C$3:$C$1000, B219)&gt;0, "-",COUNTIF(독서목록!$D$2:$D$1099, B219)=0, , COUNTIF(독서목록!$D$2:$D$1099, B219)&gt;0, COUNTIF(독서목록!$D$2:$D$1099, B219))</f>
        <v/>
      </c>
      <c r="G219" s="13" t="inlineStr">
        <is>
          <t>2016.03.26</t>
        </is>
      </c>
      <c r="H219" s="14" t="n"/>
      <c r="I219" s="14" t="n"/>
      <c r="J219" s="16" t="inlineStr">
        <is>
          <t>8971848669 9788971848661</t>
        </is>
      </c>
      <c r="K219" s="19" t="inlineStr">
        <is>
          <t>https://search1.kakaocdn.net/thumb/R120x174.q85/?fname=http%3A%2F%2Ft1.daumcdn.net%2Flbook%2Fimage%2F990080%3Ftimestamp%3D20260123110921</t>
        </is>
      </c>
    </row>
    <row r="220" ht="16.5" customHeight="1" s="118">
      <c r="A220" s="9" t="n"/>
      <c r="B220" s="10" t="inlineStr">
        <is>
          <t>일의 기쁨과 슬픔</t>
        </is>
      </c>
      <c r="C220" s="11" t="inlineStr">
        <is>
          <t>알랭 드 보통</t>
        </is>
      </c>
      <c r="D220" s="11" t="inlineStr">
        <is>
          <t>이레</t>
        </is>
      </c>
      <c r="E220" s="12">
        <f>_xludf.IFS(COUNTIF(보류목록!$B$3:$B$1000, B220)&gt;0, "-",COUNTIF(독서목록!$C$2:$C$1099, B220)=0, , COUNTIF(독서목록!$C$2:$C$1099, B220)&gt;0, COUNTIF(독서목록!$C$2:$C$1099, B220))</f>
        <v/>
      </c>
      <c r="F220" s="12">
        <f>_xludf.IFS(COUNTIF(보류목록!$C$3:$C$1000, B220)&gt;0, "-",COUNTIF(독서목록!$D$2:$D$1099, B220)=0, , COUNTIF(독서목록!$D$2:$D$1099, B220)&gt;0, COUNTIF(독서목록!$D$2:$D$1099, B220))</f>
        <v/>
      </c>
      <c r="G220" s="13" t="inlineStr">
        <is>
          <t>2016.03.26</t>
        </is>
      </c>
      <c r="H220" s="14" t="n"/>
      <c r="I220" s="14" t="n"/>
      <c r="J220" s="16" t="inlineStr">
        <is>
          <t>8957091599 9788957091593</t>
        </is>
      </c>
      <c r="K220" s="17" t="inlineStr">
        <is>
          <t>https://search1.kakaocdn.net/thumb/R120x174.q85/?fname=http%3A%2F%2Ft1.daumcdn.net%2Flbook%2Fimage%2F751445%3Ftimestamp%3D20221108002658</t>
        </is>
      </c>
    </row>
    <row r="221" ht="16.5" customHeight="1" s="118">
      <c r="A221" s="9" t="n"/>
      <c r="B221" s="10" t="inlineStr">
        <is>
          <t>지금 시작하는 인문학</t>
        </is>
      </c>
      <c r="C221" s="11" t="inlineStr">
        <is>
          <t>주현성</t>
        </is>
      </c>
      <c r="D221" s="11" t="inlineStr">
        <is>
          <t>더좋은책</t>
        </is>
      </c>
      <c r="E221" s="12">
        <f>_xludf.IFS(COUNTIF(보류목록!$B$3:$B$1000, B221)&gt;0, "-",COUNTIF(독서목록!$C$2:$C$1099, B221)=0, , COUNTIF(독서목록!$C$2:$C$1099, B221)&gt;0, COUNTIF(독서목록!$C$2:$C$1099, B221))</f>
        <v/>
      </c>
      <c r="F221" s="12">
        <f>_xludf.IFS(COUNTIF(보류목록!$C$3:$C$1000, B221)&gt;0, "-",COUNTIF(독서목록!$D$2:$D$1099, B221)=0, , COUNTIF(독서목록!$D$2:$D$1099, B221)&gt;0, COUNTIF(독서목록!$D$2:$D$1099, B221))</f>
        <v/>
      </c>
      <c r="G221" s="13" t="inlineStr">
        <is>
          <t>2016.03.26</t>
        </is>
      </c>
      <c r="H221" s="14" t="n"/>
      <c r="I221" s="14" t="n"/>
      <c r="J221" s="16" t="inlineStr">
        <is>
          <t>899801503X 9788998015039</t>
        </is>
      </c>
      <c r="K221" s="17" t="inlineStr">
        <is>
          <t>https://search1.kakaocdn.net/thumb/R120x174.q85/?fname=http%3A%2F%2Ft1.daumcdn.net%2Flbook%2Fimage%2F1493388%3Ftimestamp%3D20230613151527</t>
        </is>
      </c>
    </row>
    <row r="222" ht="16.5" customHeight="1" s="118">
      <c r="A222" s="9" t="n"/>
      <c r="B222" s="10" t="inlineStr">
        <is>
          <t>공무도하</t>
        </is>
      </c>
      <c r="C222" s="11" t="inlineStr">
        <is>
          <t>김훈</t>
        </is>
      </c>
      <c r="D222" s="11" t="inlineStr">
        <is>
          <t>문학동네</t>
        </is>
      </c>
      <c r="E222" s="12">
        <f>_xludf.IFS(COUNTIF(보류목록!$B$3:$B$1000, B222)&gt;0, "-",COUNTIF(독서목록!$C$2:$C$1099, B222)=0, , COUNTIF(독서목록!$C$2:$C$1099, B222)&gt;0, COUNTIF(독서목록!$C$2:$C$1099, B222))</f>
        <v/>
      </c>
      <c r="F222" s="12">
        <f>_xludf.IFS(COUNTIF(보류목록!$C$3:$C$1000, B222)&gt;0, "-",COUNTIF(독서목록!$D$2:$D$1099, B222)=0, , COUNTIF(독서목록!$D$2:$D$1099, B222)&gt;0, COUNTIF(독서목록!$D$2:$D$1099, B222))</f>
        <v/>
      </c>
      <c r="G222" s="13" t="inlineStr">
        <is>
          <t>2016.03.26</t>
        </is>
      </c>
      <c r="H222" s="14" t="n"/>
      <c r="I222" s="14" t="n"/>
      <c r="J222" s="16" t="inlineStr">
        <is>
          <t>895460899X 9788954608992</t>
        </is>
      </c>
      <c r="K222" s="17" t="inlineStr">
        <is>
          <t>https://search1.kakaocdn.net/thumb/R120x174.q85/?fname=http%3A%2F%2Ft1.daumcdn.net%2Flbook%2Fimage%2F690303%3Ftimestamp%3D20230516153524</t>
        </is>
      </c>
    </row>
    <row r="223" ht="16.5" customHeight="1" s="118">
      <c r="A223" s="9" t="n"/>
      <c r="B223" s="10" t="inlineStr">
        <is>
          <t>내 안에서 나를 만드는 것들</t>
        </is>
      </c>
      <c r="C223" s="11" t="inlineStr">
        <is>
          <t>애덤 스미스</t>
        </is>
      </c>
      <c r="D223" s="11" t="inlineStr">
        <is>
          <t>세계사</t>
        </is>
      </c>
      <c r="E223" s="12">
        <f>_xludf.IFS(COUNTIF(보류목록!$B$3:$B$1000, B223)&gt;0, "-",COUNTIF(독서목록!$C$2:$C$1099, B223)=0, , COUNTIF(독서목록!$C$2:$C$1099, B223)&gt;0, COUNTIF(독서목록!$C$2:$C$1099, B223))</f>
        <v/>
      </c>
      <c r="F223" s="12">
        <f>_xludf.IFS(COUNTIF(보류목록!$C$3:$C$1000, B223)&gt;0, "-",COUNTIF(독서목록!$D$2:$D$1099, B223)=0, , COUNTIF(독서목록!$D$2:$D$1099, B223)&gt;0, COUNTIF(독서목록!$D$2:$D$1099, B223))</f>
        <v/>
      </c>
      <c r="G223" s="13" t="inlineStr">
        <is>
          <t>2016.01.13</t>
        </is>
      </c>
      <c r="H223" s="14" t="n"/>
      <c r="I223" s="14" t="n"/>
      <c r="J223" s="16" t="inlineStr">
        <is>
          <t>893387240X 9788933872406</t>
        </is>
      </c>
      <c r="K223" s="17" t="inlineStr">
        <is>
          <t>https://search1.kakaocdn.net/thumb/R120x174.q85/?fname=http%3A%2F%2Ft1.daumcdn.net%2Flbook%2Fimage%2F6706302%3Ftimestamp%3D20250924141828</t>
        </is>
      </c>
    </row>
    <row r="224" ht="16.5" customHeight="1" s="118">
      <c r="A224" s="9" t="n"/>
      <c r="B224" s="10" t="inlineStr">
        <is>
          <t>독서의 기술</t>
        </is>
      </c>
      <c r="C224" s="11" t="inlineStr">
        <is>
          <t>M.J. 애들러</t>
        </is>
      </c>
      <c r="D224" s="11" t="inlineStr">
        <is>
          <t>너머학교</t>
        </is>
      </c>
      <c r="E224" s="12">
        <f>_xludf.IFS(COUNTIF(보류목록!$B$3:$B$1000, B224)&gt;0, "-",COUNTIF(독서목록!$C$2:$C$1099, B224)=0, , COUNTIF(독서목록!$C$2:$C$1099, B224)&gt;0, COUNTIF(독서목록!$C$2:$C$1099, B224))</f>
        <v/>
      </c>
      <c r="F224" s="12">
        <f>_xludf.IFS(COUNTIF(보류목록!$C$3:$C$1000, B224)&gt;0, "-",COUNTIF(독서목록!$D$2:$D$1099, B224)=0, , COUNTIF(독서목록!$D$2:$D$1099, B224)&gt;0, COUNTIF(독서목록!$D$2:$D$1099, B224))</f>
        <v/>
      </c>
      <c r="G224" s="13" t="inlineStr">
        <is>
          <t>2016.01.13</t>
        </is>
      </c>
      <c r="H224" s="14" t="n"/>
      <c r="I224" s="14" t="n"/>
      <c r="J224" s="16" t="inlineStr">
        <is>
          <t>8994407200 9788994407203</t>
        </is>
      </c>
      <c r="K224" s="17" t="inlineStr">
        <is>
          <t>https://search1.kakaocdn.net/thumb/R120x174.q85/?fname=http%3A%2F%2Ft1.daumcdn.net%2Flbook%2Fimage%2F1426643%3Ftimestamp%3D20221011174056</t>
        </is>
      </c>
    </row>
    <row r="225" ht="16.5" customHeight="1" s="118">
      <c r="A225" s="9" t="n"/>
      <c r="B225" s="10" t="inlineStr">
        <is>
          <t>우리글 바로쓰기</t>
        </is>
      </c>
      <c r="C225" s="11" t="inlineStr">
        <is>
          <t>이오덕</t>
        </is>
      </c>
      <c r="D225" s="11" t="inlineStr">
        <is>
          <t>한길사</t>
        </is>
      </c>
      <c r="E225" s="12">
        <f>_xludf.IFS(COUNTIF(보류목록!$B$3:$B$1000, B225)&gt;0, "-",COUNTIF(독서목록!$C$2:$C$1099, B225)=0, , COUNTIF(독서목록!$C$2:$C$1099, B225)&gt;0, COUNTIF(독서목록!$C$2:$C$1099, B225))</f>
        <v/>
      </c>
      <c r="F225" s="12">
        <f>_xludf.IFS(COUNTIF(보류목록!$C$3:$C$1000, B225)&gt;0, "-",COUNTIF(독서목록!$D$2:$D$1099, B225)=0, , COUNTIF(독서목록!$D$2:$D$1099, B225)&gt;0, COUNTIF(독서목록!$D$2:$D$1099, B225))</f>
        <v/>
      </c>
      <c r="G225" s="13" t="inlineStr">
        <is>
          <t>2016.01.13</t>
        </is>
      </c>
      <c r="H225" s="14" t="n"/>
      <c r="I225" s="14" t="n"/>
      <c r="J225" s="16" t="inlineStr">
        <is>
          <t>8935661473 9788935661473</t>
        </is>
      </c>
      <c r="K225" s="17" t="inlineStr">
        <is>
          <t>https://search1.kakaocdn.net/thumb/R120x174.q85/?fname=http%3A%2F%2Ft1.daumcdn.net%2Flbook%2Fimage%2F525769%3Ftimestamp%3D20250704110205</t>
        </is>
      </c>
    </row>
    <row r="226" ht="16.5" customHeight="1" s="118">
      <c r="A226" s="9" t="n"/>
      <c r="B226" s="10" t="inlineStr">
        <is>
          <t>차라투스트라는 이렇게 말했다</t>
        </is>
      </c>
      <c r="C226" s="11" t="inlineStr">
        <is>
          <t>프리드리히 니체</t>
        </is>
      </c>
      <c r="D226" s="11" t="inlineStr">
        <is>
          <t>민음사</t>
        </is>
      </c>
      <c r="E226" s="12">
        <f>_xludf.IFS(COUNTIF(보류목록!$B$3:$B$1000, B226)&gt;0, "-",COUNTIF(독서목록!$C$2:$C$1099, B226)=0, , COUNTIF(독서목록!$C$2:$C$1099, B226)&gt;0, COUNTIF(독서목록!$C$2:$C$1099, B226))</f>
        <v/>
      </c>
      <c r="F226" s="12">
        <f>_xludf.IFS(COUNTIF(보류목록!$C$3:$C$1000, B226)&gt;0, "-",COUNTIF(독서목록!$D$2:$D$1099, B226)=0, , COUNTIF(독서목록!$D$2:$D$1099, B226)&gt;0, COUNTIF(독서목록!$D$2:$D$1099, B226))</f>
        <v/>
      </c>
      <c r="G226" s="13" t="inlineStr">
        <is>
          <t>2016.01.13</t>
        </is>
      </c>
      <c r="H226" s="14" t="n"/>
      <c r="I226" s="14" t="n"/>
      <c r="J226" s="16" t="inlineStr">
        <is>
          <t>8937460947 9788937460944</t>
        </is>
      </c>
      <c r="K226" s="17" t="inlineStr">
        <is>
          <t>https://search1.kakaocdn.net/thumb/R120x174.q85/?fname=http%3A%2F%2Ft1.daumcdn.net%2Flbook%2Fimage%2F540860%3Ftimestamp%3D20251205142723</t>
        </is>
      </c>
    </row>
    <row r="227" ht="16.5" customHeight="1" s="118">
      <c r="A227" s="9" t="n"/>
      <c r="B227" s="10" t="inlineStr">
        <is>
          <t>논리의 기술</t>
        </is>
      </c>
      <c r="C227" s="11" t="inlineStr">
        <is>
          <t>바바라 민토</t>
        </is>
      </c>
      <c r="D227" s="11" t="inlineStr">
        <is>
          <t>더난출판사</t>
        </is>
      </c>
      <c r="E227" s="12">
        <f>_xludf.IFS(COUNTIF(보류목록!$B$3:$B$1000, B227)&gt;0, "-",COUNTIF(독서목록!$C$2:$C$1099, B227)=0, , COUNTIF(독서목록!$C$2:$C$1099, B227)&gt;0, COUNTIF(독서목록!$C$2:$C$1099, B227))</f>
        <v/>
      </c>
      <c r="F227" s="12">
        <f>_xludf.IFS(COUNTIF(보류목록!$C$3:$C$1000, B227)&gt;0, "-",COUNTIF(독서목록!$D$2:$D$1099, B227)=0, , COUNTIF(독서목록!$D$2:$D$1099, B227)&gt;0, COUNTIF(독서목록!$D$2:$D$1099, B227))</f>
        <v/>
      </c>
      <c r="G227" s="13" t="inlineStr">
        <is>
          <t>2016.01.13</t>
        </is>
      </c>
      <c r="H227" s="14" t="n"/>
      <c r="I227" s="14" t="n"/>
      <c r="J227" s="16" t="inlineStr">
        <is>
          <t>8984059714 9788984059719</t>
        </is>
      </c>
      <c r="K227" s="19" t="inlineStr">
        <is>
          <t>https://search1.kakaocdn.net/thumb/R120x174.q85/?fname=http%3A%2F%2Ft1.daumcdn.net%2Flbook%2Fimage%2F5036289%3Ftimestamp%3D20251203130259</t>
        </is>
      </c>
    </row>
    <row r="228" ht="16.5" customHeight="1" s="118">
      <c r="A228" s="9" t="n"/>
      <c r="B228" s="10" t="inlineStr">
        <is>
          <t>자유론</t>
        </is>
      </c>
      <c r="C228" s="11" t="inlineStr">
        <is>
          <t>존 스튜어트 밀</t>
        </is>
      </c>
      <c r="D228" s="11" t="inlineStr">
        <is>
          <t>책세상</t>
        </is>
      </c>
      <c r="E228" s="12">
        <f>_xludf.IFS(COUNTIF(보류목록!$B$3:$B$1000, B228)&gt;0, "-",COUNTIF(독서목록!$C$2:$C$1099, B228)=0, , COUNTIF(독서목록!$C$2:$C$1099, B228)&gt;0, COUNTIF(독서목록!$C$2:$C$1099, B228))</f>
        <v/>
      </c>
      <c r="F228" s="12">
        <f>_xludf.IFS(COUNTIF(보류목록!$C$3:$C$1000, B228)&gt;0, "-",COUNTIF(독서목록!$D$2:$D$1099, B228)=0, , COUNTIF(독서목록!$D$2:$D$1099, B228)&gt;0, COUNTIF(독서목록!$D$2:$D$1099, B228))</f>
        <v/>
      </c>
      <c r="G228" s="13" t="inlineStr">
        <is>
          <t>2016.01.13</t>
        </is>
      </c>
      <c r="H228" s="14" t="n"/>
      <c r="I228" s="14" t="n"/>
      <c r="J228" s="16" t="inlineStr">
        <is>
          <t>1171311605 9791171311606</t>
        </is>
      </c>
      <c r="K228" s="17" t="inlineStr">
        <is>
          <t>https://search1.kakaocdn.net/thumb/R120x174.q85/?fname=http%3A%2F%2Ft1.daumcdn.net%2Flbook%2Fimage%2F6853815%3Ftimestamp%3D20260401124330</t>
        </is>
      </c>
    </row>
    <row r="229" ht="16.5" customHeight="1" s="118">
      <c r="A229" s="9" t="n"/>
      <c r="B229" s="10" t="inlineStr">
        <is>
          <t>클릭 서양미술사</t>
        </is>
      </c>
      <c r="C229" s="11" t="inlineStr">
        <is>
          <t>캐롤 스트릭랜드</t>
        </is>
      </c>
      <c r="D229" s="11" t="inlineStr">
        <is>
          <t>예경</t>
        </is>
      </c>
      <c r="E229" s="12">
        <f>_xludf.IFS(COUNTIF(보류목록!$B$3:$B$1000, B229)&gt;0, "-",COUNTIF(독서목록!$C$2:$C$1099, B229)=0, , COUNTIF(독서목록!$C$2:$C$1099, B229)&gt;0, COUNTIF(독서목록!$C$2:$C$1099, B229))</f>
        <v/>
      </c>
      <c r="F229" s="12">
        <f>_xludf.IFS(COUNTIF(보류목록!$C$3:$C$1000, B229)&gt;0, "-",COUNTIF(독서목록!$D$2:$D$1099, B229)=0, , COUNTIF(독서목록!$D$2:$D$1099, B229)&gt;0, COUNTIF(독서목록!$D$2:$D$1099, B229))</f>
        <v/>
      </c>
      <c r="G229" s="13" t="inlineStr">
        <is>
          <t>2016.01.13</t>
        </is>
      </c>
      <c r="H229" s="14" t="inlineStr">
        <is>
          <t>기부</t>
        </is>
      </c>
      <c r="I229" s="14" t="inlineStr">
        <is>
          <t>기부</t>
        </is>
      </c>
      <c r="J229" s="16" t="inlineStr">
        <is>
          <t>8970844155 9788970844152</t>
        </is>
      </c>
      <c r="K229" s="19" t="inlineStr">
        <is>
          <t>https://search1.kakaocdn.net/thumb/R120x174.q85/?fname=http%3A%2F%2Ft1.daumcdn.net%2Flbook%2Fimage%2F970334%3Ftimestamp%3D20250306113839</t>
        </is>
      </c>
    </row>
    <row r="230" ht="16.5" customHeight="1" s="118">
      <c r="A230" s="9" t="n"/>
      <c r="B230" s="10" t="inlineStr">
        <is>
          <t>스케치 쉽게하기</t>
        </is>
      </c>
      <c r="C230" s="11" t="inlineStr">
        <is>
          <t>김충원</t>
        </is>
      </c>
      <c r="D230" s="11" t="inlineStr">
        <is>
          <t>진선아트북</t>
        </is>
      </c>
      <c r="E230" s="12">
        <f>_xludf.IFS(COUNTIF(보류목록!$B$3:$B$1000, B230)&gt;0, "-",COUNTIF(독서목록!$C$2:$C$1099, B230)=0, , COUNTIF(독서목록!$C$2:$C$1099, B230)&gt;0, COUNTIF(독서목록!$C$2:$C$1099, B230))</f>
        <v/>
      </c>
      <c r="F230" s="12" t="n">
        <v>1</v>
      </c>
      <c r="G230" s="13" t="inlineStr">
        <is>
          <t>2016.01.13</t>
        </is>
      </c>
      <c r="H230" s="14" t="inlineStr">
        <is>
          <t>기부</t>
        </is>
      </c>
      <c r="I230" s="14" t="n">
        <v>25.12</v>
      </c>
      <c r="J230" s="16" t="inlineStr">
        <is>
          <t>8972215228 9788972215226</t>
        </is>
      </c>
      <c r="K230" s="19" t="inlineStr">
        <is>
          <t>https://search1.kakaocdn.net/thumb/R120x174.q85/?fname=http%3A%2F%2Ft1.daumcdn.net%2Flbook%2Fimage%2F998216%3Ftimestamp%3D20251219110803</t>
        </is>
      </c>
    </row>
    <row r="231" ht="16.5" customHeight="1" s="118">
      <c r="A231" s="9" t="n"/>
      <c r="B231" s="10" t="inlineStr">
        <is>
          <t>당신은 전략가입니까</t>
        </is>
      </c>
      <c r="C231" s="11" t="inlineStr">
        <is>
          <t>신시아 A. 몽고메리</t>
        </is>
      </c>
      <c r="D231" s="11" t="inlineStr">
        <is>
          <t>리더스북</t>
        </is>
      </c>
      <c r="E231" s="12">
        <f>_xludf.IFS(COUNTIF(보류목록!$B$3:$B$1000, B231)&gt;0, "-",COUNTIF(독서목록!$C$2:$C$1099, B231)=0, , COUNTIF(독서목록!$C$2:$C$1099, B231)&gt;0, COUNTIF(독서목록!$C$2:$C$1099, B231))</f>
        <v/>
      </c>
      <c r="F231" s="12">
        <f>_xludf.IFS(COUNTIF(보류목록!$C$3:$C$1000, B231)&gt;0, "-",COUNTIF(독서목록!$D$2:$D$1099, B231)=0, , COUNTIF(독서목록!$D$2:$D$1099, B231)&gt;0, COUNTIF(독서목록!$D$2:$D$1099, B231))</f>
        <v/>
      </c>
      <c r="G231" s="13" t="inlineStr">
        <is>
          <t>2016.01.02</t>
        </is>
      </c>
      <c r="H231" s="14" t="n"/>
      <c r="I231" s="14" t="n"/>
      <c r="J231" s="16" t="inlineStr">
        <is>
          <t>1195071043 9791195071043</t>
        </is>
      </c>
      <c r="K231" s="17" t="inlineStr">
        <is>
          <t>https://search1.kakaocdn.net/thumb/R120x174.q85/?fname=http%3A%2F%2Ft1.daumcdn.net%2Flbook%2Fimage%2F1650192%3Ftimestamp%3D20260321110700</t>
        </is>
      </c>
    </row>
    <row r="232" ht="16.5" customHeight="1" s="118">
      <c r="A232" s="9" t="n"/>
      <c r="B232" s="10" t="inlineStr">
        <is>
          <t>버리고 갈 것만 남아서 참 홀가분하다</t>
        </is>
      </c>
      <c r="C232" s="11" t="inlineStr">
        <is>
          <t>박경리</t>
        </is>
      </c>
      <c r="D232" s="11" t="inlineStr">
        <is>
          <t>마로니에북스</t>
        </is>
      </c>
      <c r="E232" s="12">
        <f>_xludf.IFS(COUNTIF(보류목록!$B$3:$B$1000, B232)&gt;0, "-",COUNTIF(독서목록!$C$2:$C$1099, B232)=0, , COUNTIF(독서목록!$C$2:$C$1099, B232)&gt;0, COUNTIF(독서목록!$C$2:$C$1099, B232))</f>
        <v/>
      </c>
      <c r="F232" s="12">
        <f>_xludf.IFS(COUNTIF(보류목록!$C$3:$C$1000, B232)&gt;0, "-",COUNTIF(독서목록!$D$2:$D$1099, B232)=0, , COUNTIF(독서목록!$D$2:$D$1099, B232)&gt;0, COUNTIF(독서목록!$D$2:$D$1099, B232))</f>
        <v/>
      </c>
      <c r="G232" s="13" t="inlineStr">
        <is>
          <t>2016.01.02</t>
        </is>
      </c>
      <c r="H232" s="14" t="n"/>
      <c r="I232" s="14" t="n"/>
      <c r="J232" s="16" t="inlineStr">
        <is>
          <t>8960531596 9788960531598</t>
        </is>
      </c>
      <c r="K232" s="17" t="inlineStr">
        <is>
          <t>https://search1.kakaocdn.net/thumb/R120x174.q85/?fname=http%3A%2F%2Ft1.daumcdn.net%2Flbook%2Fimage%2F833827%3Ftimestamp%3D20260315110554</t>
        </is>
      </c>
    </row>
    <row r="233" ht="16.5" customHeight="1" s="118">
      <c r="A233" s="9" t="n"/>
      <c r="B233" s="10" t="inlineStr">
        <is>
          <t>대지</t>
        </is>
      </c>
      <c r="C233" s="11" t="inlineStr">
        <is>
          <t>펄 벅</t>
        </is>
      </c>
      <c r="D233" s="11" t="inlineStr">
        <is>
          <t>문예출판사</t>
        </is>
      </c>
      <c r="E233" s="12">
        <f>_xludf.IFS(COUNTIF(보류목록!$B$3:$B$1000, B233)&gt;0, "-",COUNTIF(독서목록!$C$2:$C$1099, B233)=0, , COUNTIF(독서목록!$C$2:$C$1099, B233)&gt;0, COUNTIF(독서목록!$C$2:$C$1099, B233))</f>
        <v/>
      </c>
      <c r="F233" s="12">
        <f>_xludf.IFS(COUNTIF(보류목록!$C$3:$C$1000, B233)&gt;0, "-",COUNTIF(독서목록!$D$2:$D$1099, B233)=0, , COUNTIF(독서목록!$D$2:$D$1099, B233)&gt;0, COUNTIF(독서목록!$D$2:$D$1099, B233))</f>
        <v/>
      </c>
      <c r="G233" s="13" t="inlineStr">
        <is>
          <t>2016.01.02</t>
        </is>
      </c>
      <c r="H233" s="14" t="n"/>
      <c r="I233" s="14" t="n"/>
      <c r="J233" s="16" t="inlineStr">
        <is>
          <t>893100415X 9788931004151</t>
        </is>
      </c>
      <c r="K233" s="19" t="inlineStr">
        <is>
          <t>https://search1.kakaocdn.net/thumb/R120x174.q85/?fname=http%3A%2F%2Ft1.daumcdn.net%2Flbook%2Fimage%2F477884%3Ftimestamp%3D20250621113335</t>
        </is>
      </c>
    </row>
    <row r="234" ht="16.5" customHeight="1" s="118">
      <c r="A234" s="9" t="n"/>
      <c r="B234" s="10" t="inlineStr">
        <is>
          <t>베니스의 상인</t>
        </is>
      </c>
      <c r="C234" s="11" t="inlineStr">
        <is>
          <t>윌리엄 셰익스피어</t>
        </is>
      </c>
      <c r="D234" s="11" t="inlineStr">
        <is>
          <t>민음사</t>
        </is>
      </c>
      <c r="E234" s="12">
        <f>_xludf.IFS(COUNTIF(보류목록!$B$3:$B$1000, B234)&gt;0, "-",COUNTIF(독서목록!$C$2:$C$1099, B234)=0, , COUNTIF(독서목록!$C$2:$C$1099, B234)&gt;0, COUNTIF(독서목록!$C$2:$C$1099, B234))</f>
        <v/>
      </c>
      <c r="F234" s="12">
        <f>_xludf.IFS(COUNTIF(보류목록!$C$3:$C$1000, B234)&gt;0, "-",COUNTIF(독서목록!$D$2:$D$1099, B234)=0, , COUNTIF(독서목록!$D$2:$D$1099, B234)&gt;0, COUNTIF(독서목록!$D$2:$D$1099, B234))</f>
        <v/>
      </c>
      <c r="G234" s="13" t="inlineStr">
        <is>
          <t>2015.10.18</t>
        </is>
      </c>
      <c r="H234" s="14" t="n"/>
      <c r="I234" s="14" t="n"/>
      <c r="J234" s="16" t="inlineStr">
        <is>
          <t>8937462621 9788937462627</t>
        </is>
      </c>
      <c r="K234" s="17" t="inlineStr">
        <is>
          <t>https://search1.kakaocdn.net/thumb/R120x174.q85/?fname=http%3A%2F%2Ft1.daumcdn.net%2Flbook%2Fimage%2F541082%3Ftimestamp%3D20251125110915</t>
        </is>
      </c>
    </row>
    <row r="235" ht="16.5" customHeight="1" s="118">
      <c r="A235" s="9" t="n"/>
      <c r="B235" s="10" t="inlineStr">
        <is>
          <t>수레바퀴 아래서</t>
        </is>
      </c>
      <c r="C235" s="25" t="inlineStr">
        <is>
          <t>해르만 헤세</t>
        </is>
      </c>
      <c r="D235" s="11" t="inlineStr">
        <is>
          <t>민음사</t>
        </is>
      </c>
      <c r="E235" s="12">
        <f>_xludf.IFS(COUNTIF(보류목록!$B$3:$B$1000, B235)&gt;0, "-",COUNTIF(독서목록!$C$2:$C$1099, B235)=0, , COUNTIF(독서목록!$C$2:$C$1099, B235)&gt;0, COUNTIF(독서목록!$C$2:$C$1099, B235))</f>
        <v/>
      </c>
      <c r="F235" s="12">
        <f>_xludf.IFS(COUNTIF(보류목록!$C$3:$C$1000, B235)&gt;0, "-",COUNTIF(독서목록!$D$2:$D$1099, B235)=0, , COUNTIF(독서목록!$D$2:$D$1099, B235)&gt;0, COUNTIF(독서목록!$D$2:$D$1099, B235))</f>
        <v/>
      </c>
      <c r="G235" s="13" t="inlineStr">
        <is>
          <t>2015.10.18</t>
        </is>
      </c>
      <c r="H235" s="14" t="n"/>
      <c r="I235" s="14" t="n"/>
      <c r="J235" s="16" t="inlineStr">
        <is>
          <t>8937460505 9788937460500</t>
        </is>
      </c>
      <c r="K235" s="19" t="inlineStr">
        <is>
          <t>https://search1.kakaocdn.net/thumb/R120x174.q85/?fname=http%3A%2F%2Ft1.daumcdn.net%2Flbook%2Fimage%2F540816%3Ftimestamp%3D20241113114441</t>
        </is>
      </c>
    </row>
    <row r="236" ht="16.5" customHeight="1" s="118">
      <c r="A236" s="9" t="n"/>
      <c r="B236" s="26" t="inlineStr">
        <is>
          <t>프루스트가 우리의 삶을 바꾸는 방법들</t>
        </is>
      </c>
      <c r="C236" s="11" t="inlineStr">
        <is>
          <t>알랭 드 보통</t>
        </is>
      </c>
      <c r="D236" s="11" t="inlineStr">
        <is>
          <t>청미래</t>
        </is>
      </c>
      <c r="E236" s="12">
        <f>_xludf.IFS(COUNTIF(보류목록!$B$3:$B$1000, B236)&gt;0, "-",COUNTIF(독서목록!$C$2:$C$1099, B236)=0, , COUNTIF(독서목록!$C$2:$C$1099, B236)&gt;0, COUNTIF(독서목록!$C$2:$C$1099, B236))</f>
        <v/>
      </c>
      <c r="F236" s="12">
        <f>_xludf.IFS(COUNTIF(보류목록!$C$3:$C$1000, B236)&gt;0, "-",COUNTIF(독서목록!$D$2:$D$1099, B236)=0, , COUNTIF(독서목록!$D$2:$D$1099, B236)&gt;0, COUNTIF(독서목록!$D$2:$D$1099, B236))</f>
        <v/>
      </c>
      <c r="G236" s="13" t="inlineStr">
        <is>
          <t>2015.10.08</t>
        </is>
      </c>
      <c r="H236" s="14" t="n"/>
      <c r="I236" s="14" t="n"/>
      <c r="J236" s="16" t="inlineStr">
        <is>
          <t>8986836408 9788986836400</t>
        </is>
      </c>
      <c r="K236" s="17" t="inlineStr">
        <is>
          <t>https://search1.kakaocdn.net/thumb/R120x174.q85/?fname=http%3A%2F%2Ft1.daumcdn.net%2Flbook%2Fimage%2F1240322%3Ftimestamp%3D20250320113534</t>
        </is>
      </c>
    </row>
    <row r="237" ht="16.5" customHeight="1" s="118">
      <c r="A237" s="9" t="n"/>
      <c r="B237" s="10" t="inlineStr">
        <is>
          <t>방드르디, 태평양의 끝</t>
        </is>
      </c>
      <c r="C237" s="11" t="inlineStr">
        <is>
          <t>미셸 투르니에</t>
        </is>
      </c>
      <c r="D237" s="11" t="inlineStr">
        <is>
          <t>민음사</t>
        </is>
      </c>
      <c r="E237" s="12">
        <f>_xludf.IFS(COUNTIF(보류목록!$B$3:$B$1000, B237)&gt;0, "-",COUNTIF(독서목록!$C$2:$C$1099, B237)=0, , COUNTIF(독서목록!$C$2:$C$1099, B237)&gt;0, COUNTIF(독서목록!$C$2:$C$1099, B237))</f>
        <v/>
      </c>
      <c r="F237" s="12">
        <f>_xludf.IFS(COUNTIF(보류목록!$C$3:$C$1000, B237)&gt;0, "-",COUNTIF(독서목록!$D$2:$D$1099, B237)=0, , COUNTIF(독서목록!$D$2:$D$1099, B237)&gt;0, COUNTIF(독서목록!$D$2:$D$1099, B237))</f>
        <v/>
      </c>
      <c r="G237" s="13" t="inlineStr">
        <is>
          <t>2015.10.08</t>
        </is>
      </c>
      <c r="H237" s="14" t="n"/>
      <c r="I237" s="14" t="n"/>
      <c r="J237" s="16" t="inlineStr">
        <is>
          <t>8937460912 9788937460913</t>
        </is>
      </c>
      <c r="K237" s="17" t="inlineStr">
        <is>
          <t>https://search1.kakaocdn.net/thumb/R120x174.q85/?fname=http%3A%2F%2Ft1.daumcdn.net%2Flbook%2Fimage%2F540857%3Ftimestamp%3D20251210110910</t>
        </is>
      </c>
    </row>
    <row r="238" ht="16.5" customHeight="1" s="118">
      <c r="A238" s="9" t="n"/>
      <c r="B238" s="10" t="inlineStr">
        <is>
          <t>설득의 심리학2</t>
        </is>
      </c>
      <c r="C238" s="11" t="inlineStr">
        <is>
          <t>로버트 치알디니</t>
        </is>
      </c>
      <c r="D238" s="11" t="inlineStr">
        <is>
          <t>21세기북스</t>
        </is>
      </c>
      <c r="E238" s="12">
        <f>_xludf.IFS(COUNTIF(보류목록!$B$3:$B$1000, B238)&gt;0, "-",COUNTIF(독서목록!$C$2:$C$1099, B238)=0, , COUNTIF(독서목록!$C$2:$C$1099, B238)&gt;0, COUNTIF(독서목록!$C$2:$C$1099, B238))</f>
        <v/>
      </c>
      <c r="F238" s="12">
        <f>_xludf.IFS(COUNTIF(보류목록!$C$3:$C$1000, B238)&gt;0, "-",COUNTIF(독서목록!$D$2:$D$1099, B238)=0, , COUNTIF(독서목록!$D$2:$D$1099, B238)&gt;0, COUNTIF(독서목록!$D$2:$D$1099, B238))</f>
        <v/>
      </c>
      <c r="G238" s="13" t="inlineStr">
        <is>
          <t>2015.10.08</t>
        </is>
      </c>
      <c r="H238" s="14" t="n"/>
      <c r="I238" s="14" t="n"/>
      <c r="J238" s="16" t="inlineStr">
        <is>
          <t>8950972948 9788950972943</t>
        </is>
      </c>
      <c r="K238" s="17" t="inlineStr">
        <is>
          <t>https://search1.kakaocdn.net/thumb/R120x174.q85/?fname=http%3A%2F%2Ft1.daumcdn.net%2Flbook%2Fimage%2F4895414%3Ftimestamp%3D20260111114842</t>
        </is>
      </c>
    </row>
    <row r="239" ht="16.5" customHeight="1" s="118">
      <c r="A239" s="9" t="n"/>
      <c r="B239" s="10" t="inlineStr">
        <is>
          <t>긍정의 힘</t>
        </is>
      </c>
      <c r="C239" s="11" t="inlineStr">
        <is>
          <t>웨인 W 다이어</t>
        </is>
      </c>
      <c r="D239" s="11" t="inlineStr">
        <is>
          <t>새벽이슬</t>
        </is>
      </c>
      <c r="E239" s="12">
        <f>_xludf.IFS(COUNTIF(보류목록!$B$3:$B$1000, B239)&gt;0, "-",COUNTIF(독서목록!$C$2:$C$1099, B239)=0, , COUNTIF(독서목록!$C$2:$C$1099, B239)&gt;0, COUNTIF(독서목록!$C$2:$C$1099, B239))</f>
        <v/>
      </c>
      <c r="F239" s="12">
        <f>_xludf.IFS(COUNTIF(보류목록!$C$3:$C$1000, B239)&gt;0, "-",COUNTIF(독서목록!$D$2:$D$1099, B239)=0, , COUNTIF(독서목록!$D$2:$D$1099, B239)&gt;0, COUNTIF(독서목록!$D$2:$D$1099, B239))</f>
        <v/>
      </c>
      <c r="G239" s="13" t="inlineStr">
        <is>
          <t>2015.10.08</t>
        </is>
      </c>
      <c r="H239" s="14" t="n"/>
      <c r="I239" s="14" t="n"/>
      <c r="J239" s="16" t="inlineStr">
        <is>
          <t>8994397256 9788994397252</t>
        </is>
      </c>
      <c r="K239" s="17" t="inlineStr">
        <is>
          <t>https://search1.kakaocdn.net/thumb/R120x174.q85/?fname=http%3A%2F%2Ft1.daumcdn.net%2Flbook%2Fimage%2F1415290%3Ftimestamp%3D20190129221836</t>
        </is>
      </c>
    </row>
    <row r="240" ht="16.5" customHeight="1" s="118">
      <c r="A240" s="9" t="n"/>
      <c r="B240" s="10" t="inlineStr">
        <is>
          <t>파수꾼</t>
        </is>
      </c>
      <c r="C240" s="11" t="inlineStr">
        <is>
          <t>하퍼 리</t>
        </is>
      </c>
      <c r="D240" s="11" t="inlineStr">
        <is>
          <t>열린책들</t>
        </is>
      </c>
      <c r="E240" s="12">
        <f>_xludf.IFS(COUNTIF(보류목록!$B$3:$B$1000, B240)&gt;0, "-",COUNTIF(독서목록!$C$2:$C$1099, B240)=0, , COUNTIF(독서목록!$C$2:$C$1099, B240)&gt;0, COUNTIF(독서목록!$C$2:$C$1099, B240))</f>
        <v/>
      </c>
      <c r="F240" s="12">
        <f>_xludf.IFS(COUNTIF(보류목록!$C$3:$C$1000, B240)&gt;0, "-",COUNTIF(독서목록!$D$2:$D$1099, B240)=0, , COUNTIF(독서목록!$D$2:$D$1099, B240)&gt;0, COUNTIF(독서목록!$D$2:$D$1099, B240))</f>
        <v/>
      </c>
      <c r="G240" s="13" t="inlineStr">
        <is>
          <t>2015.10.02</t>
        </is>
      </c>
      <c r="H240" s="14" t="inlineStr">
        <is>
          <t>기부</t>
        </is>
      </c>
      <c r="I240" s="14" t="inlineStr">
        <is>
          <t>기부</t>
        </is>
      </c>
      <c r="J240" s="16" t="inlineStr">
        <is>
          <t>8932917221 9788932917221</t>
        </is>
      </c>
      <c r="K240" s="17" t="inlineStr">
        <is>
          <t>https://search1.kakaocdn.net/thumb/R120x174.q85/?fname=http%3A%2F%2Ft1.daumcdn.net%2Flbook%2Fimage%2F507024%3Ftimestamp%3D20231017191624</t>
        </is>
      </c>
    </row>
    <row r="241" ht="16.5" customHeight="1" s="118">
      <c r="A241" s="9" t="n"/>
      <c r="B241" s="10" t="inlineStr">
        <is>
          <t>소크라테스의 변명</t>
        </is>
      </c>
      <c r="C241" s="11" t="inlineStr">
        <is>
          <t>플라톤</t>
        </is>
      </c>
      <c r="D241" s="11" t="inlineStr">
        <is>
          <t>고구려미디어</t>
        </is>
      </c>
      <c r="E241" s="12">
        <f>_xludf.IFS(COUNTIF(보류목록!$B$3:$B$1000, B241)&gt;0, "-",COUNTIF(독서목록!$C$2:$C$1099, B241)=0, , COUNTIF(독서목록!$C$2:$C$1099, B241)&gt;0, COUNTIF(독서목록!$C$2:$C$1099, B241))</f>
        <v/>
      </c>
      <c r="F241" s="12">
        <f>_xludf.IFS(COUNTIF(보류목록!$C$3:$C$1000, B241)&gt;0, "-",COUNTIF(독서목록!$D$2:$D$1099, B241)=0, , COUNTIF(독서목록!$D$2:$D$1099, B241)&gt;0, COUNTIF(독서목록!$D$2:$D$1099, B241))</f>
        <v/>
      </c>
      <c r="G241" s="13" t="inlineStr">
        <is>
          <t>2015.10.02</t>
        </is>
      </c>
      <c r="H241" s="14" t="n"/>
      <c r="I241" s="14" t="n"/>
      <c r="J241" s="16" t="inlineStr">
        <is>
          <t>896578008X 9788965780083</t>
        </is>
      </c>
      <c r="K241" s="19" t="inlineStr">
        <is>
          <t>https://search1.kakaocdn.net/thumb/R120x174.q85/?fname=http%3A%2F%2Ft1.daumcdn.net%2Flbook%2Fimage%2F922021%3Ftimestamp%3D20220917074206</t>
        </is>
      </c>
    </row>
    <row r="242" ht="16.5" customHeight="1" s="118">
      <c r="A242" s="9" t="n"/>
      <c r="B242" s="10" t="inlineStr">
        <is>
          <t>자전거 여행2</t>
        </is>
      </c>
      <c r="C242" s="11" t="inlineStr">
        <is>
          <t>김훈</t>
        </is>
      </c>
      <c r="D242" s="11" t="inlineStr">
        <is>
          <t>문학동네</t>
        </is>
      </c>
      <c r="E242" s="12">
        <f>_xludf.IFS(COUNTIF(보류목록!$B$3:$B$1000, B242)&gt;0, "-",COUNTIF(독서목록!$C$2:$C$1099, B242)=0, , COUNTIF(독서목록!$C$2:$C$1099, B242)&gt;0, COUNTIF(독서목록!$C$2:$C$1099, B242))</f>
        <v/>
      </c>
      <c r="F242" s="12">
        <f>_xludf.IFS(COUNTIF(보류목록!$C$3:$C$1000, B242)&gt;0, "-",COUNTIF(독서목록!$D$2:$D$1099, B242)=0, , COUNTIF(독서목록!$D$2:$D$1099, B242)&gt;0, COUNTIF(독서목록!$D$2:$D$1099, B242))</f>
        <v/>
      </c>
      <c r="G242" s="13" t="inlineStr">
        <is>
          <t>2015.09.22</t>
        </is>
      </c>
      <c r="H242" s="14" t="inlineStr">
        <is>
          <t>기부</t>
        </is>
      </c>
      <c r="I242" s="14" t="inlineStr">
        <is>
          <t>기부</t>
        </is>
      </c>
      <c r="J242" s="16" t="inlineStr">
        <is>
          <t>8954626211 9788954626217</t>
        </is>
      </c>
      <c r="K242" s="17" t="inlineStr">
        <is>
          <t>https://search1.kakaocdn.net/thumb/R120x174.q85/?fname=http%3A%2F%2Ft1.daumcdn.net%2Flbook%2Fimage%2F691857%3Ftimestamp%3D20260113110857</t>
        </is>
      </c>
    </row>
    <row r="243" ht="16.5" customHeight="1" s="118">
      <c r="A243" s="9" t="n"/>
      <c r="B243" s="10" t="inlineStr">
        <is>
          <t>자전거 여행1</t>
        </is>
      </c>
      <c r="C243" s="11" t="inlineStr">
        <is>
          <t>김훈</t>
        </is>
      </c>
      <c r="D243" s="11" t="inlineStr">
        <is>
          <t>문학동네</t>
        </is>
      </c>
      <c r="E243" s="12">
        <f>_xludf.IFS(COUNTIF(보류목록!$B$3:$B$1000, B243)&gt;0, "-",COUNTIF(독서목록!$C$2:$C$1099, B243)=0, , COUNTIF(독서목록!$C$2:$C$1099, B243)&gt;0, COUNTIF(독서목록!$C$2:$C$1099, B243))</f>
        <v/>
      </c>
      <c r="F243" s="12">
        <f>_xludf.IFS(COUNTIF(보류목록!$C$3:$C$1000, B243)&gt;0, "-",COUNTIF(독서목록!$D$2:$D$1099, B243)=0, , COUNTIF(독서목록!$D$2:$D$1099, B243)&gt;0, COUNTIF(독서목록!$D$2:$D$1099, B243))</f>
        <v/>
      </c>
      <c r="G243" s="13" t="inlineStr">
        <is>
          <t>2015.09.22</t>
        </is>
      </c>
      <c r="H243" s="14" t="inlineStr">
        <is>
          <t>기부</t>
        </is>
      </c>
      <c r="I243" s="14" t="inlineStr">
        <is>
          <t>기부</t>
        </is>
      </c>
      <c r="J243" s="16" t="inlineStr">
        <is>
          <t>8954626203 9788954626200</t>
        </is>
      </c>
      <c r="K243" s="17" t="inlineStr">
        <is>
          <t>https://search1.kakaocdn.net/thumb/R120x174.q85/?fname=http%3A%2F%2Ft1.daumcdn.net%2Flbook%2Fimage%2F691853%3Ftimestamp%3D20260113110855</t>
        </is>
      </c>
    </row>
    <row r="244" ht="16.5" customHeight="1" s="118">
      <c r="A244" s="9" t="n"/>
      <c r="B244" s="10" t="inlineStr">
        <is>
          <t>노인과 바다</t>
        </is>
      </c>
      <c r="C244" s="11" t="inlineStr">
        <is>
          <t>헤밍웨이</t>
        </is>
      </c>
      <c r="D244" s="11" t="inlineStr">
        <is>
          <t>문학동네</t>
        </is>
      </c>
      <c r="E244" s="12">
        <f>_xludf.IFS(COUNTIF(보류목록!$B$3:$B$1000, B244)&gt;0, "-",COUNTIF(독서목록!$C$2:$C$1099, B244)=0, , COUNTIF(독서목록!$C$2:$C$1099, B244)&gt;0, COUNTIF(독서목록!$C$2:$C$1099, B244))</f>
        <v/>
      </c>
      <c r="F244" s="12">
        <f>_xludf.IFS(COUNTIF(보류목록!$C$3:$C$1000, B244)&gt;0, "-",COUNTIF(독서목록!$D$2:$D$1099, B244)=0, , COUNTIF(독서목록!$D$2:$D$1099, B244)&gt;0, COUNTIF(독서목록!$D$2:$D$1099, B244))</f>
        <v/>
      </c>
      <c r="G244" s="13" t="inlineStr">
        <is>
          <t>2015.08.09</t>
        </is>
      </c>
      <c r="H244" s="14" t="inlineStr">
        <is>
          <t>기부</t>
        </is>
      </c>
      <c r="I244" s="14" t="inlineStr">
        <is>
          <t>기부</t>
        </is>
      </c>
      <c r="J244" s="16" t="inlineStr">
        <is>
          <t>8954617298 9788954617291</t>
        </is>
      </c>
      <c r="K244" s="17" t="inlineStr">
        <is>
          <t>https://search1.kakaocdn.net/thumb/R120x174.q85/?fname=http%3A%2F%2Ft1.daumcdn.net%2Flbook%2Fimage%2F691286%3Ftimestamp%3D20260226110853</t>
        </is>
      </c>
    </row>
    <row r="245" ht="16.5" customHeight="1" s="118">
      <c r="A245" s="9" t="n"/>
      <c r="B245" s="10" t="inlineStr">
        <is>
          <t>화폐전쟁</t>
        </is>
      </c>
      <c r="C245" s="11" t="inlineStr">
        <is>
          <t>쑹훙빙</t>
        </is>
      </c>
      <c r="D245" s="11" t="inlineStr">
        <is>
          <t>랜덤하우스</t>
        </is>
      </c>
      <c r="E245" s="12">
        <f>_xludf.IFS(COUNTIF(보류목록!$B$3:$B$1000, B245)&gt;0, "-",COUNTIF(독서목록!$C$2:$C$1099, B245)=0, , COUNTIF(독서목록!$C$2:$C$1099, B245)&gt;0, COUNTIF(독서목록!$C$2:$C$1099, B245))</f>
        <v/>
      </c>
      <c r="F245" s="12">
        <f>_xludf.IFS(COUNTIF(보류목록!$C$3:$C$1000, B245)&gt;0, "-",COUNTIF(독서목록!$D$2:$D$1099, B245)=0, , COUNTIF(독서목록!$D$2:$D$1099, B245)&gt;0, COUNTIF(독서목록!$D$2:$D$1099, B245))</f>
        <v/>
      </c>
      <c r="G245" s="13" t="inlineStr">
        <is>
          <t>2015.06.26</t>
        </is>
      </c>
      <c r="H245" s="14" t="n"/>
      <c r="I245" s="14" t="n"/>
      <c r="J245" s="16" t="inlineStr">
        <is>
          <t>8925521199 9788925521190</t>
        </is>
      </c>
      <c r="K245" s="17" t="inlineStr">
        <is>
          <t>https://search1.kakaocdn.net/thumb/R120x174.q85/?fname=http%3A%2F%2Ft1.daumcdn.net%2Flbook%2Fimage%2F412432%3Ftimestamp%3D20231111172952</t>
        </is>
      </c>
    </row>
    <row r="246" ht="16.5" customHeight="1" s="118">
      <c r="A246" s="9" t="n"/>
      <c r="B246" s="10" t="inlineStr">
        <is>
          <t>코스모스</t>
        </is>
      </c>
      <c r="C246" s="11" t="inlineStr">
        <is>
          <t>칼 세이건</t>
        </is>
      </c>
      <c r="D246" s="11" t="inlineStr">
        <is>
          <t>사이언스북스</t>
        </is>
      </c>
      <c r="E246" s="12">
        <f>_xludf.IFS(COUNTIF(보류목록!$B$3:$B$1000, B246)&gt;0, "-",COUNTIF(독서목록!$C$2:$C$1099, B246)=0, , COUNTIF(독서목록!$C$2:$C$1099, B246)&gt;0, COUNTIF(독서목록!$C$2:$C$1099, B246))</f>
        <v/>
      </c>
      <c r="F246" s="12">
        <f>_xludf.IFS(COUNTIF(보류목록!$C$3:$C$1000, B246)&gt;0, "-",COUNTIF(독서목록!$D$2:$D$1099, B246)=0, , COUNTIF(독서목록!$D$2:$D$1099, B246)&gt;0, COUNTIF(독서목록!$D$2:$D$1099, B246))</f>
        <v/>
      </c>
      <c r="G246" s="13" t="inlineStr">
        <is>
          <t>2015.06.26</t>
        </is>
      </c>
      <c r="H246" s="14" t="n"/>
      <c r="I246" s="14" t="n"/>
      <c r="J246" s="16" t="inlineStr">
        <is>
          <t>8983711892 9788983711892</t>
        </is>
      </c>
      <c r="K246" s="17" t="inlineStr">
        <is>
          <t>https://search1.kakaocdn.net/thumb/R120x174.q85/?fname=http%3A%2F%2Ft1.daumcdn.net%2Flbook%2Fimage%2F1164431%3Ftimestamp%3D20251021110330</t>
        </is>
      </c>
    </row>
    <row r="247" ht="16.5" customHeight="1" s="118">
      <c r="A247" s="9" t="n"/>
      <c r="B247" s="10" t="inlineStr">
        <is>
          <t>지적 대화를 위한 넓고 얕은 지식</t>
        </is>
      </c>
      <c r="C247" s="11" t="inlineStr">
        <is>
          <t>채사장</t>
        </is>
      </c>
      <c r="D247" s="11" t="inlineStr">
        <is>
          <t>한빛비즈</t>
        </is>
      </c>
      <c r="E247" s="12">
        <f>_xludf.IFS(COUNTIF(보류목록!$B$3:$B$1000, B247)&gt;0, "-",COUNTIF(독서목록!$C$2:$C$1099, B247)=0, , COUNTIF(독서목록!$C$2:$C$1099, B247)&gt;0, COUNTIF(독서목록!$C$2:$C$1099, B247))</f>
        <v/>
      </c>
      <c r="F247" s="12">
        <f>_xludf.IFS(COUNTIF(보류목록!$C$3:$C$1000, B247)&gt;0, "-",COUNTIF(독서목록!$D$2:$D$1099, B247)=0, , COUNTIF(독서목록!$D$2:$D$1099, B247)&gt;0, COUNTIF(독서목록!$D$2:$D$1099, B247))</f>
        <v/>
      </c>
      <c r="G247" s="13" t="inlineStr">
        <is>
          <t>2015.06.26</t>
        </is>
      </c>
      <c r="H247" s="14" t="n"/>
      <c r="I247" s="14" t="n"/>
      <c r="J247" s="16" t="inlineStr">
        <is>
          <t>8994120963 9788994120966</t>
        </is>
      </c>
      <c r="K247" s="19" t="inlineStr">
        <is>
          <t>https://search1.kakaocdn.net/thumb/R120x174.q85/?fname=http%3A%2F%2Ft1.daumcdn.net%2Flbook%2Fimage%2F1412590%3Ftimestamp%3D20221108000000</t>
        </is>
      </c>
    </row>
    <row r="248" ht="16.5" customHeight="1" s="118">
      <c r="A248" s="9" t="n"/>
      <c r="B248" s="10" t="inlineStr">
        <is>
          <t>지적 대화를 위한 넓고 얕은 지식 : 현실 너머 편</t>
        </is>
      </c>
      <c r="C248" s="11" t="inlineStr">
        <is>
          <t>채사장</t>
        </is>
      </c>
      <c r="D248" s="11" t="inlineStr">
        <is>
          <t>한빛비즈</t>
        </is>
      </c>
      <c r="E248" s="12">
        <f>_xludf.IFS(COUNTIF(보류목록!$B$3:$B$1000, B248)&gt;0, "-",COUNTIF(독서목록!$C$2:$C$1099, B248)=0, , COUNTIF(독서목록!$C$2:$C$1099, B248)&gt;0, COUNTIF(독서목록!$C$2:$C$1099, B248))</f>
        <v/>
      </c>
      <c r="F248" s="12">
        <f>_xludf.IFS(COUNTIF(보류목록!$C$3:$C$1000, B248)&gt;0, "-",COUNTIF(독서목록!$D$2:$D$1099, B248)=0, , COUNTIF(독서목록!$D$2:$D$1099, B248)&gt;0, COUNTIF(독서목록!$D$2:$D$1099, B248))</f>
        <v/>
      </c>
      <c r="G248" s="13" t="inlineStr">
        <is>
          <t>2015.06.26</t>
        </is>
      </c>
      <c r="H248" s="14" t="n"/>
      <c r="I248" s="14" t="n"/>
      <c r="J248" s="16" t="inlineStr">
        <is>
          <t>8994120998 9788994120997</t>
        </is>
      </c>
      <c r="K248" s="17" t="inlineStr">
        <is>
          <t>https://search1.kakaocdn.net/thumb/R120x174.q85/?fname=http%3A%2F%2Ft1.daumcdn.net%2Flbook%2Fimage%2F1420945%3Ftimestamp%3D20221107223137</t>
        </is>
      </c>
    </row>
    <row r="249" ht="16.5" customHeight="1" s="118">
      <c r="A249" s="9" t="n"/>
      <c r="B249" s="10" t="inlineStr">
        <is>
          <t>조국현상을 말한다</t>
        </is>
      </c>
      <c r="C249" s="11" t="inlineStr">
        <is>
          <t>김용민</t>
        </is>
      </c>
      <c r="D249" s="11" t="inlineStr">
        <is>
          <t>미래를소유한사람들</t>
        </is>
      </c>
      <c r="E249" s="12">
        <f>_xludf.IFS(COUNTIF(보류목록!$B$3:$B$1000, B249)&gt;0, "-",COUNTIF(독서목록!$C$2:$C$1099, B249)=0, , COUNTIF(독서목록!$C$2:$C$1099, B249)&gt;0, COUNTIF(독서목록!$C$2:$C$1099, B249))</f>
        <v/>
      </c>
      <c r="F249" s="12">
        <f>_xludf.IFS(COUNTIF(보류목록!$C$3:$C$1000, B249)&gt;0, "-",COUNTIF(독서목록!$D$2:$D$1099, B249)=0, , COUNTIF(독서목록!$D$2:$D$1099, B249)&gt;0, COUNTIF(독서목록!$D$2:$D$1099, B249))</f>
        <v/>
      </c>
      <c r="G249" s="13" t="inlineStr">
        <is>
          <t>2015.06.26</t>
        </is>
      </c>
      <c r="H249" s="14" t="n"/>
      <c r="I249" s="14" t="n"/>
      <c r="J249" s="16" t="inlineStr">
        <is>
          <t>8962170388 9788962170382</t>
        </is>
      </c>
      <c r="K249" s="17" t="inlineStr">
        <is>
          <t>https://search1.kakaocdn.net/thumb/R120x174.q85/?fname=http%3A%2F%2Ft1.daumcdn.net%2Flbook%2Fimage%2F862941%3Ftimestamp%3D20240525113038</t>
        </is>
      </c>
    </row>
    <row r="250" ht="16.5" customHeight="1" s="118">
      <c r="A250" s="9" t="n"/>
      <c r="B250" s="10" t="inlineStr">
        <is>
          <t>이기적 유전자</t>
        </is>
      </c>
      <c r="C250" s="11" t="inlineStr">
        <is>
          <t>리처드 도킨스</t>
        </is>
      </c>
      <c r="D250" s="11" t="inlineStr">
        <is>
          <t>을유문화사</t>
        </is>
      </c>
      <c r="E250" s="12">
        <f>_xludf.IFS(COUNTIF(보류목록!$B$3:$B$1000, B250)&gt;0, "-",COUNTIF(독서목록!$C$2:$C$1099, B250)=0, , COUNTIF(독서목록!$C$2:$C$1099, B250)&gt;0, COUNTIF(독서목록!$C$2:$C$1099, B250))</f>
        <v/>
      </c>
      <c r="F250" s="12">
        <f>_xludf.IFS(COUNTIF(보류목록!$C$3:$C$1000, B250)&gt;0, "-",COUNTIF(독서목록!$D$2:$D$1099, B250)=0, , COUNTIF(독서목록!$D$2:$D$1099, B250)&gt;0, COUNTIF(독서목록!$D$2:$D$1099, B250))</f>
        <v/>
      </c>
      <c r="G250" s="13" t="inlineStr">
        <is>
          <t>2015.06.26</t>
        </is>
      </c>
      <c r="H250" s="14" t="inlineStr">
        <is>
          <t>기부</t>
        </is>
      </c>
      <c r="I250" s="14" t="inlineStr">
        <is>
          <t>기부</t>
        </is>
      </c>
      <c r="J250" s="16" t="inlineStr">
        <is>
          <t>8932471630 9788932471631</t>
        </is>
      </c>
      <c r="K250" s="19" t="inlineStr">
        <is>
          <t>https://search1.kakaocdn.net/thumb/R120x174.q85/?fname=http%3A%2F%2Ft1.daumcdn.net%2Flbook%2Fimage%2F502494%3Ftimestamp%3D20221108003929</t>
        </is>
      </c>
    </row>
    <row r="251" ht="16.5" customHeight="1" s="118">
      <c r="A251" s="9" t="n"/>
      <c r="B251" s="10" t="inlineStr">
        <is>
          <t>열세 걸음</t>
        </is>
      </c>
      <c r="C251" s="11" t="inlineStr">
        <is>
          <t xml:space="preserve">모옌 </t>
        </is>
      </c>
      <c r="D251" s="11" t="inlineStr">
        <is>
          <t>문학동네</t>
        </is>
      </c>
      <c r="E251" s="12">
        <f>_xludf.IFS(COUNTIF(보류목록!$B$3:$B$1000, B251)&gt;0, "-",COUNTIF(독서목록!$C$2:$C$1099, B251)=0, , COUNTIF(독서목록!$C$2:$C$1099, B251)&gt;0, COUNTIF(독서목록!$C$2:$C$1099, B251))</f>
        <v/>
      </c>
      <c r="F251" s="12">
        <f>_xludf.IFS(COUNTIF(보류목록!$C$3:$C$1000, B251)&gt;0, "-",COUNTIF(독서목록!$D$2:$D$1099, B251)=0, , COUNTIF(독서목록!$D$2:$D$1099, B251)&gt;0, COUNTIF(독서목록!$D$2:$D$1099, B251))</f>
        <v/>
      </c>
      <c r="G251" s="13" t="inlineStr">
        <is>
          <t>2015.06.26</t>
        </is>
      </c>
      <c r="H251" s="14" t="n"/>
      <c r="I251" s="14" t="n"/>
      <c r="J251" s="16" t="inlineStr">
        <is>
          <t>8954619983 9788954619981</t>
        </is>
      </c>
      <c r="K251" s="19" t="inlineStr">
        <is>
          <t>https://search1.kakaocdn.net/thumb/R120x174.q85/?fname=http%3A%2F%2Ft1.daumcdn.net%2Flbook%2Fimage%2F691434%3Ftimestamp%3D20241126113649</t>
        </is>
      </c>
    </row>
    <row r="252" ht="16.5" customHeight="1" s="118">
      <c r="A252" s="9" t="n"/>
      <c r="B252" s="10" t="inlineStr">
        <is>
          <t>디어 라이프</t>
        </is>
      </c>
      <c r="C252" s="11" t="inlineStr">
        <is>
          <t>앨리스 먼로</t>
        </is>
      </c>
      <c r="D252" s="11" t="inlineStr">
        <is>
          <t>문학동네</t>
        </is>
      </c>
      <c r="E252" s="12">
        <f>_xludf.IFS(COUNTIF(보류목록!$B$3:$B$1000, B252)&gt;0, "-",COUNTIF(독서목록!$C$2:$C$1099, B252)=0, , COUNTIF(독서목록!$C$2:$C$1099, B252)&gt;0, COUNTIF(독서목록!$C$2:$C$1099, B252))</f>
        <v/>
      </c>
      <c r="F252" s="12">
        <f>_xludf.IFS(COUNTIF(보류목록!$C$3:$C$1000, B252)&gt;0, "-",COUNTIF(독서목록!$D$2:$D$1099, B252)=0, , COUNTIF(독서목록!$D$2:$D$1099, B252)&gt;0, COUNTIF(독서목록!$D$2:$D$1099, B252))</f>
        <v/>
      </c>
      <c r="G252" s="13" t="inlineStr">
        <is>
          <t>2015.06.26</t>
        </is>
      </c>
      <c r="H252" s="14" t="n"/>
      <c r="I252" s="14" t="n"/>
      <c r="J252" s="16" t="inlineStr">
        <is>
          <t>895462376X 9788954623766</t>
        </is>
      </c>
      <c r="K252" s="19" t="inlineStr">
        <is>
          <t>https://search1.kakaocdn.net/thumb/R120x174.q85/?fname=http%3A%2F%2Ft1.daumcdn.net%2Flbook%2Fimage%2F691662%3Ftimestamp%3D20200210122146</t>
        </is>
      </c>
    </row>
    <row r="253" ht="16.5" customHeight="1" s="118">
      <c r="A253" s="9" t="n"/>
      <c r="B253" s="10" t="inlineStr">
        <is>
          <t>금난새의 내가 사랑한 교향곡</t>
        </is>
      </c>
      <c r="C253" s="11" t="inlineStr">
        <is>
          <t>금난새</t>
        </is>
      </c>
      <c r="D253" s="11" t="inlineStr">
        <is>
          <t>생각의 나무</t>
        </is>
      </c>
      <c r="E253" s="12">
        <f>_xludf.IFS(COUNTIF(보류목록!$B$3:$B$1000, B253)&gt;0, "-",COUNTIF(독서목록!$C$2:$C$1099, B253)=0, , COUNTIF(독서목록!$C$2:$C$1099, B253)&gt;0, COUNTIF(독서목록!$C$2:$C$1099, B253))</f>
        <v/>
      </c>
      <c r="F253" s="12">
        <f>_xludf.IFS(COUNTIF(보류목록!$C$3:$C$1000, B253)&gt;0, "-",COUNTIF(독서목록!$D$2:$D$1099, B253)=0, , COUNTIF(독서목록!$D$2:$D$1099, B253)&gt;0, COUNTIF(독서목록!$D$2:$D$1099, B253))</f>
        <v/>
      </c>
      <c r="G253" s="13" t="inlineStr">
        <is>
          <t>2015.05.31</t>
        </is>
      </c>
      <c r="H253" s="14" t="inlineStr">
        <is>
          <t>기부</t>
        </is>
      </c>
      <c r="I253" s="14" t="inlineStr">
        <is>
          <t>기부</t>
        </is>
      </c>
      <c r="J253" s="16" t="inlineStr">
        <is>
          <t>8984989231 9788984989238</t>
        </is>
      </c>
      <c r="K253" s="17" t="inlineStr">
        <is>
          <t>https://search1.kakaocdn.net/thumb/R120x174.q85/?fname=http%3A%2F%2Ft1.daumcdn.net%2Flbook%2Fimage%2F1206699%3Ftimestamp%3D20221108003949</t>
        </is>
      </c>
    </row>
    <row r="254" ht="16.5" customHeight="1" s="118">
      <c r="A254" s="9" t="n"/>
      <c r="B254" s="10" t="inlineStr">
        <is>
          <t>세계 명화 비밀</t>
        </is>
      </c>
      <c r="C254" s="10" t="inlineStr">
        <is>
          <t>모니카 봄 두첸</t>
        </is>
      </c>
      <c r="D254" s="11" t="inlineStr">
        <is>
          <t>생각의 나무</t>
        </is>
      </c>
      <c r="E254" s="12">
        <f>_xludf.IFS(COUNTIF(보류목록!$B$3:$B$1000, B254)&gt;0, "-",COUNTIF(독서목록!$C$2:$C$1099, B254)=0, , COUNTIF(독서목록!$C$2:$C$1099, B254)&gt;0, COUNTIF(독서목록!$C$2:$C$1099, B254))</f>
        <v/>
      </c>
      <c r="F254" s="12">
        <f>_xludf.IFS(COUNTIF(보류목록!$C$3:$C$1000, B254)&gt;0, "-",COUNTIF(독서목록!$D$2:$D$1099, B254)=0, , COUNTIF(독서목록!$D$2:$D$1099, B254)&gt;0, COUNTIF(독서목록!$D$2:$D$1099, B254))</f>
        <v/>
      </c>
      <c r="G254" s="13" t="inlineStr">
        <is>
          <t>2015.05.31</t>
        </is>
      </c>
      <c r="H254" s="14" t="inlineStr">
        <is>
          <t>기부</t>
        </is>
      </c>
      <c r="I254" s="14" t="inlineStr">
        <is>
          <t>기부</t>
        </is>
      </c>
      <c r="J254" s="16" t="inlineStr">
        <is>
          <t>8984986143 9788984986145</t>
        </is>
      </c>
      <c r="K254" s="17" t="inlineStr">
        <is>
          <t>https://search1.kakaocdn.net/thumb/R120x174.q85/?fname=http%3A%2F%2Ft1.daumcdn.net%2Flbook%2Fimage%2F1205359%3Ftimestamp%3D20221108000533</t>
        </is>
      </c>
    </row>
    <row r="255" ht="16.5" customHeight="1" s="118">
      <c r="A255" s="9" t="n"/>
      <c r="B255" s="10" t="inlineStr">
        <is>
          <t>현대 물리학과 동양 사상</t>
        </is>
      </c>
      <c r="C255" s="10" t="inlineStr">
        <is>
          <t>프리초프 카프라</t>
        </is>
      </c>
      <c r="D255" s="11" t="inlineStr">
        <is>
          <t>범양사</t>
        </is>
      </c>
      <c r="E255" s="12">
        <f>_xludf.IFS(COUNTIF(보류목록!$B$3:$B$1000, B255)&gt;0, "-",COUNTIF(독서목록!$C$2:$C$1099, B255)=0, , COUNTIF(독서목록!$C$2:$C$1099, B255)&gt;0, COUNTIF(독서목록!$C$2:$C$1099, B255))</f>
        <v/>
      </c>
      <c r="F255" s="12">
        <f>_xludf.IFS(COUNTIF(보류목록!$C$3:$C$1000, B255)&gt;0, "-",COUNTIF(독서목록!$D$2:$D$1099, B255)=0, , COUNTIF(독서목록!$D$2:$D$1099, B255)&gt;0, COUNTIF(독서목록!$D$2:$D$1099, B255))</f>
        <v/>
      </c>
      <c r="G255" s="13" t="inlineStr">
        <is>
          <t>2015.04.03</t>
        </is>
      </c>
      <c r="H255" s="14" t="n"/>
      <c r="I255" s="14" t="n"/>
      <c r="J255" s="16" t="inlineStr">
        <is>
          <t>8971671637 9788971671634</t>
        </is>
      </c>
      <c r="K255" s="17" t="inlineStr">
        <is>
          <t>https://search1.kakaocdn.net/thumb/R120x174.q85/?fname=http%3A%2F%2Ft1.daumcdn.net%2Flbook%2Fimage%2F987035%3Ftimestamp%3D20260108111121</t>
        </is>
      </c>
    </row>
    <row r="256" ht="16.5" customHeight="1" s="118">
      <c r="A256" s="9" t="n"/>
      <c r="B256" s="10" t="inlineStr">
        <is>
          <t>유시민의 글쓰기 특강</t>
        </is>
      </c>
      <c r="C256" s="11" t="inlineStr">
        <is>
          <t>유시민</t>
        </is>
      </c>
      <c r="D256" s="11" t="inlineStr">
        <is>
          <t>생각의 길</t>
        </is>
      </c>
      <c r="E256" s="12">
        <f>_xludf.IFS(COUNTIF(보류목록!$B$3:$B$1000, B256)&gt;0, "-",COUNTIF(독서목록!$C$2:$C$1099, B256)=0, , COUNTIF(독서목록!$C$2:$C$1099, B256)&gt;0, COUNTIF(독서목록!$C$2:$C$1099, B256))</f>
        <v/>
      </c>
      <c r="F256" s="12">
        <f>_xludf.IFS(COUNTIF(보류목록!$C$3:$C$1000, B256)&gt;0, "-",COUNTIF(독서목록!$D$2:$D$1099, B256)=0, , COUNTIF(독서목록!$D$2:$D$1099, B256)&gt;0, COUNTIF(독서목록!$D$2:$D$1099, B256))</f>
        <v/>
      </c>
      <c r="G256" s="13" t="inlineStr">
        <is>
          <t>2015.04.03</t>
        </is>
      </c>
      <c r="H256" s="14" t="n"/>
      <c r="I256" s="14" t="n"/>
      <c r="J256" s="16" t="inlineStr">
        <is>
          <t>8965133521 9788965133520</t>
        </is>
      </c>
      <c r="K256" s="17" t="inlineStr">
        <is>
          <t>https://search1.kakaocdn.net/thumb/R120x174.q85/?fname=http%3A%2F%2Ft1.daumcdn.net%2Flbook%2Fimage%2F909824%3Ftimestamp%3D20241213113826</t>
        </is>
      </c>
    </row>
    <row r="257" ht="16.5" customHeight="1" s="118">
      <c r="A257" s="9" t="n"/>
      <c r="B257" s="10" t="inlineStr">
        <is>
          <t>심리 정치</t>
        </is>
      </c>
      <c r="C257" s="25" t="inlineStr">
        <is>
          <t>한병철</t>
        </is>
      </c>
      <c r="D257" s="25" t="inlineStr">
        <is>
          <t>문학과지성사</t>
        </is>
      </c>
      <c r="E257" s="12">
        <f>_xludf.IFS(COUNTIF(보류목록!$B$3:$B$1000, B257)&gt;0, "-",COUNTIF(독서목록!$C$2:$C$1099, B257)=0, , COUNTIF(독서목록!$C$2:$C$1099, B257)&gt;0, COUNTIF(독서목록!$C$2:$C$1099, B257))</f>
        <v/>
      </c>
      <c r="F257" s="12">
        <f>_xludf.IFS(COUNTIF(보류목록!$C$3:$C$1000, B257)&gt;0, "-",COUNTIF(독서목록!$D$2:$D$1099, B257)=0, , COUNTIF(독서목록!$D$2:$D$1099, B257)&gt;0, COUNTIF(독서목록!$D$2:$D$1099, B257))</f>
        <v/>
      </c>
      <c r="G257" s="27" t="inlineStr">
        <is>
          <t>2015.04.03</t>
        </is>
      </c>
      <c r="H257" s="14" t="n"/>
      <c r="I257" s="14" t="n"/>
      <c r="J257" s="16" t="inlineStr">
        <is>
          <t>8932027226 9788932027227</t>
        </is>
      </c>
      <c r="K257" s="17" t="inlineStr">
        <is>
          <t>https://search1.kakaocdn.net/thumb/R120x174.q85/?fname=http%3A%2F%2Ft1.daumcdn.net%2Flbook%2Fimage%2F495007%3Ftimestamp%3D20250812110252</t>
        </is>
      </c>
    </row>
    <row r="258" ht="16.5" customHeight="1" s="118">
      <c r="A258" s="9" t="n"/>
      <c r="B258" s="10" t="inlineStr">
        <is>
          <t>쉽게 배우는 인테리어</t>
        </is>
      </c>
      <c r="C258" s="10" t="inlineStr">
        <is>
          <t>주부의 벗사</t>
        </is>
      </c>
      <c r="D258" s="25" t="inlineStr">
        <is>
          <t>삼호미디어</t>
        </is>
      </c>
      <c r="E258" s="12">
        <f>_xludf.IFS(COUNTIF(보류목록!$B$3:$B$1000, B258)&gt;0, "-",COUNTIF(독서목록!$C$2:$C$1099, B258)=0, , COUNTIF(독서목록!$C$2:$C$1099, B258)&gt;0, COUNTIF(독서목록!$C$2:$C$1099, B258))</f>
        <v/>
      </c>
      <c r="F258" s="12">
        <f>_xludf.IFS(COUNTIF(보류목록!$C$3:$C$1000, B258)&gt;0, "-",COUNTIF(독서목록!$D$2:$D$1099, B258)=0, , COUNTIF(독서목록!$D$2:$D$1099, B258)&gt;0, COUNTIF(독서목록!$D$2:$D$1099, B258))</f>
        <v/>
      </c>
      <c r="G258" s="27" t="inlineStr">
        <is>
          <t>2015.04.03</t>
        </is>
      </c>
      <c r="H258" s="14" t="n"/>
      <c r="I258" s="14" t="n"/>
      <c r="J258" s="16" t="inlineStr">
        <is>
          <t>8978495079 9788978495073</t>
        </is>
      </c>
      <c r="K258" s="17" t="inlineStr">
        <is>
          <t>https://search1.kakaocdn.net/thumb/R120x174.q85/?fname=http%3A%2F%2Ft1.daumcdn.net%2Flbook%2Fimage%2F1097647%3Ftimestamp%3D20240208154714</t>
        </is>
      </c>
    </row>
    <row r="259" ht="16.5" customHeight="1" s="118">
      <c r="A259" s="9" t="n"/>
      <c r="B259" s="10" t="inlineStr">
        <is>
          <t>내가 사랑하는 클래식3</t>
        </is>
      </c>
      <c r="C259" s="10" t="inlineStr">
        <is>
          <t>박종호</t>
        </is>
      </c>
      <c r="D259" s="25" t="inlineStr">
        <is>
          <t>시공사</t>
        </is>
      </c>
      <c r="E259" s="12">
        <f>_xludf.IFS(COUNTIF(보류목록!$B$3:$B$1000, B259)&gt;0, "-",COUNTIF(독서목록!$C$2:$C$1099, B259)=0, , COUNTIF(독서목록!$C$2:$C$1099, B259)&gt;0, COUNTIF(독서목록!$C$2:$C$1099, B259))</f>
        <v/>
      </c>
      <c r="F259" s="12">
        <f>_xludf.IFS(COUNTIF(보류목록!$C$3:$C$1000, B259)&gt;0, "-",COUNTIF(독서목록!$D$2:$D$1099, B259)=0, , COUNTIF(독서목록!$D$2:$D$1099, B259)&gt;0, COUNTIF(독서목록!$D$2:$D$1099, B259))</f>
        <v/>
      </c>
      <c r="G259" s="27" t="inlineStr">
        <is>
          <t>2014.11.18</t>
        </is>
      </c>
      <c r="H259" s="14" t="inlineStr">
        <is>
          <t>기부</t>
        </is>
      </c>
      <c r="I259" s="14" t="inlineStr">
        <is>
          <t>기부</t>
        </is>
      </c>
      <c r="J259" s="16" t="inlineStr">
        <is>
          <t>8952756991 9788952756992</t>
        </is>
      </c>
      <c r="K259" s="17" t="inlineStr">
        <is>
          <t>https://search1.kakaocdn.net/thumb/R120x174.q85/?fname=http%3A%2F%2Ft1.daumcdn.net%2Flbook%2Fimage%2F644254%3Ftimestamp%3D20241116114227</t>
        </is>
      </c>
    </row>
    <row r="260" ht="16.5" customHeight="1" s="118">
      <c r="A260" s="9" t="n"/>
      <c r="B260" s="10" t="inlineStr">
        <is>
          <t>내가 사랑하는 클래식2</t>
        </is>
      </c>
      <c r="C260" s="10" t="inlineStr">
        <is>
          <t>박종호</t>
        </is>
      </c>
      <c r="D260" s="25" t="inlineStr">
        <is>
          <t>시공사</t>
        </is>
      </c>
      <c r="E260" s="12">
        <f>_xludf.IFS(COUNTIF(보류목록!$B$3:$B$1000, B260)&gt;0, "-",COUNTIF(독서목록!$C$2:$C$1099, B260)=0, , COUNTIF(독서목록!$C$2:$C$1099, B260)&gt;0, COUNTIF(독서목록!$C$2:$C$1099, B260))</f>
        <v/>
      </c>
      <c r="F260" s="12">
        <f>_xludf.IFS(COUNTIF(보류목록!$C$3:$C$1000, B260)&gt;0, "-",COUNTIF(독서목록!$D$2:$D$1099, B260)=0, , COUNTIF(독서목록!$D$2:$D$1099, B260)&gt;0, COUNTIF(독서목록!$D$2:$D$1099, B260))</f>
        <v/>
      </c>
      <c r="G260" s="27" t="inlineStr">
        <is>
          <t>2014.11.18</t>
        </is>
      </c>
      <c r="H260" s="14" t="inlineStr">
        <is>
          <t>기부</t>
        </is>
      </c>
      <c r="I260" s="14" t="inlineStr">
        <is>
          <t>기부</t>
        </is>
      </c>
      <c r="J260" s="16" t="inlineStr">
        <is>
          <t>895274568X 9788952745682</t>
        </is>
      </c>
      <c r="K260" s="17" t="inlineStr">
        <is>
          <t>https://search1.kakaocdn.net/thumb/R120x174.q85/?fname=http%3A%2F%2Ft1.daumcdn.net%2Flbook%2Fimage%2F643872%3Ftimestamp%3D20250919110331</t>
        </is>
      </c>
    </row>
    <row r="261" ht="16.5" customHeight="1" s="118">
      <c r="A261" s="9" t="n"/>
      <c r="B261" s="10" t="inlineStr">
        <is>
          <t>내가 사랑하는 클래식1</t>
        </is>
      </c>
      <c r="C261" s="10" t="inlineStr">
        <is>
          <t>박종호</t>
        </is>
      </c>
      <c r="D261" s="25" t="inlineStr">
        <is>
          <t>시공사</t>
        </is>
      </c>
      <c r="E261" s="12">
        <f>_xludf.IFS(COUNTIF(보류목록!$B$3:$B$1000, B261)&gt;0, "-",COUNTIF(독서목록!$C$2:$C$1099, B261)=0, , COUNTIF(독서목록!$C$2:$C$1099, B261)&gt;0, COUNTIF(독서목록!$C$2:$C$1099, B261))</f>
        <v/>
      </c>
      <c r="F261" s="12">
        <f>_xludf.IFS(COUNTIF(보류목록!$C$3:$C$1000, B261)&gt;0, "-",COUNTIF(독서목록!$D$2:$D$1099, B261)=0, , COUNTIF(독서목록!$D$2:$D$1099, B261)&gt;0, COUNTIF(독서목록!$D$2:$D$1099, B261))</f>
        <v/>
      </c>
      <c r="G261" s="27" t="inlineStr">
        <is>
          <t>2014.11.18</t>
        </is>
      </c>
      <c r="H261" s="14" t="inlineStr">
        <is>
          <t>기부</t>
        </is>
      </c>
      <c r="I261" s="14" t="inlineStr">
        <is>
          <t>기부</t>
        </is>
      </c>
      <c r="J261" s="16" t="inlineStr">
        <is>
          <t>8952738004 9788952738004</t>
        </is>
      </c>
      <c r="K261" s="17" t="inlineStr">
        <is>
          <t>https://search1.kakaocdn.net/thumb/R120x174.q85/?fname=http%3A%2F%2Ft1.daumcdn.net%2Flbook%2Fimage%2F643078%3Ftimestamp%3D20221011183825</t>
        </is>
      </c>
    </row>
    <row r="262" ht="16.5" customHeight="1" s="118">
      <c r="A262" s="9" t="n"/>
      <c r="B262" s="10" t="inlineStr">
        <is>
          <t>세계 철학사</t>
        </is>
      </c>
      <c r="C262" s="10" t="inlineStr">
        <is>
          <t>한스 요아힘 슈퇴리히</t>
        </is>
      </c>
      <c r="D262" s="25" t="inlineStr">
        <is>
          <t>자음과모음</t>
        </is>
      </c>
      <c r="E262" s="12">
        <f>_xludf.IFS(COUNTIF(보류목록!$B$3:$B$1000, B262)&gt;0, "-",COUNTIF(독서목록!$C$2:$C$1099, B262)=0, , COUNTIF(독서목록!$C$2:$C$1099, B262)&gt;0, COUNTIF(독서목록!$C$2:$C$1099, B262))</f>
        <v/>
      </c>
      <c r="F262" s="12">
        <f>_xludf.IFS(COUNTIF(보류목록!$C$3:$C$1000, B262)&gt;0, "-",COUNTIF(독서목록!$D$2:$D$1099, B262)=0, , COUNTIF(독서목록!$D$2:$D$1099, B262)&gt;0, COUNTIF(독서목록!$D$2:$D$1099, B262))</f>
        <v/>
      </c>
      <c r="G262" s="27" t="inlineStr">
        <is>
          <t>2014.11.18</t>
        </is>
      </c>
      <c r="H262" s="14" t="n"/>
      <c r="I262" s="14" t="n"/>
      <c r="J262" s="16" t="inlineStr">
        <is>
          <t>895707418X 9788957074183</t>
        </is>
      </c>
      <c r="K262" s="17" t="inlineStr">
        <is>
          <t>https://search1.kakaocdn.net/thumb/R120x174.q85/?fname=http%3A%2F%2Ft1.daumcdn.net%2Flbook%2Fimage%2F750767%3Ftimestamp%3D20251227110846</t>
        </is>
      </c>
    </row>
    <row r="263" ht="16.5" customHeight="1" s="118">
      <c r="A263" s="9" t="n"/>
      <c r="B263" s="10" t="inlineStr">
        <is>
          <t>칼의 노래</t>
        </is>
      </c>
      <c r="C263" s="10" t="inlineStr">
        <is>
          <t>김훈</t>
        </is>
      </c>
      <c r="D263" s="25" t="inlineStr">
        <is>
          <t>문학동네</t>
        </is>
      </c>
      <c r="E263" s="12">
        <f>_xludf.IFS(COUNTIF(보류목록!$B$3:$B$1000, B263)&gt;0, "-",COUNTIF(독서목록!$C$2:$C$1099, B263)=0, , COUNTIF(독서목록!$C$2:$C$1099, B263)&gt;0, COUNTIF(독서목록!$C$2:$C$1099, B263))</f>
        <v/>
      </c>
      <c r="F263" s="12">
        <f>_xludf.IFS(COUNTIF(보류목록!$C$3:$C$1000, B263)&gt;0, "-",COUNTIF(독서목록!$D$2:$D$1099, B263)=0, , COUNTIF(독서목록!$D$2:$D$1099, B263)&gt;0, COUNTIF(독서목록!$D$2:$D$1099, B263))</f>
        <v/>
      </c>
      <c r="G263" s="27" t="inlineStr">
        <is>
          <t>2014.11.18</t>
        </is>
      </c>
      <c r="H263" s="14" t="n"/>
      <c r="I263" s="14" t="n"/>
      <c r="J263" s="16" t="inlineStr">
        <is>
          <t>8954617247 9788954617246</t>
        </is>
      </c>
      <c r="K263" s="17" t="inlineStr">
        <is>
          <t>https://search1.kakaocdn.net/thumb/R120x174.q85/?fname=http%3A%2F%2Ft1.daumcdn.net%2Flbook%2Fimage%2F691272%3Ftimestamp%3D20260207110833</t>
        </is>
      </c>
    </row>
    <row r="264" ht="16.5" customHeight="1" s="118">
      <c r="A264" s="9" t="n"/>
      <c r="B264" s="10" t="inlineStr">
        <is>
          <t>파우스트</t>
        </is>
      </c>
      <c r="C264" s="10" t="inlineStr">
        <is>
          <t>요한 볼프강 폰 괴테</t>
        </is>
      </c>
      <c r="D264" s="25" t="inlineStr">
        <is>
          <t>열린책들</t>
        </is>
      </c>
      <c r="E264" s="12">
        <f>_xludf.IFS(COUNTIF(보류목록!$B$3:$B$1000, B264)&gt;0, "-",COUNTIF(독서목록!$C$2:$C$1099, B264)=0, , COUNTIF(독서목록!$C$2:$C$1099, B264)&gt;0, COUNTIF(독서목록!$C$2:$C$1099, B264))</f>
        <v/>
      </c>
      <c r="F264" s="12">
        <f>_xludf.IFS(COUNTIF(보류목록!$C$3:$C$1000, B264)&gt;0, "-",COUNTIF(독서목록!$D$2:$D$1099, B264)=0, , COUNTIF(독서목록!$D$2:$D$1099, B264)&gt;0, COUNTIF(독서목록!$D$2:$D$1099, B264))</f>
        <v/>
      </c>
      <c r="G264" s="27" t="inlineStr">
        <is>
          <t>2014.11.18</t>
        </is>
      </c>
      <c r="H264" s="14" t="n"/>
      <c r="I264" s="14" t="n"/>
      <c r="J264" s="16" t="inlineStr">
        <is>
          <t>8932909903 9788932909905</t>
        </is>
      </c>
      <c r="K264" s="17" t="inlineStr">
        <is>
          <t>https://search1.kakaocdn.net/thumb/R120x174.q85/?fname=http%3A%2F%2Ft1.daumcdn.net%2Flbook%2Fimage%2F506542%3Ftimestamp%3D20231008151827</t>
        </is>
      </c>
    </row>
    <row r="265" ht="16.5" customHeight="1" s="118">
      <c r="A265" s="9" t="n"/>
      <c r="B265" s="10" t="inlineStr">
        <is>
          <t>그림 아는 만큼 보인다</t>
        </is>
      </c>
      <c r="C265" s="10" t="inlineStr">
        <is>
          <t>손철주</t>
        </is>
      </c>
      <c r="D265" s="25" t="inlineStr">
        <is>
          <t>생각의 나무</t>
        </is>
      </c>
      <c r="E265" s="12">
        <f>_xludf.IFS(COUNTIF(보류목록!$B$3:$B$1000, B265)&gt;0, "-",COUNTIF(독서목록!$C$2:$C$1099, B265)=0, , COUNTIF(독서목록!$C$2:$C$1099, B265)&gt;0, COUNTIF(독서목록!$C$2:$C$1099, B265))</f>
        <v/>
      </c>
      <c r="F265" s="12">
        <f>_xludf.IFS(COUNTIF(보류목록!$C$3:$C$1000, B265)&gt;0, "-",COUNTIF(독서목록!$D$2:$D$1099, B265)=0, , COUNTIF(독서목록!$D$2:$D$1099, B265)&gt;0, COUNTIF(독서목록!$D$2:$D$1099, B265))</f>
        <v/>
      </c>
      <c r="G265" s="27" t="inlineStr">
        <is>
          <t>2014.11.18</t>
        </is>
      </c>
      <c r="H265" s="14" t="inlineStr">
        <is>
          <t>기부</t>
        </is>
      </c>
      <c r="I265" s="14" t="inlineStr">
        <is>
          <t>기부</t>
        </is>
      </c>
      <c r="J265" s="16" t="inlineStr">
        <is>
          <t>8984986550 9788984986558</t>
        </is>
      </c>
      <c r="K265" s="17" t="inlineStr">
        <is>
          <t>https://search1.kakaocdn.net/thumb/R120x174.q85/?fname=http%3A%2F%2Ft1.daumcdn.net%2Flbook%2Fimage%2F1206887%3Ftimestamp%3D20221108001129</t>
        </is>
      </c>
    </row>
    <row r="266" ht="16.5" customHeight="1" s="118">
      <c r="A266" s="9" t="n"/>
      <c r="B266" s="10" t="inlineStr">
        <is>
          <t>인문의 바다에 빠져라</t>
        </is>
      </c>
      <c r="C266" s="10" t="inlineStr">
        <is>
          <t>최진기</t>
        </is>
      </c>
      <c r="D266" s="25" t="inlineStr">
        <is>
          <t>스마트북스</t>
        </is>
      </c>
      <c r="E266" s="12">
        <f>_xludf.IFS(COUNTIF(보류목록!$B$3:$B$1000, B266)&gt;0, "-",COUNTIF(독서목록!$C$2:$C$1099, B266)=0, , COUNTIF(독서목록!$C$2:$C$1099, B266)&gt;0, COUNTIF(독서목록!$C$2:$C$1099, B266))</f>
        <v/>
      </c>
      <c r="F266" s="12">
        <f>_xludf.IFS(COUNTIF(보류목록!$C$3:$C$1000, B266)&gt;0, "-",COUNTIF(독서목록!$D$2:$D$1099, B266)=0, , COUNTIF(독서목록!$D$2:$D$1099, B266)&gt;0, COUNTIF(독서목록!$D$2:$D$1099, B266))</f>
        <v/>
      </c>
      <c r="G266" s="27" t="inlineStr">
        <is>
          <t>2014.11.18</t>
        </is>
      </c>
      <c r="H266" s="14" t="inlineStr">
        <is>
          <t>기부</t>
        </is>
      </c>
      <c r="I266" s="14" t="n">
        <v>25.12</v>
      </c>
      <c r="J266" s="16" t="inlineStr">
        <is>
          <t>8996634298 9788996634294</t>
        </is>
      </c>
      <c r="K266" s="17" t="inlineStr">
        <is>
          <t>https://search1.kakaocdn.net/thumb/R120x174.q85/?fname=http%3A%2F%2Ft1.daumcdn.net%2Flbook%2Fimage%2F1469620%3Ftimestamp%3D20210518144459</t>
        </is>
      </c>
    </row>
    <row r="267" ht="16.5" customHeight="1" s="118">
      <c r="A267" s="28" t="n"/>
      <c r="B267" s="25" t="inlineStr">
        <is>
          <t>어린왕자</t>
        </is>
      </c>
      <c r="C267" s="10" t="inlineStr">
        <is>
          <t>생텍 쥐페리</t>
        </is>
      </c>
      <c r="D267" s="25" t="inlineStr">
        <is>
          <t>소와 다리</t>
        </is>
      </c>
      <c r="E267" s="12">
        <f>_xludf.IFS(COUNTIF(보류목록!$B$3:$B$1000, B267)&gt;0, "-",COUNTIF(독서목록!$C$2:$C$1099, B267)=0, , COUNTIF(독서목록!$C$2:$C$1099, B267)&gt;0, COUNTIF(독서목록!$C$2:$C$1099, B267))</f>
        <v/>
      </c>
      <c r="F267" s="12">
        <f>_xludf.IFS(COUNTIF(보류목록!$C$3:$C$1000, B267)&gt;0, "-",COUNTIF(독서목록!$D$2:$D$1099, B267)=0, , COUNTIF(독서목록!$D$2:$D$1099, B267)&gt;0, COUNTIF(독서목록!$D$2:$D$1099, B267))</f>
        <v/>
      </c>
      <c r="G267" s="27" t="inlineStr">
        <is>
          <t>2014.09.13</t>
        </is>
      </c>
      <c r="H267" s="14" t="n"/>
      <c r="I267" s="14" t="n"/>
      <c r="J267" s="16" t="inlineStr">
        <is>
          <t>8998046334 9788998046330</t>
        </is>
      </c>
      <c r="K267" s="17" t="inlineStr">
        <is>
          <t>https://search1.kakaocdn.net/thumb/R120x174.q85/?fname=http%3A%2F%2Ft1.daumcdn.net%2Flbook%2Fimage%2F1500180%3Ftimestamp%3D20251107110842</t>
        </is>
      </c>
    </row>
    <row r="268" ht="16.5" customHeight="1" s="118">
      <c r="A268" s="9" t="n"/>
      <c r="B268" s="10" t="inlineStr">
        <is>
          <t>가난한 사람들</t>
        </is>
      </c>
      <c r="C268" s="10" t="inlineStr">
        <is>
          <t>표도르 도스또예프스끼</t>
        </is>
      </c>
      <c r="D268" s="25" t="inlineStr">
        <is>
          <t>열린책들</t>
        </is>
      </c>
      <c r="E268" s="12">
        <f>_xludf.IFS(COUNTIF(보류목록!$B$3:$B$1000, B268)&gt;0, "-",COUNTIF(독서목록!$C$2:$C$1099, B268)=0, , COUNTIF(독서목록!$C$2:$C$1099, B268)&gt;0, COUNTIF(독서목록!$C$2:$C$1099, B268))</f>
        <v/>
      </c>
      <c r="F268" s="12">
        <f>_xludf.IFS(COUNTIF(보류목록!$C$3:$C$1000, B268)&gt;0, "-",COUNTIF(독서목록!$D$2:$D$1099, B268)=0, , COUNTIF(독서목록!$D$2:$D$1099, B268)&gt;0, COUNTIF(독서목록!$D$2:$D$1099, B268))</f>
        <v/>
      </c>
      <c r="G268" s="27" t="inlineStr">
        <is>
          <t>2014.09.13</t>
        </is>
      </c>
      <c r="H268" s="14" t="n"/>
      <c r="I268" s="14" t="n"/>
      <c r="J268" s="16" t="inlineStr">
        <is>
          <t>8932911177 9788932911175</t>
        </is>
      </c>
      <c r="K268" s="17" t="inlineStr">
        <is>
          <t>https://search1.kakaocdn.net/thumb/R120x174.q85/?fname=http%3A%2F%2Ft1.daumcdn.net%2Flbook%2Fimage%2F506764%3Ftimestamp%3D20231007171707</t>
        </is>
      </c>
    </row>
    <row r="269" ht="16.5" customHeight="1" s="118">
      <c r="A269" s="9" t="n"/>
      <c r="B269" s="10" t="inlineStr">
        <is>
          <t>무신론자를 위한 종교</t>
        </is>
      </c>
      <c r="C269" s="10" t="inlineStr">
        <is>
          <t>알랭드 보통</t>
        </is>
      </c>
      <c r="D269" s="25" t="inlineStr">
        <is>
          <t>청미래</t>
        </is>
      </c>
      <c r="E269" s="12">
        <f>_xludf.IFS(COUNTIF(보류목록!$B$3:$B$1000, B269)&gt;0, "-",COUNTIF(독서목록!$C$2:$C$1099, B269)=0, , COUNTIF(독서목록!$C$2:$C$1099, B269)&gt;0, COUNTIF(독서목록!$C$2:$C$1099, B269))</f>
        <v/>
      </c>
      <c r="F269" s="12">
        <f>_xludf.IFS(COUNTIF(보류목록!$C$3:$C$1000, B269)&gt;0, "-",COUNTIF(독서목록!$D$2:$D$1099, B269)=0, , COUNTIF(독서목록!$D$2:$D$1099, B269)&gt;0, COUNTIF(독서목록!$D$2:$D$1099, B269))</f>
        <v/>
      </c>
      <c r="G269" s="27" t="inlineStr">
        <is>
          <t>2014.09.13</t>
        </is>
      </c>
      <c r="H269" s="14" t="n"/>
      <c r="I269" s="14" t="n"/>
      <c r="J269" s="16" t="inlineStr">
        <is>
          <t>8986836432 9788986836431</t>
        </is>
      </c>
      <c r="K269" s="17" t="inlineStr">
        <is>
          <t>https://search1.kakaocdn.net/thumb/R120x174.q85/?fname=http%3A%2F%2Ft1.daumcdn.net%2Flbook%2Fimage%2F1245098%3Ftimestamp%3D20230728163653</t>
        </is>
      </c>
    </row>
    <row r="270" ht="16.5" customHeight="1" s="118">
      <c r="A270" s="9" t="n"/>
      <c r="B270" s="10" t="inlineStr">
        <is>
          <t>여행의 기술</t>
        </is>
      </c>
      <c r="C270" s="10" t="inlineStr">
        <is>
          <t>알랭드 보통</t>
        </is>
      </c>
      <c r="D270" s="25" t="inlineStr">
        <is>
          <t>청미래</t>
        </is>
      </c>
      <c r="E270" s="12">
        <f>_xludf.IFS(COUNTIF(보류목록!$B$3:$B$1000, B270)&gt;0, "-",COUNTIF(독서목록!$C$2:$C$1099, B270)=0, , COUNTIF(독서목록!$C$2:$C$1099, B270)&gt;0, COUNTIF(독서목록!$C$2:$C$1099, B270))</f>
        <v/>
      </c>
      <c r="F270" s="12">
        <f>_xludf.IFS(COUNTIF(보류목록!$C$3:$C$1000, B270)&gt;0, "-",COUNTIF(독서목록!$D$2:$D$1099, B270)=0, , COUNTIF(독서목록!$D$2:$D$1099, B270)&gt;0, COUNTIF(독서목록!$D$2:$D$1099, B270))</f>
        <v/>
      </c>
      <c r="G270" s="27" t="inlineStr">
        <is>
          <t>2014.09.13</t>
        </is>
      </c>
      <c r="H270" s="14" t="n"/>
      <c r="I270" s="14" t="n"/>
      <c r="J270" s="16" t="inlineStr">
        <is>
          <t>8986836440 9788986836448</t>
        </is>
      </c>
      <c r="K270" s="17" t="inlineStr">
        <is>
          <t>https://search1.kakaocdn.net/thumb/R120x174.q85/?fname=http%3A%2F%2Ft1.daumcdn.net%2Flbook%2Fimage%2F1242054%3Ftimestamp%3D20250629113331</t>
        </is>
      </c>
    </row>
    <row r="271" ht="16.5" customHeight="1" s="118">
      <c r="A271" s="9" t="n"/>
      <c r="B271" s="10" t="inlineStr">
        <is>
          <t>책상은 책상이다</t>
        </is>
      </c>
      <c r="C271" s="10" t="inlineStr">
        <is>
          <t>페터 빅셀</t>
        </is>
      </c>
      <c r="D271" s="25" t="inlineStr">
        <is>
          <t>예담</t>
        </is>
      </c>
      <c r="E271" s="12">
        <f>_xludf.IFS(COUNTIF(보류목록!$B$3:$B$1000, B271)&gt;0, "-",COUNTIF(독서목록!$C$2:$C$1099, B271)=0, , COUNTIF(독서목록!$C$2:$C$1099, B271)&gt;0, COUNTIF(독서목록!$C$2:$C$1099, B271))</f>
        <v/>
      </c>
      <c r="F271" s="12">
        <f>_xludf.IFS(COUNTIF(보류목록!$C$3:$C$1000, B271)&gt;0, "-",COUNTIF(독서목록!$D$2:$D$1099, B271)=0, , COUNTIF(독서목록!$D$2:$D$1099, B271)&gt;0, COUNTIF(독서목록!$D$2:$D$1099, B271))</f>
        <v/>
      </c>
      <c r="G271" s="27" t="inlineStr">
        <is>
          <t>2014.09.13</t>
        </is>
      </c>
      <c r="H271" s="14" t="inlineStr">
        <is>
          <t>기부</t>
        </is>
      </c>
      <c r="I271" s="14" t="inlineStr">
        <is>
          <t>기부</t>
        </is>
      </c>
      <c r="J271" s="16" t="inlineStr">
        <is>
          <t>898890222X 9788988902226</t>
        </is>
      </c>
      <c r="K271" s="17" t="inlineStr">
        <is>
          <t>https://search1.kakaocdn.net/thumb/R120x174.q85/?fname=http%3A%2F%2Ft1.daumcdn.net%2Flbook%2Fimage%2F1283110%3Ftimestamp%3D20211206153712</t>
        </is>
      </c>
    </row>
    <row r="272" ht="16.5" customHeight="1" s="118">
      <c r="A272" s="9" t="n"/>
      <c r="B272" s="10" t="inlineStr">
        <is>
          <t>거대한 전환</t>
        </is>
      </c>
      <c r="C272" s="10" t="inlineStr">
        <is>
          <t>칼 폴라니</t>
        </is>
      </c>
      <c r="D272" s="25" t="inlineStr">
        <is>
          <t>길</t>
        </is>
      </c>
      <c r="E272" s="12">
        <f>_xludf.IFS(COUNTIF(보류목록!$B$3:$B$1000, B272)&gt;0, "-",COUNTIF(독서목록!$C$2:$C$1099, B272)=0, , COUNTIF(독서목록!$C$2:$C$1099, B272)&gt;0, COUNTIF(독서목록!$C$2:$C$1099, B272))</f>
        <v/>
      </c>
      <c r="F272" s="12">
        <f>_xludf.IFS(COUNTIF(보류목록!$C$3:$C$1000, B272)&gt;0, "-",COUNTIF(독서목록!$D$2:$D$1099, B272)=0, , COUNTIF(독서목록!$D$2:$D$1099, B272)&gt;0, COUNTIF(독서목록!$D$2:$D$1099, B272))</f>
        <v/>
      </c>
      <c r="G272" s="27" t="inlineStr">
        <is>
          <t>2014.07.03</t>
        </is>
      </c>
      <c r="H272" s="14" t="n"/>
      <c r="I272" s="14" t="n"/>
      <c r="J272" s="16" t="inlineStr">
        <is>
          <t>8987671313 9788987671314</t>
        </is>
      </c>
      <c r="K272" s="17" t="inlineStr">
        <is>
          <t>https://search1.kakaocdn.net/thumb/R120x174.q85/?fname=http%3A%2F%2Ft1.daumcdn.net%2Flbook%2Fimage%2F1259554%3Ftimestamp%3D20260113110814</t>
        </is>
      </c>
    </row>
    <row r="273" ht="16.5" customHeight="1" s="118">
      <c r="A273" s="9" t="n"/>
      <c r="B273" s="10" t="inlineStr">
        <is>
          <t>전쟁의 세계사</t>
        </is>
      </c>
      <c r="C273" s="10" t="inlineStr">
        <is>
          <t>윌리엄 맥닐</t>
        </is>
      </c>
      <c r="D273" s="25" t="inlineStr">
        <is>
          <t>이산</t>
        </is>
      </c>
      <c r="E273" s="12">
        <f>_xludf.IFS(COUNTIF(보류목록!$B$3:$B$1000, B273)&gt;0, "-",COUNTIF(독서목록!$C$2:$C$1099, B273)=0, , COUNTIF(독서목록!$C$2:$C$1099, B273)&gt;0, COUNTIF(독서목록!$C$2:$C$1099, B273))</f>
        <v/>
      </c>
      <c r="F273" s="12">
        <f>_xludf.IFS(COUNTIF(보류목록!$C$3:$C$1000, B273)&gt;0, "-",COUNTIF(독서목록!$D$2:$D$1099, B273)=0, , COUNTIF(독서목록!$D$2:$D$1099, B273)&gt;0, COUNTIF(독서목록!$D$2:$D$1099, B273))</f>
        <v/>
      </c>
      <c r="G273" s="27" t="inlineStr">
        <is>
          <t>2014.07.03</t>
        </is>
      </c>
      <c r="H273" s="14" t="n"/>
      <c r="I273" s="14" t="n"/>
      <c r="J273" s="16" t="inlineStr">
        <is>
          <t>8987608484 9788987608488</t>
        </is>
      </c>
      <c r="K273" s="17" t="inlineStr">
        <is>
          <t>https://search1.kakaocdn.net/thumb/R120x174.q85/?fname=http%3A%2F%2Ft1.daumcdn.net%2Flbook%2Fimage%2F1262038%3Ftimestamp%3D20221108002108</t>
        </is>
      </c>
    </row>
    <row r="274" ht="16.5" customHeight="1" s="118">
      <c r="A274" s="9" t="n"/>
      <c r="B274" s="10" t="inlineStr">
        <is>
          <t>도리언그레이의 초상</t>
        </is>
      </c>
      <c r="C274" s="10" t="inlineStr">
        <is>
          <t>오스카 와일드</t>
        </is>
      </c>
      <c r="D274" s="10" t="inlineStr">
        <is>
          <t>열린책들</t>
        </is>
      </c>
      <c r="E274" s="12">
        <f>_xludf.IFS(COUNTIF(보류목록!$B$3:$B$1000, B274)&gt;0, "-",COUNTIF(독서목록!$C$2:$C$1099, B274)=0, , COUNTIF(독서목록!$C$2:$C$1099, B274)&gt;0, COUNTIF(독서목록!$C$2:$C$1099, B274))</f>
        <v/>
      </c>
      <c r="F274" s="12">
        <f>_xludf.IFS(COUNTIF(보류목록!$C$3:$C$1000, B274)&gt;0, "-",COUNTIF(독서목록!$D$2:$D$1099, B274)=0, , COUNTIF(독서목록!$D$2:$D$1099, B274)&gt;0, COUNTIF(독서목록!$D$2:$D$1099, B274))</f>
        <v/>
      </c>
      <c r="G274" s="12" t="inlineStr">
        <is>
          <t>2014.05.29</t>
        </is>
      </c>
      <c r="H274" s="14" t="inlineStr">
        <is>
          <t>기부</t>
        </is>
      </c>
      <c r="I274" s="14" t="inlineStr">
        <is>
          <t>기부</t>
        </is>
      </c>
      <c r="J274" s="16" t="inlineStr">
        <is>
          <t>8932924015 9788932924014</t>
        </is>
      </c>
      <c r="K274" s="17" t="inlineStr">
        <is>
          <t>https://search1.kakaocdn.net/thumb/R120x174.q85/?fname=http%3A%2F%2Ft1.daumcdn.net%2Flbook%2Fimage%2F6589690%3Ftimestamp%3D20240517160835</t>
        </is>
      </c>
    </row>
    <row r="275" ht="16.5" customHeight="1" s="118">
      <c r="A275" s="9" t="n"/>
      <c r="B275" s="10" t="inlineStr">
        <is>
          <t>아프니까 청춘이다</t>
        </is>
      </c>
      <c r="C275" s="10" t="inlineStr">
        <is>
          <t>김난도</t>
        </is>
      </c>
      <c r="D275" s="10" t="inlineStr">
        <is>
          <t>쌤앤파커스</t>
        </is>
      </c>
      <c r="E275" s="12">
        <f>_xludf.IFS(COUNTIF(보류목록!$B$3:$B$1000, B275)&gt;0, "-",COUNTIF(독서목록!$C$2:$C$1099, B275)=0, , COUNTIF(독서목록!$C$2:$C$1099, B275)&gt;0, COUNTIF(독서목록!$C$2:$C$1099, B275))</f>
        <v/>
      </c>
      <c r="F275" s="12">
        <f>_xludf.IFS(COUNTIF(보류목록!$C$3:$C$1000, B275)&gt;0, "-",COUNTIF(독서목록!$D$2:$D$1099, B275)=0, , COUNTIF(독서목록!$D$2:$D$1099, B275)&gt;0, COUNTIF(독서목록!$D$2:$D$1099, B275))</f>
        <v/>
      </c>
      <c r="G275" s="12" t="inlineStr">
        <is>
          <t>2014.05.16</t>
        </is>
      </c>
      <c r="H275" s="14" t="inlineStr">
        <is>
          <t>기부</t>
        </is>
      </c>
      <c r="I275" s="14" t="inlineStr">
        <is>
          <t>기부</t>
        </is>
      </c>
      <c r="J275" s="16" t="inlineStr">
        <is>
          <t>8965700035 9788965700036</t>
        </is>
      </c>
      <c r="K275" s="19" t="inlineStr">
        <is>
          <t>https://search1.kakaocdn.net/thumb/R120x174.q85/?fname=http%3A%2F%2Ft1.daumcdn.net%2Flbook%2Fimage%2F918576%3Ftimestamp%3D20220930204542</t>
        </is>
      </c>
    </row>
    <row r="276" ht="16.5" customHeight="1" s="118">
      <c r="A276" s="9" t="n"/>
      <c r="B276" s="10" t="inlineStr">
        <is>
          <t>일본전산 이야기</t>
        </is>
      </c>
      <c r="C276" s="10" t="inlineStr">
        <is>
          <t>김성호</t>
        </is>
      </c>
      <c r="D276" s="10" t="inlineStr">
        <is>
          <t>쌤앤파커스</t>
        </is>
      </c>
      <c r="E276" s="12">
        <f>_xludf.IFS(COUNTIF(보류목록!$B$3:$B$1000, B276)&gt;0, "-",COUNTIF(독서목록!$C$2:$C$1099, B276)=0, , COUNTIF(독서목록!$C$2:$C$1099, B276)&gt;0, COUNTIF(독서목록!$C$2:$C$1099, B276))</f>
        <v/>
      </c>
      <c r="F276" s="12">
        <f>_xludf.IFS(COUNTIF(보류목록!$C$3:$C$1000, B276)&gt;0, "-",COUNTIF(독서목록!$D$2:$D$1099, B276)=0, , COUNTIF(독서목록!$D$2:$D$1099, B276)&gt;0, COUNTIF(독서목록!$D$2:$D$1099, B276))</f>
        <v/>
      </c>
      <c r="G276" s="12" t="inlineStr">
        <is>
          <t>2014.05.16</t>
        </is>
      </c>
      <c r="H276" s="14" t="inlineStr">
        <is>
          <t>기부</t>
        </is>
      </c>
      <c r="I276" s="14" t="inlineStr">
        <is>
          <t>기부</t>
        </is>
      </c>
      <c r="J276" s="16" t="inlineStr">
        <is>
          <t>899264759X 9788992647595</t>
        </is>
      </c>
      <c r="K276" s="17" t="inlineStr">
        <is>
          <t>https://search1.kakaocdn.net/thumb/R120x174.q85/?fname=http%3A%2F%2Ft1.daumcdn.net%2Flbook%2Fimage%2F1379562%3Ftimestamp%3D20251116110720</t>
        </is>
      </c>
    </row>
    <row r="277" ht="16.5" customHeight="1" s="118">
      <c r="A277" s="9" t="n"/>
      <c r="B277" s="10" t="inlineStr">
        <is>
          <t>허클베리핀의 모험</t>
        </is>
      </c>
      <c r="C277" s="10" t="inlineStr">
        <is>
          <t>마크 트웨인</t>
        </is>
      </c>
      <c r="D277" s="10" t="inlineStr">
        <is>
          <t>민음사</t>
        </is>
      </c>
      <c r="E277" s="12">
        <f>_xludf.IFS(COUNTIF(보류목록!$B$3:$B$1000, B277)&gt;0, "-",COUNTIF(독서목록!$C$2:$C$1099, B277)=0, , COUNTIF(독서목록!$C$2:$C$1099, B277)&gt;0, COUNTIF(독서목록!$C$2:$C$1099, B277))</f>
        <v/>
      </c>
      <c r="F277" s="12">
        <f>_xludf.IFS(COUNTIF(보류목록!$C$3:$C$1000, B277)&gt;0, "-",COUNTIF(독서목록!$D$2:$D$1099, B277)=0, , COUNTIF(독서목록!$D$2:$D$1099, B277)&gt;0, COUNTIF(독서목록!$D$2:$D$1099, B277))</f>
        <v/>
      </c>
      <c r="G277" s="12" t="inlineStr">
        <is>
          <t>2013.12.15</t>
        </is>
      </c>
      <c r="H277" s="14" t="n"/>
      <c r="I277" s="14" t="n"/>
      <c r="J277" s="16" t="inlineStr">
        <is>
          <t>8937460068 9788937460067</t>
        </is>
      </c>
      <c r="K277" s="17" t="inlineStr">
        <is>
          <t>https://search1.kakaocdn.net/thumb/R120x174.q85/?fname=http%3A%2F%2Ft1.daumcdn.net%2Flbook%2Fimage%2F540772%3Ftimestamp%3D20251213110801</t>
        </is>
      </c>
    </row>
    <row r="278" ht="16.5" customHeight="1" s="118">
      <c r="A278" s="9" t="n"/>
      <c r="B278" s="10" t="inlineStr">
        <is>
          <t>실마릴리온 - 2</t>
        </is>
      </c>
      <c r="C278" s="10" t="inlineStr">
        <is>
          <t>J.R.R.톨킨</t>
        </is>
      </c>
      <c r="D278" s="10" t="inlineStr">
        <is>
          <t>씨앗을뿌리는사람</t>
        </is>
      </c>
      <c r="E278" s="12">
        <f>_xludf.IFS(COUNTIF(보류목록!$B$3:$B$1000, B278)&gt;0, "-",COUNTIF(독서목록!$C$2:$C$1099, B278)=0, , COUNTIF(독서목록!$C$2:$C$1099, B278)&gt;0, COUNTIF(독서목록!$C$2:$C$1099, B278))</f>
        <v/>
      </c>
      <c r="F278" s="12">
        <f>_xludf.IFS(COUNTIF(보류목록!$C$3:$C$1000, B278)&gt;0, "-",COUNTIF(독서목록!$D$2:$D$1099, B278)=0, , COUNTIF(독서목록!$D$2:$D$1099, B278)&gt;0, COUNTIF(독서목록!$D$2:$D$1099, B278))</f>
        <v/>
      </c>
      <c r="G278" s="12" t="inlineStr">
        <is>
          <t>2013.12.13</t>
        </is>
      </c>
      <c r="H278" s="14" t="n"/>
      <c r="I278" s="14" t="n"/>
      <c r="J278" s="16" t="inlineStr">
        <is>
          <t>8956372276 9788956372273</t>
        </is>
      </c>
      <c r="K278" s="17" t="inlineStr">
        <is>
          <t>https://search1.kakaocdn.net/thumb/R120x174.q85/?fname=http%3A%2F%2Ft1.daumcdn.net%2Flbook%2Fimage%2F731678%3Ftimestamp%3D20201009151542</t>
        </is>
      </c>
    </row>
    <row r="279" ht="16.5" customHeight="1" s="118">
      <c r="A279" s="9" t="n"/>
      <c r="B279" s="10" t="inlineStr">
        <is>
          <t>실마릴리온 - 1</t>
        </is>
      </c>
      <c r="C279" s="10" t="inlineStr">
        <is>
          <t>J.R.R.톨킨</t>
        </is>
      </c>
      <c r="D279" s="10" t="inlineStr">
        <is>
          <t>씨앗을뿌리는사람</t>
        </is>
      </c>
      <c r="E279" s="12">
        <f>_xludf.IFS(COUNTIF(보류목록!$B$3:$B$1000, B279)&gt;0, "-",COUNTIF(독서목록!$C$2:$C$1099, B279)=0, , COUNTIF(독서목록!$C$2:$C$1099, B279)&gt;0, COUNTIF(독서목록!$C$2:$C$1099, B279))</f>
        <v/>
      </c>
      <c r="F279" s="12">
        <f>_xludf.IFS(COUNTIF(보류목록!$C$3:$C$1000, B279)&gt;0, "-",COUNTIF(독서목록!$D$2:$D$1099, B279)=0, , COUNTIF(독서목록!$D$2:$D$1099, B279)&gt;0, COUNTIF(독서목록!$D$2:$D$1099, B279))</f>
        <v/>
      </c>
      <c r="G279" s="12" t="inlineStr">
        <is>
          <t>2013.12.13</t>
        </is>
      </c>
      <c r="H279" s="14" t="n"/>
      <c r="I279" s="14" t="n"/>
      <c r="J279" s="16" t="inlineStr">
        <is>
          <t>8956372268 9788956372266</t>
        </is>
      </c>
      <c r="K279" s="17" t="inlineStr">
        <is>
          <t>https://search1.kakaocdn.net/thumb/R120x174.q85/?fname=http%3A%2F%2Ft1.daumcdn.net%2Flbook%2Fimage%2F730680%3Ftimestamp%3D20190124162613</t>
        </is>
      </c>
    </row>
    <row r="280" ht="16.5" customHeight="1" s="118">
      <c r="A280" s="9" t="n"/>
      <c r="B280" s="10" t="inlineStr">
        <is>
          <t>그리고 아무 말도 하지 않았다</t>
        </is>
      </c>
      <c r="C280" s="10" t="inlineStr">
        <is>
          <t>하인리히 뵐</t>
        </is>
      </c>
      <c r="D280" s="10" t="inlineStr">
        <is>
          <t>열린책들</t>
        </is>
      </c>
      <c r="E280" s="12">
        <f>_xludf.IFS(COUNTIF(보류목록!$B$3:$B$1000, B280)&gt;0, "-",COUNTIF(독서목록!$C$2:$C$1099, B280)=0, , COUNTIF(독서목록!$C$2:$C$1099, B280)&gt;0, COUNTIF(독서목록!$C$2:$C$1099, B280))</f>
        <v/>
      </c>
      <c r="F280" s="12">
        <f>_xludf.IFS(COUNTIF(보류목록!$C$3:$C$1000, B280)&gt;0, "-",COUNTIF(독서목록!$D$2:$D$1099, B280)=0, , COUNTIF(독서목록!$D$2:$D$1099, B280)&gt;0, COUNTIF(독서목록!$D$2:$D$1099, B280))</f>
        <v/>
      </c>
      <c r="G280" s="12" t="inlineStr">
        <is>
          <t>2013.12.13</t>
        </is>
      </c>
      <c r="H280" s="14" t="inlineStr">
        <is>
          <t>기부</t>
        </is>
      </c>
      <c r="I280" s="14" t="inlineStr">
        <is>
          <t>기부</t>
        </is>
      </c>
      <c r="J280" s="16" t="inlineStr">
        <is>
          <t>8932911584 9788932911588</t>
        </is>
      </c>
      <c r="K280" s="17" t="inlineStr">
        <is>
          <t>https://search1.kakaocdn.net/thumb/R120x174.q85/?fname=http%3A%2F%2Ft1.daumcdn.net%2Flbook%2Fimage%2F507082%3Ftimestamp%3D20231018195432</t>
        </is>
      </c>
    </row>
    <row r="281" ht="16.5" customHeight="1" s="118">
      <c r="A281" s="9" t="n"/>
      <c r="B281" s="10" t="inlineStr">
        <is>
          <t>여덟 단어</t>
        </is>
      </c>
      <c r="C281" s="10" t="inlineStr">
        <is>
          <t>박웅현</t>
        </is>
      </c>
      <c r="D281" s="10" t="inlineStr">
        <is>
          <t>북하우스</t>
        </is>
      </c>
      <c r="E281" s="12">
        <f>_xludf.IFS(COUNTIF(보류목록!$B$3:$B$1000, B281)&gt;0, "-",COUNTIF(독서목록!$C$2:$C$1099, B281)=0, , COUNTIF(독서목록!$C$2:$C$1099, B281)&gt;0, COUNTIF(독서목록!$C$2:$C$1099, B281))</f>
        <v/>
      </c>
      <c r="F281" s="12">
        <f>_xludf.IFS(COUNTIF(보류목록!$C$3:$C$1000, B281)&gt;0, "-",COUNTIF(독서목록!$D$2:$D$1099, B281)=0, , COUNTIF(독서목록!$D$2:$D$1099, B281)&gt;0, COUNTIF(독서목록!$D$2:$D$1099, B281))</f>
        <v/>
      </c>
      <c r="G281" s="12" t="inlineStr">
        <is>
          <t>2013.12.13</t>
        </is>
      </c>
      <c r="H281" s="14" t="n"/>
      <c r="I281" s="14" t="n"/>
      <c r="J281" s="16" t="inlineStr">
        <is>
          <t>8956056536 9788956056531</t>
        </is>
      </c>
      <c r="K281" s="17" t="inlineStr">
        <is>
          <t>https://search1.kakaocdn.net/thumb/R120x174.q85/?fname=http%3A%2F%2Ft1.daumcdn.net%2Flbook%2Fimage%2F724053%3Ftimestamp%3D20240313113410</t>
        </is>
      </c>
    </row>
    <row r="282" ht="16.5" customHeight="1" s="118">
      <c r="A282" s="9" t="n"/>
      <c r="B282" s="10" t="inlineStr">
        <is>
          <t>폭풍의 언덕</t>
        </is>
      </c>
      <c r="C282" s="10" t="inlineStr">
        <is>
          <t>에밀리 브론테</t>
        </is>
      </c>
      <c r="D282" s="10" t="inlineStr">
        <is>
          <t>문학동네</t>
        </is>
      </c>
      <c r="E282" s="12">
        <f>_xludf.IFS(COUNTIF(보류목록!$B$3:$B$1000, B282)&gt;0, "-",COUNTIF(독서목록!$C$2:$C$1099, B282)=0, , COUNTIF(독서목록!$C$2:$C$1099, B282)&gt;0, COUNTIF(독서목록!$C$2:$C$1099, B282))</f>
        <v/>
      </c>
      <c r="F282" s="12">
        <f>_xludf.IFS(COUNTIF(보류목록!$C$3:$C$1000, B282)&gt;0, "-",COUNTIF(독서목록!$D$2:$D$1099, B282)=0, , COUNTIF(독서목록!$D$2:$D$1099, B282)&gt;0, COUNTIF(독서목록!$D$2:$D$1099, B282))</f>
        <v/>
      </c>
      <c r="G282" s="12" t="inlineStr">
        <is>
          <t>2013.12.13</t>
        </is>
      </c>
      <c r="H282" s="14" t="n"/>
      <c r="I282" s="14" t="n"/>
      <c r="J282" s="16" t="inlineStr">
        <is>
          <t>8954614809 9788954614801</t>
        </is>
      </c>
      <c r="K282" s="17" t="inlineStr">
        <is>
          <t>https://search1.kakaocdn.net/thumb/R120x174.q85/?fname=http%3A%2F%2Ft1.daumcdn.net%2Flbook%2Fimage%2F690908%3Ftimestamp%3D20260410110614</t>
        </is>
      </c>
    </row>
    <row r="283" ht="16.5" customHeight="1" s="118">
      <c r="A283" s="9" t="n"/>
      <c r="B283" s="10" t="inlineStr">
        <is>
          <t>까라마조프 씨네 형제들 - 하</t>
        </is>
      </c>
      <c r="C283" s="10" t="inlineStr">
        <is>
          <t>표도르 도스또예프스끼</t>
        </is>
      </c>
      <c r="D283" s="10" t="inlineStr">
        <is>
          <t>열린책들</t>
        </is>
      </c>
      <c r="E283" s="12">
        <f>_xludf.IFS(COUNTIF(보류목록!$B$3:$B$1000, B283)&gt;0, "-",COUNTIF(독서목록!$C$2:$C$1099, B283)=0, , COUNTIF(독서목록!$C$2:$C$1099, B283)&gt;0, COUNTIF(독서목록!$C$2:$C$1099, B283))</f>
        <v/>
      </c>
      <c r="F283" s="12">
        <f>_xludf.IFS(COUNTIF(보류목록!$C$3:$C$1000, B283)&gt;0, "-",COUNTIF(독서목록!$D$2:$D$1099, B283)=0, , COUNTIF(독서목록!$D$2:$D$1099, B283)&gt;0, COUNTIF(독서목록!$D$2:$D$1099, B283))</f>
        <v/>
      </c>
      <c r="G283" s="12" t="inlineStr">
        <is>
          <t>2013.12.13</t>
        </is>
      </c>
      <c r="H283" s="14" t="n"/>
      <c r="I283" s="14" t="n"/>
      <c r="J283" s="16" t="inlineStr">
        <is>
          <t>893290944X 9788932909448</t>
        </is>
      </c>
      <c r="K283" s="17" t="inlineStr">
        <is>
          <t>https://search1.kakaocdn.net/thumb/R120x174.q85/?fname=http%3A%2F%2Ft1.daumcdn.net%2Flbook%2Fimage%2F505017%3Ftimestamp%3D20231018165254</t>
        </is>
      </c>
    </row>
    <row r="284" ht="16.5" customHeight="1" s="118">
      <c r="A284" s="9" t="n"/>
      <c r="B284" s="10" t="inlineStr">
        <is>
          <t>까라마조프 씨네 형제들 - 중</t>
        </is>
      </c>
      <c r="C284" s="10" t="inlineStr">
        <is>
          <t>표도르 도스또예프스끼</t>
        </is>
      </c>
      <c r="D284" s="10" t="inlineStr">
        <is>
          <t>열린책들</t>
        </is>
      </c>
      <c r="E284" s="12">
        <f>_xludf.IFS(COUNTIF(보류목록!$B$3:$B$1000, B284)&gt;0, "-",COUNTIF(독서목록!$C$2:$C$1099, B284)=0, , COUNTIF(독서목록!$C$2:$C$1099, B284)&gt;0, COUNTIF(독서목록!$C$2:$C$1099, B284))</f>
        <v/>
      </c>
      <c r="F284" s="12">
        <f>_xludf.IFS(COUNTIF(보류목록!$C$3:$C$1000, B284)&gt;0, "-",COUNTIF(독서목록!$D$2:$D$1099, B284)=0, , COUNTIF(독서목록!$D$2:$D$1099, B284)&gt;0, COUNTIF(독서목록!$D$2:$D$1099, B284))</f>
        <v/>
      </c>
      <c r="G284" s="12" t="inlineStr">
        <is>
          <t>2013.12.13</t>
        </is>
      </c>
      <c r="H284" s="14" t="n"/>
      <c r="I284" s="14" t="n"/>
      <c r="J284" s="16" t="inlineStr">
        <is>
          <t>8932909431 9788932909431</t>
        </is>
      </c>
      <c r="K284" s="17" t="inlineStr">
        <is>
          <t>https://search1.kakaocdn.net/thumb/R120x174.q85/?fname=http%3A%2F%2Ft1.daumcdn.net%2Flbook%2Fimage%2F506861%3Ftimestamp%3D20231018181511</t>
        </is>
      </c>
    </row>
    <row r="285" ht="16.5" customHeight="1" s="118">
      <c r="A285" s="9" t="n"/>
      <c r="B285" s="10" t="inlineStr">
        <is>
          <t>까라마조프 씨네 형제들 - 상</t>
        </is>
      </c>
      <c r="C285" s="10" t="inlineStr">
        <is>
          <t>표도르 도스또예프스끼</t>
        </is>
      </c>
      <c r="D285" s="10" t="inlineStr">
        <is>
          <t>열린책들</t>
        </is>
      </c>
      <c r="E285" s="12">
        <f>_xludf.IFS(COUNTIF(보류목록!$B$3:$B$1000, B285)&gt;0, "-",COUNTIF(독서목록!$C$2:$C$1099, B285)=0, , COUNTIF(독서목록!$C$2:$C$1099, B285)&gt;0, COUNTIF(독서목록!$C$2:$C$1099, B285))</f>
        <v/>
      </c>
      <c r="F285" s="12">
        <f>_xludf.IFS(COUNTIF(보류목록!$C$3:$C$1000, B285)&gt;0, "-",COUNTIF(독서목록!$D$2:$D$1099, B285)=0, , COUNTIF(독서목록!$D$2:$D$1099, B285)&gt;0, COUNTIF(독서목록!$D$2:$D$1099, B285))</f>
        <v/>
      </c>
      <c r="G285" s="12" t="inlineStr">
        <is>
          <t>2013.12.13</t>
        </is>
      </c>
      <c r="H285" s="14" t="n"/>
      <c r="I285" s="14" t="n"/>
      <c r="J285" s="16" t="inlineStr">
        <is>
          <t>8932909423 9788932909424</t>
        </is>
      </c>
      <c r="K285" s="17" t="inlineStr">
        <is>
          <t>https://search1.kakaocdn.net/thumb/R120x174.q85/?fname=http%3A%2F%2Ft1.daumcdn.net%2Flbook%2Fimage%2F507013%3Ftimestamp%3D20231012163824</t>
        </is>
      </c>
    </row>
    <row r="286" ht="16.5" customHeight="1" s="118">
      <c r="A286" s="9" t="n"/>
      <c r="B286" s="10" t="inlineStr">
        <is>
          <t>악마와 미스 프랭</t>
        </is>
      </c>
      <c r="C286" s="10" t="inlineStr">
        <is>
          <t>파울로 코엘료</t>
        </is>
      </c>
      <c r="D286" s="10" t="inlineStr">
        <is>
          <t>문학동네</t>
        </is>
      </c>
      <c r="E286" s="12">
        <f>_xludf.IFS(COUNTIF(보류목록!$B$3:$B$1000, B286)&gt;0, "-",COUNTIF(독서목록!$C$2:$C$1099, B286)=0, , COUNTIF(독서목록!$C$2:$C$1099, B286)&gt;0, COUNTIF(독서목록!$C$2:$C$1099, B286))</f>
        <v/>
      </c>
      <c r="F286" s="12">
        <f>_xludf.IFS(COUNTIF(보류목록!$C$3:$C$1000, B286)&gt;0, "-",COUNTIF(독서목록!$D$2:$D$1099, B286)=0, , COUNTIF(독서목록!$D$2:$D$1099, B286)&gt;0, COUNTIF(독서목록!$D$2:$D$1099, B286))</f>
        <v/>
      </c>
      <c r="G286" s="12" t="inlineStr">
        <is>
          <t>2013.12.08</t>
        </is>
      </c>
      <c r="H286" s="14" t="inlineStr">
        <is>
          <t>기부</t>
        </is>
      </c>
      <c r="I286" s="14" t="inlineStr">
        <is>
          <t>기부</t>
        </is>
      </c>
      <c r="J286" s="16" t="inlineStr">
        <is>
          <t>8982816860 9788982816864</t>
        </is>
      </c>
      <c r="K286" s="17" t="inlineStr">
        <is>
          <t>https://search1.kakaocdn.net/thumb/R120x174.q85/?fname=http%3A%2F%2Ft1.daumcdn.net%2Flbook%2Fimage%2F1155593%3Ftimestamp%3D20251209110811</t>
        </is>
      </c>
    </row>
    <row r="287" ht="16.5" customHeight="1" s="118">
      <c r="A287" s="9" t="n"/>
      <c r="B287" s="10" t="inlineStr">
        <is>
          <t>총,균,쇠</t>
        </is>
      </c>
      <c r="C287" s="10" t="inlineStr">
        <is>
          <t>재레드 다이아몬드</t>
        </is>
      </c>
      <c r="D287" s="10" t="inlineStr">
        <is>
          <t>문학사상사</t>
        </is>
      </c>
      <c r="E287" s="12">
        <f>_xludf.IFS(COUNTIF(보류목록!$B$3:$B$1000, B287)&gt;0, "-",COUNTIF(독서목록!$C$2:$C$1099, B287)=0, , COUNTIF(독서목록!$C$2:$C$1099, B287)&gt;0, COUNTIF(독서목록!$C$2:$C$1099, B287))</f>
        <v/>
      </c>
      <c r="F287" s="12">
        <f>_xludf.IFS(COUNTIF(보류목록!$C$3:$C$1000, B287)&gt;0, "-",COUNTIF(독서목록!$D$2:$D$1099, B287)=0, , COUNTIF(독서목록!$D$2:$D$1099, B287)&gt;0, COUNTIF(독서목록!$D$2:$D$1099, B287))</f>
        <v/>
      </c>
      <c r="G287" s="12" t="inlineStr">
        <is>
          <t>2013.11.13</t>
        </is>
      </c>
      <c r="H287" s="14" t="n"/>
      <c r="I287" s="14" t="n"/>
      <c r="J287" s="16" t="inlineStr">
        <is>
          <t>8970122907 9788970122908</t>
        </is>
      </c>
      <c r="K287" s="17" t="inlineStr">
        <is>
          <t>https://search1.kakaocdn.net/thumb/R120x174.q85/?fname=http%3A%2F%2Ft1.daumcdn.net%2Flbook%2Fimage%2F954195%3Ftimestamp%3D20220831174458</t>
        </is>
      </c>
    </row>
    <row r="288" ht="16.5" customHeight="1" s="118">
      <c r="A288" s="9" t="n"/>
      <c r="B288" s="10" t="inlineStr">
        <is>
          <t>이방인</t>
        </is>
      </c>
      <c r="C288" s="10" t="inlineStr">
        <is>
          <t>알베르 카뮈</t>
        </is>
      </c>
      <c r="D288" s="10" t="inlineStr">
        <is>
          <t>민음사</t>
        </is>
      </c>
      <c r="E288" s="12">
        <f>_xludf.IFS(COUNTIF(보류목록!$B$3:$B$1000, B288)&gt;0, "-",COUNTIF(독서목록!$C$2:$C$1099, B288)=0, , COUNTIF(독서목록!$C$2:$C$1099, B288)&gt;0, COUNTIF(독서목록!$C$2:$C$1099, B288))</f>
        <v/>
      </c>
      <c r="F288" s="12">
        <f>_xludf.IFS(COUNTIF(보류목록!$C$3:$C$1000, B288)&gt;0, "-",COUNTIF(독서목록!$D$2:$D$1099, B288)=0, , COUNTIF(독서목록!$D$2:$D$1099, B288)&gt;0, COUNTIF(독서목록!$D$2:$D$1099, B288))</f>
        <v/>
      </c>
      <c r="G288" s="12" t="inlineStr">
        <is>
          <t>2013.11.13</t>
        </is>
      </c>
      <c r="H288" s="14" t="n"/>
      <c r="I288" s="14" t="n"/>
      <c r="J288" s="16" t="inlineStr">
        <is>
          <t>8937443848 9788937443848</t>
        </is>
      </c>
      <c r="K288" s="17" t="inlineStr">
        <is>
          <t>https://search1.kakaocdn.net/thumb/R120x174.q85/?fname=http%3A%2F%2Ft1.daumcdn.net%2Flbook%2Fimage%2F5132886%3Ftimestamp%3D20260131130951</t>
        </is>
      </c>
    </row>
    <row r="289" ht="16.5" customHeight="1" s="118">
      <c r="A289" s="9" t="n"/>
      <c r="B289" s="10" t="inlineStr">
        <is>
          <t>로아나(하)</t>
        </is>
      </c>
      <c r="C289" s="10" t="inlineStr">
        <is>
          <t>움베르토 에코</t>
        </is>
      </c>
      <c r="D289" s="10" t="inlineStr">
        <is>
          <t>열린책들</t>
        </is>
      </c>
      <c r="E289" s="12">
        <f>_xludf.IFS(COUNTIF(보류목록!$B$3:$B$1000, B289)&gt;0, "-",COUNTIF(독서목록!$C$2:$C$1099, B289)=0, , COUNTIF(독서목록!$C$2:$C$1099, B289)&gt;0, COUNTIF(독서목록!$C$2:$C$1099, B289))</f>
        <v/>
      </c>
      <c r="F289" s="12">
        <f>_xludf.IFS(COUNTIF(보류목록!$C$3:$C$1000, B289)&gt;0, "-",COUNTIF(독서목록!$D$2:$D$1099, B289)=0, , COUNTIF(독서목록!$D$2:$D$1099, B289)&gt;0, COUNTIF(독서목록!$D$2:$D$1099, B289))</f>
        <v/>
      </c>
      <c r="G289" s="12" t="inlineStr">
        <is>
          <t>2013.11.13</t>
        </is>
      </c>
      <c r="H289" s="14" t="n"/>
      <c r="I289" s="14" t="n"/>
      <c r="J289" s="16" t="inlineStr">
        <is>
          <t>8932908370 9788932908373</t>
        </is>
      </c>
      <c r="K289" s="17" t="inlineStr">
        <is>
          <t>https://search1.kakaocdn.net/thumb/R120x174.q85/?fname=http%3A%2F%2Ft1.daumcdn.net%2Flbook%2Fimage%2F506898%3Ftimestamp%3D20250723110524</t>
        </is>
      </c>
    </row>
    <row r="290" ht="16.5" customHeight="1" s="118">
      <c r="A290" s="9" t="n"/>
      <c r="B290" s="10" t="inlineStr">
        <is>
          <t>로아나(상)</t>
        </is>
      </c>
      <c r="C290" s="10" t="inlineStr">
        <is>
          <t>움베르토 에코</t>
        </is>
      </c>
      <c r="D290" s="10" t="inlineStr">
        <is>
          <t>열린책들</t>
        </is>
      </c>
      <c r="E290" s="12">
        <f>_xludf.IFS(COUNTIF(보류목록!$B$3:$B$1000, B290)&gt;0, "-",COUNTIF(독서목록!$C$2:$C$1099, B290)=0, , COUNTIF(독서목록!$C$2:$C$1099, B290)&gt;0, COUNTIF(독서목록!$C$2:$C$1099, B290))</f>
        <v/>
      </c>
      <c r="F290" s="12">
        <f>_xludf.IFS(COUNTIF(보류목록!$C$3:$C$1000, B290)&gt;0, "-",COUNTIF(독서목록!$D$2:$D$1099, B290)=0, , COUNTIF(독서목록!$D$2:$D$1099, B290)&gt;0, COUNTIF(독서목록!$D$2:$D$1099, B290))</f>
        <v/>
      </c>
      <c r="G290" s="12" t="inlineStr">
        <is>
          <t>2013.11.13</t>
        </is>
      </c>
      <c r="H290" s="14" t="n"/>
      <c r="I290" s="14" t="n"/>
      <c r="J290" s="16" t="inlineStr">
        <is>
          <t>8932908362 9788932908366</t>
        </is>
      </c>
      <c r="K290" s="17" t="inlineStr">
        <is>
          <t>https://search1.kakaocdn.net/thumb/R120x174.q85/?fname=http%3A%2F%2Ft1.daumcdn.net%2Flbook%2Fimage%2F506743%3Ftimestamp%3D20250723110535</t>
        </is>
      </c>
    </row>
    <row r="291" ht="16.5" customHeight="1" s="118">
      <c r="A291" s="9" t="n"/>
      <c r="B291" s="10" t="inlineStr">
        <is>
          <t>최초의 인간</t>
        </is>
      </c>
      <c r="C291" s="10" t="inlineStr">
        <is>
          <t>알베르 카뮈</t>
        </is>
      </c>
      <c r="D291" s="10" t="inlineStr">
        <is>
          <t>열린책들</t>
        </is>
      </c>
      <c r="E291" s="12">
        <f>_xludf.IFS(COUNTIF(보류목록!$B$3:$B$1000, B291)&gt;0, "-",COUNTIF(독서목록!$C$2:$C$1099, B291)=0, , COUNTIF(독서목록!$C$2:$C$1099, B291)&gt;0, COUNTIF(독서목록!$C$2:$C$1099, B291))</f>
        <v/>
      </c>
      <c r="F291" s="12">
        <f>_xludf.IFS(COUNTIF(보류목록!$C$3:$C$1000, B291)&gt;0, "-",COUNTIF(독서목록!$D$2:$D$1099, B291)=0, , COUNTIF(독서목록!$D$2:$D$1099, B291)&gt;0, COUNTIF(독서목록!$D$2:$D$1099, B291))</f>
        <v/>
      </c>
      <c r="G291" s="12" t="inlineStr">
        <is>
          <t>2013.11.10</t>
        </is>
      </c>
      <c r="H291" s="14" t="n"/>
      <c r="I291" s="14" t="n"/>
      <c r="J291" s="16" t="inlineStr">
        <is>
          <t>8932909172 9788932909172</t>
        </is>
      </c>
      <c r="K291" s="17" t="inlineStr">
        <is>
          <t>https://search1.kakaocdn.net/thumb/R120x174.q85/?fname=http%3A%2F%2Ft1.daumcdn.net%2Flbook%2Fimage%2F506985%3Ftimestamp%3D20250403113620</t>
        </is>
      </c>
    </row>
    <row r="292" ht="16.5" customHeight="1" s="118">
      <c r="A292" s="9" t="n"/>
      <c r="B292" s="10" t="inlineStr">
        <is>
          <t>시골의사 박경철의 자기혁명</t>
        </is>
      </c>
      <c r="C292" s="10" t="inlineStr">
        <is>
          <t>박경철</t>
        </is>
      </c>
      <c r="D292" s="10" t="inlineStr">
        <is>
          <t>리더스북</t>
        </is>
      </c>
      <c r="E292" s="12">
        <f>_xludf.IFS(COUNTIF(보류목록!$B$3:$B$1000, B292)&gt;0, "-",COUNTIF(독서목록!$C$2:$C$1099, B292)=0, , COUNTIF(독서목록!$C$2:$C$1099, B292)&gt;0, COUNTIF(독서목록!$C$2:$C$1099, B292))</f>
        <v/>
      </c>
      <c r="F292" s="12">
        <f>_xludf.IFS(COUNTIF(보류목록!$C$3:$C$1000, B292)&gt;0, "-",COUNTIF(독서목록!$D$2:$D$1099, B292)=0, , COUNTIF(독서목록!$D$2:$D$1099, B292)&gt;0, COUNTIF(독서목록!$D$2:$D$1099, B292))</f>
        <v/>
      </c>
      <c r="G292" s="12" t="inlineStr">
        <is>
          <t>2013.10.09</t>
        </is>
      </c>
      <c r="H292" s="14" t="inlineStr">
        <is>
          <t>기부</t>
        </is>
      </c>
      <c r="I292" s="14" t="inlineStr">
        <is>
          <t>기부</t>
        </is>
      </c>
      <c r="J292" s="16" t="inlineStr">
        <is>
          <t>8901130467 9788901130460</t>
        </is>
      </c>
      <c r="K292" s="17" t="inlineStr">
        <is>
          <t>https://search1.kakaocdn.net/thumb/R120x174.q85/?fname=http%3A%2F%2Ft1.daumcdn.net%2Flbook%2Fimage%2F349096%3Ftimestamp%3D20250521180805</t>
        </is>
      </c>
    </row>
    <row r="293" ht="16.5" customHeight="1" s="118">
      <c r="A293" s="9" t="n"/>
      <c r="B293" s="10" t="inlineStr">
        <is>
          <t>팀장이 절대로 해서는 안될 101가지 행동</t>
        </is>
      </c>
      <c r="C293" s="10" t="inlineStr">
        <is>
          <t>메리 올브라이트, 클레이 카</t>
        </is>
      </c>
      <c r="D293" s="10" t="inlineStr">
        <is>
          <t>아인북스</t>
        </is>
      </c>
      <c r="E293" s="12">
        <f>_xludf.IFS(COUNTIF(보류목록!$B$3:$B$1000, B293)&gt;0, "-",COUNTIF(독서목록!$C$2:$C$1099, B293)=0, , COUNTIF(독서목록!$C$2:$C$1099, B293)&gt;0, COUNTIF(독서목록!$C$2:$C$1099, B293))</f>
        <v/>
      </c>
      <c r="F293" s="12">
        <f>_xludf.IFS(COUNTIF(보류목록!$C$3:$C$1000, B293)&gt;0, "-",COUNTIF(독서목록!$D$2:$D$1099, B293)=0, , COUNTIF(독서목록!$D$2:$D$1099, B293)&gt;0, COUNTIF(독서목록!$D$2:$D$1099, B293))</f>
        <v/>
      </c>
      <c r="G293" s="12" t="inlineStr">
        <is>
          <t>2013.10.09</t>
        </is>
      </c>
      <c r="H293" s="14" t="inlineStr">
        <is>
          <t>기부</t>
        </is>
      </c>
      <c r="I293" s="14" t="inlineStr">
        <is>
          <t>기부</t>
        </is>
      </c>
      <c r="J293" s="16" t="inlineStr">
        <is>
          <t>8991042287 9788991042285</t>
        </is>
      </c>
      <c r="K293" s="19" t="inlineStr">
        <is>
          <t>https://search1.kakaocdn.net/thumb/R120x174.q85/?fname=http%3A%2F%2Ft1.daumcdn.net%2Flbook%2Fimage%2F1339923%3Ftimestamp%3D20220630120258</t>
        </is>
      </c>
    </row>
    <row r="294" ht="16.5" customHeight="1" s="118">
      <c r="A294" s="9" t="n"/>
      <c r="B294" s="10" t="inlineStr">
        <is>
          <t>셰익스피어 비극선</t>
        </is>
      </c>
      <c r="C294" s="10" t="inlineStr">
        <is>
          <t>윌리엄 셰익스피어</t>
        </is>
      </c>
      <c r="D294" s="10" t="inlineStr">
        <is>
          <t>일송북</t>
        </is>
      </c>
      <c r="E294" s="12">
        <f>_xludf.IFS(COUNTIF(보류목록!$B$3:$B$1000, B294)&gt;0, "-",COUNTIF(독서목록!$C$2:$C$1099, B294)=0, , COUNTIF(독서목록!$C$2:$C$1099, B294)&gt;0, COUNTIF(독서목록!$C$2:$C$1099, B294))</f>
        <v/>
      </c>
      <c r="F294" s="12">
        <f>_xludf.IFS(COUNTIF(보류목록!$C$3:$C$1000, B294)&gt;0, "-",COUNTIF(독서목록!$D$2:$D$1099, B294)=0, , COUNTIF(독서목록!$D$2:$D$1099, B294)&gt;0, COUNTIF(독서목록!$D$2:$D$1099, B294))</f>
        <v/>
      </c>
      <c r="G294" s="12" t="inlineStr">
        <is>
          <t>2013.08.10</t>
        </is>
      </c>
      <c r="H294" s="14" t="n"/>
      <c r="I294" s="14" t="n"/>
      <c r="J294" s="16" t="inlineStr">
        <is>
          <t>8995746599 9788995746592</t>
        </is>
      </c>
      <c r="K294" s="17" t="inlineStr">
        <is>
          <t>https://search1.kakaocdn.net/thumb/R120x174.q85/?fname=http%3A%2F%2Ft1.daumcdn.net%2Flbook%2Fimage%2F1452048%3Ftimestamp%3D20200728134526</t>
        </is>
      </c>
    </row>
    <row r="295" ht="16.5" customHeight="1" s="118">
      <c r="A295" s="9" t="n"/>
      <c r="B295" s="10" t="inlineStr">
        <is>
          <t>전망 좋은 방</t>
        </is>
      </c>
      <c r="C295" s="10" t="inlineStr">
        <is>
          <t>E. M. 포스터</t>
        </is>
      </c>
      <c r="D295" s="10" t="inlineStr">
        <is>
          <t>열린책들</t>
        </is>
      </c>
      <c r="E295" s="12">
        <f>_xludf.IFS(COUNTIF(보류목록!$B$3:$B$1000, B295)&gt;0, "-",COUNTIF(독서목록!$C$2:$C$1099, B295)=0, , COUNTIF(독서목록!$C$2:$C$1099, B295)&gt;0, COUNTIF(독서목록!$C$2:$C$1099, B295))</f>
        <v/>
      </c>
      <c r="F295" s="12">
        <f>_xludf.IFS(COUNTIF(보류목록!$C$3:$C$1000, B295)&gt;0, "-",COUNTIF(독서목록!$D$2:$D$1099, B295)=0, , COUNTIF(독서목록!$D$2:$D$1099, B295)&gt;0, COUNTIF(독서목록!$D$2:$D$1099, B295))</f>
        <v/>
      </c>
      <c r="G295" s="12" t="inlineStr">
        <is>
          <t>2013.08.09</t>
        </is>
      </c>
      <c r="H295" s="14" t="inlineStr">
        <is>
          <t>기부</t>
        </is>
      </c>
      <c r="I295" s="14" t="inlineStr">
        <is>
          <t>기부</t>
        </is>
      </c>
      <c r="J295" s="16" t="inlineStr">
        <is>
          <t>8932906270 9788932906270</t>
        </is>
      </c>
      <c r="K295" s="19" t="inlineStr">
        <is>
          <t>https://search1.kakaocdn.net/thumb/R120x174.q85/?fname=http%3A%2F%2Ft1.daumcdn.net%2Flbook%2Fimage%2F506317%3Ftimestamp%3D20220218155641</t>
        </is>
      </c>
    </row>
    <row r="296" ht="16.5" customHeight="1" s="118">
      <c r="A296" s="9" t="n"/>
      <c r="B296" s="10" t="inlineStr">
        <is>
          <t>몽유병자들(하)</t>
        </is>
      </c>
      <c r="C296" s="10" t="inlineStr">
        <is>
          <t>헤르만브로흐</t>
        </is>
      </c>
      <c r="D296" s="10" t="inlineStr">
        <is>
          <t>열린책들</t>
        </is>
      </c>
      <c r="E296" s="12">
        <f>_xludf.IFS(COUNTIF(보류목록!$B$3:$B$1000, B296)&gt;0, "-",COUNTIF(독서목록!$C$2:$C$1099, B296)=0, , COUNTIF(독서목록!$C$2:$C$1099, B296)&gt;0, COUNTIF(독서목록!$C$2:$C$1099, B296))</f>
        <v/>
      </c>
      <c r="F296" s="12">
        <f>_xludf.IFS(COUNTIF(보류목록!$C$3:$C$1000, B296)&gt;0, "-",COUNTIF(독서목록!$D$2:$D$1099, B296)=0, , COUNTIF(독서목록!$D$2:$D$1099, B296)&gt;0, COUNTIF(독서목록!$D$2:$D$1099, B296))</f>
        <v/>
      </c>
      <c r="G296" s="12" t="inlineStr">
        <is>
          <t>2013.08.09</t>
        </is>
      </c>
      <c r="H296" s="14" t="inlineStr">
        <is>
          <t>기부</t>
        </is>
      </c>
      <c r="I296" s="14" t="inlineStr">
        <is>
          <t>기부</t>
        </is>
      </c>
      <c r="J296" s="16" t="inlineStr">
        <is>
          <t>8932909792 9788932909790</t>
        </is>
      </c>
      <c r="K296" s="17" t="inlineStr">
        <is>
          <t>https://search1.kakaocdn.net/thumb/R120x174.q85/?fname=http%3A%2F%2Ft1.daumcdn.net%2Flbook%2Fimage%2F506900%3Ftimestamp%3D20240104185548</t>
        </is>
      </c>
    </row>
    <row r="297" ht="16.5" customHeight="1" s="118">
      <c r="A297" s="9" t="n"/>
      <c r="B297" s="10" t="inlineStr">
        <is>
          <t>몽유병자들(상)</t>
        </is>
      </c>
      <c r="C297" s="10" t="inlineStr">
        <is>
          <t>헤르만브로흐</t>
        </is>
      </c>
      <c r="D297" s="10" t="inlineStr">
        <is>
          <t>열린책들</t>
        </is>
      </c>
      <c r="E297" s="12">
        <f>_xludf.IFS(COUNTIF(보류목록!$B$3:$B$1000, B297)&gt;0, "-",COUNTIF(독서목록!$C$2:$C$1099, B297)=0, , COUNTIF(독서목록!$C$2:$C$1099, B297)&gt;0, COUNTIF(독서목록!$C$2:$C$1099, B297))</f>
        <v/>
      </c>
      <c r="F297" s="12">
        <f>_xludf.IFS(COUNTIF(보류목록!$C$3:$C$1000, B297)&gt;0, "-",COUNTIF(독서목록!$D$2:$D$1099, B297)=0, , COUNTIF(독서목록!$D$2:$D$1099, B297)&gt;0, COUNTIF(독서목록!$D$2:$D$1099, B297))</f>
        <v/>
      </c>
      <c r="G297" s="12" t="inlineStr">
        <is>
          <t>2013.08.09</t>
        </is>
      </c>
      <c r="H297" s="14" t="inlineStr">
        <is>
          <t>기부</t>
        </is>
      </c>
      <c r="I297" s="14" t="inlineStr">
        <is>
          <t>기부</t>
        </is>
      </c>
      <c r="J297" s="16" t="inlineStr">
        <is>
          <t>8932909784 9788932909783</t>
        </is>
      </c>
      <c r="K297" s="17" t="inlineStr">
        <is>
          <t>https://search1.kakaocdn.net/thumb/R120x174.q85/?fname=http%3A%2F%2Ft1.daumcdn.net%2Flbook%2Fimage%2F507046%3Ftimestamp%3D20231201154545</t>
        </is>
      </c>
    </row>
    <row r="298" ht="16.5" customHeight="1" s="118">
      <c r="A298" s="9" t="n"/>
      <c r="B298" s="10" t="inlineStr">
        <is>
          <t>깊이에의 강요</t>
        </is>
      </c>
      <c r="C298" s="10" t="inlineStr">
        <is>
          <t>파트리크 쥐스킨트</t>
        </is>
      </c>
      <c r="D298" s="10" t="inlineStr">
        <is>
          <t>열린책들</t>
        </is>
      </c>
      <c r="E298" s="12">
        <f>_xludf.IFS(COUNTIF(보류목록!$B$3:$B$1000, B298)&gt;0, "-",COUNTIF(독서목록!$C$2:$C$1099, B298)=0, , COUNTIF(독서목록!$C$2:$C$1099, B298)&gt;0, COUNTIF(독서목록!$C$2:$C$1099, B298))</f>
        <v/>
      </c>
      <c r="F298" s="12">
        <f>_xludf.IFS(COUNTIF(보류목록!$C$3:$C$1000, B298)&gt;0, "-",COUNTIF(독서목록!$D$2:$D$1099, B298)=0, , COUNTIF(독서목록!$D$2:$D$1099, B298)&gt;0, COUNTIF(독서목록!$D$2:$D$1099, B298))</f>
        <v/>
      </c>
      <c r="G298" s="12" t="inlineStr">
        <is>
          <t>2013.08.09</t>
        </is>
      </c>
      <c r="H298" s="14" t="inlineStr">
        <is>
          <t>기부</t>
        </is>
      </c>
      <c r="I298" s="14" t="inlineStr">
        <is>
          <t>기부</t>
        </is>
      </c>
      <c r="J298" s="16" t="inlineStr">
        <is>
          <t>8932920230 9788932920238</t>
        </is>
      </c>
      <c r="K298" s="17" t="inlineStr">
        <is>
          <t>https://search1.kakaocdn.net/thumb/R120x174.q85/?fname=http%3A%2F%2Ft1.daumcdn.net%2Flbook%2Fimage%2F5347059%3Ftimestamp%3D20231012173733</t>
        </is>
      </c>
    </row>
    <row r="299" ht="16.5" customHeight="1" s="118">
      <c r="A299" s="9" t="n"/>
      <c r="B299" s="10" t="inlineStr">
        <is>
          <t>답을내는 조직</t>
        </is>
      </c>
      <c r="C299" s="10" t="inlineStr">
        <is>
          <t>김성호</t>
        </is>
      </c>
      <c r="D299" s="10" t="inlineStr">
        <is>
          <t>쌤앤파커스</t>
        </is>
      </c>
      <c r="E299" s="12">
        <f>_xludf.IFS(COUNTIF(보류목록!$B$3:$B$1000, B299)&gt;0, "-",COUNTIF(독서목록!$C$2:$C$1099, B299)=0, , COUNTIF(독서목록!$C$2:$C$1099, B299)&gt;0, COUNTIF(독서목록!$C$2:$C$1099, B299))</f>
        <v/>
      </c>
      <c r="F299" s="12">
        <f>_xludf.IFS(COUNTIF(보류목록!$C$3:$C$1000, B299)&gt;0, "-",COUNTIF(독서목록!$D$2:$D$1099, B299)=0, , COUNTIF(독서목록!$D$2:$D$1099, B299)&gt;0, COUNTIF(독서목록!$D$2:$D$1099, B299))</f>
        <v/>
      </c>
      <c r="G299" s="12" t="inlineStr">
        <is>
          <t>2013.08.09</t>
        </is>
      </c>
      <c r="H299" s="14" t="inlineStr">
        <is>
          <t>기부</t>
        </is>
      </c>
      <c r="I299" s="14" t="inlineStr">
        <is>
          <t>기부</t>
        </is>
      </c>
      <c r="J299" s="16" t="inlineStr">
        <is>
          <t>8965701171 9788965701170</t>
        </is>
      </c>
      <c r="K299" s="19" t="inlineStr">
        <is>
          <t>https://search1.kakaocdn.net/thumb/R120x174.q85/?fname=http%3A%2F%2Ft1.daumcdn.net%2Flbook%2Fimage%2F920014%3Ftimestamp%3D20260206110611</t>
        </is>
      </c>
    </row>
    <row r="300" ht="16.5" customHeight="1" s="118">
      <c r="A300" s="9" t="n"/>
      <c r="B300" s="10" t="inlineStr">
        <is>
          <t>대위의 딸</t>
        </is>
      </c>
      <c r="C300" s="10" t="inlineStr">
        <is>
          <t>뿌쉬낀</t>
        </is>
      </c>
      <c r="D300" s="11" t="inlineStr">
        <is>
          <t>소담출판사</t>
        </is>
      </c>
      <c r="E300" s="12">
        <f>_xludf.IFS(COUNTIF(보류목록!$B$3:$B$1000, B300)&gt;0, "-",COUNTIF(독서목록!$C$2:$C$1099, B300)=0, , COUNTIF(독서목록!$C$2:$C$1099, B300)&gt;0, COUNTIF(독서목록!$C$2:$C$1099, B300))</f>
        <v/>
      </c>
      <c r="F300" s="12">
        <f>_xludf.IFS(COUNTIF(보류목록!$C$3:$C$1000, B300)&gt;0, "-",COUNTIF(독서목록!$D$2:$D$1099, B300)=0, , COUNTIF(독서목록!$D$2:$D$1099, B300)&gt;0, COUNTIF(독서목록!$D$2:$D$1099, B300))</f>
        <v/>
      </c>
      <c r="G300" s="12" t="inlineStr">
        <is>
          <t>2013.07.30</t>
        </is>
      </c>
      <c r="H300" s="14" t="inlineStr">
        <is>
          <t>기부</t>
        </is>
      </c>
      <c r="I300" s="14" t="inlineStr">
        <is>
          <t>기부</t>
        </is>
      </c>
      <c r="J300" s="16" t="inlineStr">
        <is>
          <t>8973813897 9788973813896</t>
        </is>
      </c>
      <c r="K300" s="17" t="inlineStr">
        <is>
          <t>https://search1.kakaocdn.net/thumb/R120x174.q85/?fname=http%3A%2F%2Ft1.daumcdn.net%2Flbook%2Fimage%2F1027500%3Ftimestamp%3D20240410114145</t>
        </is>
      </c>
    </row>
    <row r="301" ht="16.5" customHeight="1" s="118">
      <c r="A301" s="9" t="n"/>
      <c r="B301" s="10" t="inlineStr">
        <is>
          <t>백야</t>
        </is>
      </c>
      <c r="C301" s="10" t="inlineStr">
        <is>
          <t>도스또예프스끼</t>
        </is>
      </c>
      <c r="D301" s="11" t="inlineStr">
        <is>
          <t>소담출판사</t>
        </is>
      </c>
      <c r="E301" s="12">
        <f>_xludf.IFS(COUNTIF(보류목록!$B$3:$B$1000, B301)&gt;0, "-",COUNTIF(독서목록!$C$2:$C$1099, B301)=0, , COUNTIF(독서목록!$C$2:$C$1099, B301)&gt;0, COUNTIF(독서목록!$C$2:$C$1099, B301))</f>
        <v/>
      </c>
      <c r="F301" s="12">
        <f>_xludf.IFS(COUNTIF(보류목록!$C$3:$C$1000, B301)&gt;0, "-",COUNTIF(독서목록!$D$2:$D$1099, B301)=0, , COUNTIF(독서목록!$D$2:$D$1099, B301)&gt;0, COUNTIF(독서목록!$D$2:$D$1099, B301))</f>
        <v/>
      </c>
      <c r="G301" s="12" t="inlineStr">
        <is>
          <t>2013.07.30</t>
        </is>
      </c>
      <c r="H301" s="14" t="inlineStr">
        <is>
          <t>기부</t>
        </is>
      </c>
      <c r="I301" s="14" t="inlineStr">
        <is>
          <t>기부</t>
        </is>
      </c>
      <c r="J301" s="16" t="inlineStr">
        <is>
          <t>8973818414 9788973818419</t>
        </is>
      </c>
      <c r="K301" s="17" t="inlineStr">
        <is>
          <t>https://search1.kakaocdn.net/thumb/R120x174.q85/?fname=http%3A%2F%2Ft1.daumcdn.net%2Flbook%2Fimage%2F1029076%3Ftimestamp%3D20251015110532</t>
        </is>
      </c>
    </row>
    <row r="302" ht="16.5" customHeight="1" s="118">
      <c r="A302" s="9" t="n"/>
      <c r="B302" s="10" t="inlineStr">
        <is>
          <t>톨스토이 단편선 - 2</t>
        </is>
      </c>
      <c r="C302" s="10" t="inlineStr">
        <is>
          <t>L.N. 톨스토이</t>
        </is>
      </c>
      <c r="D302" s="10" t="inlineStr">
        <is>
          <t>현대시문학</t>
        </is>
      </c>
      <c r="E302" s="12">
        <f>_xludf.IFS(COUNTIF(보류목록!$B$3:$B$1000, B302)&gt;0, "-",COUNTIF(독서목록!$C$2:$C$1099, B302)=0, , COUNTIF(독서목록!$C$2:$C$1099, B302)&gt;0, COUNTIF(독서목록!$C$2:$C$1099, B302))</f>
        <v/>
      </c>
      <c r="F302" s="12">
        <f>_xludf.IFS(COUNTIF(보류목록!$C$3:$C$1000, B302)&gt;0, "-",COUNTIF(독서목록!$D$2:$D$1099, B302)=0, , COUNTIF(독서목록!$D$2:$D$1099, B302)&gt;0, COUNTIF(독서목록!$D$2:$D$1099, B302))</f>
        <v/>
      </c>
      <c r="G302" s="12" t="inlineStr">
        <is>
          <t>2013.07.30</t>
        </is>
      </c>
      <c r="H302" s="14" t="inlineStr">
        <is>
          <t>기부</t>
        </is>
      </c>
      <c r="I302" s="14" t="inlineStr">
        <is>
          <t>기부</t>
        </is>
      </c>
      <c r="J302" s="16" t="inlineStr">
        <is>
          <t>9791185966397</t>
        </is>
      </c>
      <c r="K302" s="19" t="inlineStr">
        <is>
          <t>https://search1.kakaocdn.net/thumb/R120x174.q85/?fname=http%3A%2F%2Ft1.daumcdn.net%2Flbook%2Fimage%2F3712532</t>
        </is>
      </c>
    </row>
    <row r="303" ht="16.5" customHeight="1" s="118">
      <c r="A303" s="9" t="n"/>
      <c r="B303" s="10" t="inlineStr">
        <is>
          <t>나의 문화유산답사기 1</t>
        </is>
      </c>
      <c r="C303" s="10" t="inlineStr">
        <is>
          <t>유홍준</t>
        </is>
      </c>
      <c r="D303" s="10" t="inlineStr">
        <is>
          <t>창작과비평사</t>
        </is>
      </c>
      <c r="E303" s="12">
        <f>_xludf.IFS(COUNTIF(보류목록!$B$3:$B$1000, B303)&gt;0, "-",COUNTIF(독서목록!$C$2:$C$1099, B303)=0, , COUNTIF(독서목록!$C$2:$C$1099, B303)&gt;0, COUNTIF(독서목록!$C$2:$C$1099, B303))</f>
        <v/>
      </c>
      <c r="F303" s="12">
        <f>_xludf.IFS(COUNTIF(보류목록!$C$3:$C$1000, B303)&gt;0, "-",COUNTIF(독서목록!$D$2:$D$1099, B303)=0, , COUNTIF(독서목록!$D$2:$D$1099, B303)&gt;0, COUNTIF(독서목록!$D$2:$D$1099, B303))</f>
        <v/>
      </c>
      <c r="G303" s="12" t="inlineStr">
        <is>
          <t>2013.07.30</t>
        </is>
      </c>
      <c r="H303" s="14" t="n"/>
      <c r="I303" s="14" t="n"/>
      <c r="J303" s="16" t="inlineStr">
        <is>
          <t>8936470116 9788936470111</t>
        </is>
      </c>
      <c r="K303" s="17" t="inlineStr">
        <is>
          <t>https://search1.kakaocdn.net/thumb/R120x174.q85/?fname=http%3A%2F%2Ft1.daumcdn.net%2Flbook%2Fimage%2F534387%3Ftimestamp%3D20221025124310</t>
        </is>
      </c>
    </row>
    <row r="304" ht="16.5" customHeight="1" s="118">
      <c r="A304" s="9" t="n"/>
      <c r="B304" s="10" t="inlineStr">
        <is>
          <t>얼굴 빨개지는 아이</t>
        </is>
      </c>
      <c r="C304" s="10" t="inlineStr">
        <is>
          <t>장 자끄 상뻬</t>
        </is>
      </c>
      <c r="D304" s="10" t="inlineStr">
        <is>
          <t>열린책들</t>
        </is>
      </c>
      <c r="E304" s="12">
        <f>_xludf.IFS(COUNTIF(보류목록!$B$3:$B$1000, B304)&gt;0, "-",COUNTIF(독서목록!$C$2:$C$1099, B304)=0, , COUNTIF(독서목록!$C$2:$C$1099, B304)&gt;0, COUNTIF(독서목록!$C$2:$C$1099, B304))</f>
        <v/>
      </c>
      <c r="F304" s="12">
        <f>_xludf.IFS(COUNTIF(보류목록!$C$3:$C$1000, B304)&gt;0, "-",COUNTIF(독서목록!$D$2:$D$1099, B304)=0, , COUNTIF(독서목록!$D$2:$D$1099, B304)&gt;0, COUNTIF(독서목록!$D$2:$D$1099, B304))</f>
        <v/>
      </c>
      <c r="G304" s="12" t="inlineStr">
        <is>
          <t>2013.07.15</t>
        </is>
      </c>
      <c r="H304" s="14" t="inlineStr">
        <is>
          <t>기부</t>
        </is>
      </c>
      <c r="I304" s="14" t="inlineStr">
        <is>
          <t>기부</t>
        </is>
      </c>
      <c r="J304" s="16" t="inlineStr">
        <is>
          <t>8932902453 9788932902456</t>
        </is>
      </c>
      <c r="K304" s="19" t="inlineStr">
        <is>
          <t>https://search1.kakaocdn.net/thumb/R120x174.q85/?fname=http%3A%2F%2Ft1.daumcdn.net%2Flbook%2Fimage%2F505930%3Ftimestamp%3D20220601160716</t>
        </is>
      </c>
    </row>
    <row r="305" ht="16.5" customHeight="1" s="118">
      <c r="A305" s="9" t="n"/>
      <c r="B305" s="10" t="inlineStr">
        <is>
          <t>불안</t>
        </is>
      </c>
      <c r="C305" s="10" t="inlineStr">
        <is>
          <t>알랭 드 보통</t>
        </is>
      </c>
      <c r="D305" s="10" t="inlineStr">
        <is>
          <t>이레</t>
        </is>
      </c>
      <c r="E305" s="12">
        <f>_xludf.IFS(COUNTIF(보류목록!$B$3:$B$1000, B305)&gt;0, "-",COUNTIF(독서목록!$C$2:$C$1099, B305)=0, , COUNTIF(독서목록!$C$2:$C$1099, B305)&gt;0, COUNTIF(독서목록!$C$2:$C$1099, B305))</f>
        <v/>
      </c>
      <c r="F305" s="12">
        <f>_xludf.IFS(COUNTIF(보류목록!$C$3:$C$1000, B305)&gt;0, "-",COUNTIF(독서목록!$D$2:$D$1099, B305)=0, , COUNTIF(독서목록!$D$2:$D$1099, B305)&gt;0, COUNTIF(독서목록!$D$2:$D$1099, B305))</f>
        <v/>
      </c>
      <c r="G305" s="12" t="inlineStr">
        <is>
          <t>2013.07.15</t>
        </is>
      </c>
      <c r="H305" s="14" t="n"/>
      <c r="I305" s="14" t="n"/>
      <c r="J305" s="16" t="inlineStr">
        <is>
          <t>8957090541 9788957090541</t>
        </is>
      </c>
      <c r="K305" s="17" t="inlineStr">
        <is>
          <t>https://search1.kakaocdn.net/thumb/R120x174.q85/?fname=http%3A%2F%2Ft1.daumcdn.net%2Flbook%2Fimage%2F751147%3Ftimestamp%3D20221107225517</t>
        </is>
      </c>
    </row>
    <row r="306" ht="16.5" customHeight="1" s="118">
      <c r="A306" s="9" t="n"/>
      <c r="B306" s="10" t="inlineStr">
        <is>
          <t>앵무새 죽이기</t>
        </is>
      </c>
      <c r="C306" s="10" t="inlineStr">
        <is>
          <t>하퍼 리</t>
        </is>
      </c>
      <c r="D306" s="10" t="inlineStr">
        <is>
          <t>문예출판사</t>
        </is>
      </c>
      <c r="E306" s="12">
        <f>_xludf.IFS(COUNTIF(보류목록!$B$3:$B$1000, B306)&gt;0, "-",COUNTIF(독서목록!$C$2:$C$1099, B306)=0, , COUNTIF(독서목록!$C$2:$C$1099, B306)&gt;0, COUNTIF(독서목록!$C$2:$C$1099, B306))</f>
        <v/>
      </c>
      <c r="F306" s="12">
        <f>_xludf.IFS(COUNTIF(보류목록!$C$3:$C$1000, B306)&gt;0, "-",COUNTIF(독서목록!$D$2:$D$1099, B306)=0, , COUNTIF(독서목록!$D$2:$D$1099, B306)&gt;0, COUNTIF(독서목록!$D$2:$D$1099, B306))</f>
        <v/>
      </c>
      <c r="G306" s="12" t="inlineStr">
        <is>
          <t>2013.06.25</t>
        </is>
      </c>
      <c r="H306" s="14" t="inlineStr">
        <is>
          <t>기부</t>
        </is>
      </c>
      <c r="I306" s="14" t="inlineStr">
        <is>
          <t>기부</t>
        </is>
      </c>
      <c r="J306" s="16" t="inlineStr">
        <is>
          <t>8931001991 9788931001990</t>
        </is>
      </c>
      <c r="K306" s="17" t="inlineStr">
        <is>
          <t>https://search1.kakaocdn.net/thumb/R120x174.q85/?fname=http%3A%2F%2Ft1.daumcdn.net%2Flbook%2Fimage%2F477196%3Ftimestamp%3D20230219140949</t>
        </is>
      </c>
    </row>
    <row r="307" ht="16.5" customHeight="1" s="118">
      <c r="A307" s="9" t="n"/>
      <c r="B307" s="10" t="inlineStr">
        <is>
          <t>호밀밭의 파수꾼</t>
        </is>
      </c>
      <c r="C307" s="10" t="inlineStr">
        <is>
          <t>J.D. 샐린저</t>
        </is>
      </c>
      <c r="D307" s="10" t="inlineStr">
        <is>
          <t>민음사</t>
        </is>
      </c>
      <c r="E307" s="12">
        <f>_xludf.IFS(COUNTIF(보류목록!$B$3:$B$1000, B307)&gt;0, "-",COUNTIF(독서목록!$C$2:$C$1099, B307)=0, , COUNTIF(독서목록!$C$2:$C$1099, B307)&gt;0, COUNTIF(독서목록!$C$2:$C$1099, B307))</f>
        <v/>
      </c>
      <c r="F307" s="12">
        <f>_xludf.IFS(COUNTIF(보류목록!$C$3:$C$1000, B307)&gt;0, "-",COUNTIF(독서목록!$D$2:$D$1099, B307)=0, , COUNTIF(독서목록!$D$2:$D$1099, B307)&gt;0, COUNTIF(독서목록!$D$2:$D$1099, B307))</f>
        <v/>
      </c>
      <c r="G307" s="12" t="inlineStr">
        <is>
          <t>2013.06.25</t>
        </is>
      </c>
      <c r="H307" s="14" t="n"/>
      <c r="I307" s="14" t="n"/>
      <c r="J307" s="16" t="inlineStr">
        <is>
          <t>8937439921 9788937439926</t>
        </is>
      </c>
      <c r="K307" s="17" t="inlineStr">
        <is>
          <t>https://search1.kakaocdn.net/thumb/R120x174.q85/?fname=http%3A%2F%2Ft1.daumcdn.net%2Flbook%2Fimage%2F4982792%3Ftimestamp%3D20251029125254</t>
        </is>
      </c>
    </row>
    <row r="308" ht="16.5" customHeight="1" s="118">
      <c r="A308" s="9" t="n"/>
      <c r="B308" s="10" t="inlineStr">
        <is>
          <t>게르만 신화와 전설</t>
        </is>
      </c>
      <c r="C308" s="10" t="inlineStr">
        <is>
          <t>라이너 테츠너</t>
        </is>
      </c>
      <c r="D308" s="10" t="inlineStr">
        <is>
          <t>범우사</t>
        </is>
      </c>
      <c r="E308" s="12">
        <f>_xludf.IFS(COUNTIF(보류목록!$B$3:$B$1000, B308)&gt;0, "-",COUNTIF(독서목록!$C$2:$C$1099, B308)=0, , COUNTIF(독서목록!$C$2:$C$1099, B308)&gt;0, COUNTIF(독서목록!$C$2:$C$1099, B308))</f>
        <v/>
      </c>
      <c r="F308" s="12">
        <f>_xludf.IFS(COUNTIF(보류목록!$C$3:$C$1000, B308)&gt;0, "-",COUNTIF(독서목록!$D$2:$D$1099, B308)=0, , COUNTIF(독서목록!$D$2:$D$1099, B308)&gt;0, COUNTIF(독서목록!$D$2:$D$1099, B308))</f>
        <v/>
      </c>
      <c r="G308" s="12" t="inlineStr">
        <is>
          <t>2013.06.25</t>
        </is>
      </c>
      <c r="H308" s="14" t="n"/>
      <c r="I308" s="14" t="n"/>
      <c r="J308" s="16" t="inlineStr">
        <is>
          <t>8908042024 9788908042025</t>
        </is>
      </c>
      <c r="K308" s="17" t="inlineStr">
        <is>
          <t>https://search1.kakaocdn.net/thumb/R120x174.q85/?fname=http%3A%2F%2Ft1.daumcdn.net%2Flbook%2Fimage%2F363476%3Ftimestamp%3D20240803112710</t>
        </is>
      </c>
    </row>
    <row r="309" ht="16.5" customHeight="1" s="118">
      <c r="A309" s="9" t="n"/>
      <c r="B309" s="10" t="inlineStr">
        <is>
          <t>이집트 신화</t>
        </is>
      </c>
      <c r="C309" s="10" t="inlineStr">
        <is>
          <t>베로니카 이온스</t>
        </is>
      </c>
      <c r="D309" s="10" t="inlineStr">
        <is>
          <t>범우사</t>
        </is>
      </c>
      <c r="E309" s="12">
        <f>_xludf.IFS(COUNTIF(보류목록!$B$3:$B$1000, B309)&gt;0, "-",COUNTIF(독서목록!$C$2:$C$1099, B309)=0, , COUNTIF(독서목록!$C$2:$C$1099, B309)&gt;0, COUNTIF(독서목록!$C$2:$C$1099, B309))</f>
        <v/>
      </c>
      <c r="F309" s="12">
        <f>_xludf.IFS(COUNTIF(보류목록!$C$3:$C$1000, B309)&gt;0, "-",COUNTIF(독서목록!$D$2:$D$1099, B309)=0, , COUNTIF(독서목록!$D$2:$D$1099, B309)&gt;0, COUNTIF(독서목록!$D$2:$D$1099, B309))</f>
        <v/>
      </c>
      <c r="G309" s="12" t="inlineStr">
        <is>
          <t>2013.02.12</t>
        </is>
      </c>
      <c r="H309" s="14" t="n"/>
      <c r="I309" s="14" t="n"/>
      <c r="J309" s="16" t="inlineStr">
        <is>
          <t>8908042040 9788908042049</t>
        </is>
      </c>
      <c r="K309" s="17" t="inlineStr">
        <is>
          <t>https://search1.kakaocdn.net/thumb/R120x174.q85/?fname=http%3A%2F%2Ft1.daumcdn.net%2Flbook%2Fimage%2F363480%3Ftimestamp%3D20241114114053</t>
        </is>
      </c>
    </row>
    <row r="310" ht="16.5" customHeight="1" s="118">
      <c r="A310" s="9" t="n"/>
      <c r="B310" s="10" t="inlineStr">
        <is>
          <t>왜 나는 너를 사랑하는가</t>
        </is>
      </c>
      <c r="C310" s="10" t="inlineStr">
        <is>
          <t>알랭드 보통</t>
        </is>
      </c>
      <c r="D310" s="10" t="inlineStr">
        <is>
          <t>청미래</t>
        </is>
      </c>
      <c r="E310" s="12">
        <f>_xludf.IFS(COUNTIF(보류목록!$B$3:$B$1000, B310)&gt;0, "-",COUNTIF(독서목록!$C$2:$C$1099, B310)=0, , COUNTIF(독서목록!$C$2:$C$1099, B310)&gt;0, COUNTIF(독서목록!$C$2:$C$1099, B310))</f>
        <v/>
      </c>
      <c r="F310" s="12">
        <f>_xludf.IFS(COUNTIF(보류목록!$C$3:$C$1000, B310)&gt;0, "-",COUNTIF(독서목록!$D$2:$D$1099, B310)=0, , COUNTIF(독서목록!$D$2:$D$1099, B310)&gt;0, COUNTIF(독서목록!$D$2:$D$1099, B310))</f>
        <v/>
      </c>
      <c r="G310" s="12" t="inlineStr">
        <is>
          <t>2013.02.12</t>
        </is>
      </c>
      <c r="H310" s="14" t="n"/>
      <c r="I310" s="14" t="n"/>
      <c r="J310" s="16" t="inlineStr">
        <is>
          <t>8986836831 9788986836837</t>
        </is>
      </c>
      <c r="K310" s="17" t="inlineStr">
        <is>
          <t>https://search1.kakaocdn.net/thumb/R120x174.q85/?fname=http%3A%2F%2Ft1.daumcdn.net%2Flbook%2Fimage%2F6216322%3Ftimestamp%3D20260204152453</t>
        </is>
      </c>
    </row>
    <row r="311" ht="16.5" customHeight="1" s="118">
      <c r="A311" s="9" t="n"/>
      <c r="B311" s="10" t="inlineStr">
        <is>
          <t>데미안</t>
        </is>
      </c>
      <c r="C311" s="10" t="inlineStr">
        <is>
          <t>헤르만 헤세</t>
        </is>
      </c>
      <c r="D311" s="10" t="inlineStr">
        <is>
          <t>민음사</t>
        </is>
      </c>
      <c r="E311" s="12">
        <f>_xludf.IFS(COUNTIF(보류목록!$B$3:$B$1000, B311)&gt;0, "-",COUNTIF(독서목록!$C$2:$C$1099, B311)=0, , COUNTIF(독서목록!$C$2:$C$1099, B311)&gt;0, COUNTIF(독서목록!$C$2:$C$1099, B311))</f>
        <v/>
      </c>
      <c r="F311" s="12">
        <f>_xludf.IFS(COUNTIF(보류목록!$C$3:$C$1000, B311)&gt;0, "-",COUNTIF(독서목록!$D$2:$D$1099, B311)=0, , COUNTIF(독서목록!$D$2:$D$1099, B311)&gt;0, COUNTIF(독서목록!$D$2:$D$1099, B311))</f>
        <v/>
      </c>
      <c r="G311" s="12" t="inlineStr">
        <is>
          <t>2013.02.12</t>
        </is>
      </c>
      <c r="H311" s="14" t="n"/>
      <c r="I311" s="14" t="n"/>
      <c r="J311" s="16" t="inlineStr">
        <is>
          <t>8937460440 9788937460449</t>
        </is>
      </c>
      <c r="K311" s="17" t="inlineStr">
        <is>
          <t>https://search1.kakaocdn.net/thumb/R120x174.q85/?fname=http%3A%2F%2Ft1.daumcdn.net%2Flbook%2Fimage%2F540810%3Ftimestamp%3D20251204110719</t>
        </is>
      </c>
    </row>
    <row r="312" ht="16.5" customHeight="1" s="118">
      <c r="A312" s="9" t="n"/>
      <c r="B312" s="10" t="inlineStr">
        <is>
          <t>할아버지가 꼭 보여주고 싶은 서양명화 101</t>
        </is>
      </c>
      <c r="C312" s="10" t="inlineStr">
        <is>
          <t>김필규</t>
        </is>
      </c>
      <c r="D312" s="10" t="inlineStr">
        <is>
          <t>마로니에북스</t>
        </is>
      </c>
      <c r="E312" s="12">
        <f>_xludf.IFS(COUNTIF(보류목록!$B$3:$B$1000, B312)&gt;0, "-",COUNTIF(독서목록!$C$2:$C$1099, B312)=0, , COUNTIF(독서목록!$C$2:$C$1099, B312)&gt;0, COUNTIF(독서목록!$C$2:$C$1099, B312))</f>
        <v/>
      </c>
      <c r="F312" s="12">
        <f>_xludf.IFS(COUNTIF(보류목록!$C$3:$C$1000, B312)&gt;0, "-",COUNTIF(독서목록!$D$2:$D$1099, B312)=0, , COUNTIF(독서목록!$D$2:$D$1099, B312)&gt;0, COUNTIF(독서목록!$D$2:$D$1099, B312))</f>
        <v/>
      </c>
      <c r="G312" s="12" t="inlineStr">
        <is>
          <t>2012.10.29</t>
        </is>
      </c>
      <c r="H312" s="14" t="inlineStr">
        <is>
          <t>기부</t>
        </is>
      </c>
      <c r="I312" s="14" t="inlineStr">
        <is>
          <t>기부</t>
        </is>
      </c>
      <c r="J312" s="16" t="inlineStr">
        <is>
          <t>8960532339 9788960532335</t>
        </is>
      </c>
      <c r="K312" s="17" t="inlineStr">
        <is>
          <t>https://search1.kakaocdn.net/thumb/R120x174.q85/?fname=http%3A%2F%2Ft1.daumcdn.net%2Flbook%2Fimage%2F832380%3Ftimestamp%3D20260320110648</t>
        </is>
      </c>
    </row>
    <row r="313" ht="16.5" customHeight="1" s="118">
      <c r="A313" s="9" t="n"/>
      <c r="B313" s="10" t="inlineStr">
        <is>
          <t>순간의 꽃</t>
        </is>
      </c>
      <c r="C313" s="10" t="inlineStr">
        <is>
          <t>고은</t>
        </is>
      </c>
      <c r="D313" s="10" t="inlineStr">
        <is>
          <t>문학동네</t>
        </is>
      </c>
      <c r="E313" s="12">
        <f>_xludf.IFS(COUNTIF(보류목록!$B$3:$B$1000, B313)&gt;0, "-",COUNTIF(독서목록!$C$2:$C$1099, B313)=0, , COUNTIF(독서목록!$C$2:$C$1099, B313)&gt;0, COUNTIF(독서목록!$C$2:$C$1099, B313))</f>
        <v/>
      </c>
      <c r="F313" s="12">
        <f>_xludf.IFS(COUNTIF(보류목록!$C$3:$C$1000, B313)&gt;0, "-",COUNTIF(독서목록!$D$2:$D$1099, B313)=0, , COUNTIF(독서목록!$D$2:$D$1099, B313)&gt;0, COUNTIF(독서목록!$D$2:$D$1099, B313))</f>
        <v/>
      </c>
      <c r="G313" s="12" t="inlineStr">
        <is>
          <t>2012.10.29</t>
        </is>
      </c>
      <c r="H313" s="14" t="n"/>
      <c r="I313" s="14" t="n"/>
      <c r="J313" s="16" t="inlineStr">
        <is>
          <t>8982813845 9788982813849</t>
        </is>
      </c>
      <c r="K313" s="17" t="inlineStr">
        <is>
          <t>https://search1.kakaocdn.net/thumb/R120x174.q85/?fname=http%3A%2F%2Ft1.daumcdn.net%2Flbook%2Fimage%2F1159204%3Ftimestamp%3D20231101180631</t>
        </is>
      </c>
    </row>
    <row r="314" ht="16.5" customHeight="1" s="118">
      <c r="A314" s="9" t="n"/>
      <c r="B314" s="10" t="inlineStr">
        <is>
          <t>리딩노트</t>
        </is>
      </c>
      <c r="C314" s="10" t="inlineStr">
        <is>
          <t>존 발도니</t>
        </is>
      </c>
      <c r="D314" s="10" t="n">
        <v>8</v>
      </c>
      <c r="E314" s="12">
        <f>_xludf.IFS(COUNTIF(보류목록!$B$3:$B$1000, B314)&gt;0, "-",COUNTIF(독서목록!$C$2:$C$1099, B314)=0, , COUNTIF(독서목록!$C$2:$C$1099, B314)&gt;0, COUNTIF(독서목록!$C$2:$C$1099, B314))</f>
        <v/>
      </c>
      <c r="F314" s="12">
        <f>_xludf.IFS(COUNTIF(보류목록!$C$3:$C$1000, B314)&gt;0, "-",COUNTIF(독서목록!$D$2:$D$1099, B314)=0, , COUNTIF(독서목록!$D$2:$D$1099, B314)&gt;0, COUNTIF(독서목록!$D$2:$D$1099, B314))</f>
        <v/>
      </c>
      <c r="G314" s="12" t="inlineStr">
        <is>
          <t>2012.10.29</t>
        </is>
      </c>
      <c r="H314" s="14" t="n"/>
      <c r="I314" s="14" t="n"/>
      <c r="J314" s="16" t="inlineStr">
        <is>
          <t>8933870148 9788933870143</t>
        </is>
      </c>
      <c r="K314" s="17" t="inlineStr">
        <is>
          <t>https://search1.kakaocdn.net/thumb/R120x174.q85/?fname=http%3A%2F%2Ft1.daumcdn.net%2Flbook%2Fimage%2F513427%3Ftimestamp%3D20220930205854</t>
        </is>
      </c>
    </row>
    <row r="315" ht="16.5" customHeight="1" s="118">
      <c r="A315" s="9" t="n"/>
      <c r="B315" s="10" t="inlineStr">
        <is>
          <t>멈추면 비로소 보이는 것들</t>
        </is>
      </c>
      <c r="C315" s="10" t="inlineStr">
        <is>
          <t>혜민</t>
        </is>
      </c>
      <c r="D315" s="10" t="inlineStr">
        <is>
          <t>쌤앤파커스</t>
        </is>
      </c>
      <c r="E315" s="12">
        <f>_xludf.IFS(COUNTIF(보류목록!$B$3:$B$1000, B315)&gt;0, "-",COUNTIF(독서목록!$C$2:$C$1099, B315)=0, , COUNTIF(독서목록!$C$2:$C$1099, B315)&gt;0, COUNTIF(독서목록!$C$2:$C$1099, B315))</f>
        <v/>
      </c>
      <c r="F315" s="12">
        <f>_xludf.IFS(COUNTIF(보류목록!$C$3:$C$1000, B315)&gt;0, "-",COUNTIF(독서목록!$D$2:$D$1099, B315)=0, , COUNTIF(독서목록!$D$2:$D$1099, B315)&gt;0, COUNTIF(독서목록!$D$2:$D$1099, B315))</f>
        <v/>
      </c>
      <c r="G315" s="12" t="inlineStr">
        <is>
          <t>2012.10.18</t>
        </is>
      </c>
      <c r="H315" s="14" t="inlineStr">
        <is>
          <t>기부</t>
        </is>
      </c>
      <c r="I315" s="14" t="inlineStr">
        <is>
          <t>기부</t>
        </is>
      </c>
      <c r="J315" s="16" t="inlineStr">
        <is>
          <t>8965700604 9788965700609</t>
        </is>
      </c>
      <c r="K315" s="19" t="inlineStr">
        <is>
          <t>https://search1.kakaocdn.net/thumb/R120x174.q85/?fname=http%3A%2F%2Ft1.daumcdn.net%2Flbook%2Fimage%2F917275%3Ftimestamp%3D20221107233130</t>
        </is>
      </c>
    </row>
    <row r="316" ht="16.5" customHeight="1" s="118">
      <c r="A316" s="9" t="n"/>
      <c r="B316" s="10" t="inlineStr">
        <is>
          <t>참을수 없는 존재의 가벼움</t>
        </is>
      </c>
      <c r="C316" s="10" t="inlineStr">
        <is>
          <t>밀란 쿤데라</t>
        </is>
      </c>
      <c r="D316" s="10" t="inlineStr">
        <is>
          <t>민음사</t>
        </is>
      </c>
      <c r="E316" s="12">
        <f>_xludf.IFS(COUNTIF(보류목록!$B$3:$B$1000, B316)&gt;0, "-",COUNTIF(독서목록!$C$2:$C$1099, B316)=0, , COUNTIF(독서목록!$C$2:$C$1099, B316)&gt;0, COUNTIF(독서목록!$C$2:$C$1099, B316))</f>
        <v/>
      </c>
      <c r="F316" s="12">
        <f>_xludf.IFS(COUNTIF(보류목록!$C$3:$C$1000, B316)&gt;0, "-",COUNTIF(독서목록!$D$2:$D$1099, B316)=0, , COUNTIF(독서목록!$D$2:$D$1099, B316)&gt;0, COUNTIF(독서목록!$D$2:$D$1099, B316))</f>
        <v/>
      </c>
      <c r="G316" s="12" t="inlineStr">
        <is>
          <t>2012.08.24</t>
        </is>
      </c>
      <c r="H316" s="14" t="n"/>
      <c r="I316" s="14" t="n"/>
      <c r="J316" s="16" t="inlineStr">
        <is>
          <t>8937437562 9788937437564</t>
        </is>
      </c>
      <c r="K316" s="17" t="inlineStr">
        <is>
          <t>https://search1.kakaocdn.net/thumb/R120x174.q85/?fname=http%3A%2F%2Ft1.daumcdn.net%2Flbook%2Fimage%2F540501%3Ftimestamp%3D20250529113035</t>
        </is>
      </c>
    </row>
    <row r="317" ht="16.5" customHeight="1" s="118">
      <c r="A317" s="9" t="n"/>
      <c r="B317" s="10" t="inlineStr">
        <is>
          <t>구글을 지탱하는 기술</t>
        </is>
      </c>
      <c r="C317" s="10" t="inlineStr">
        <is>
          <t>니시다케이스케</t>
        </is>
      </c>
      <c r="D317" s="10" t="inlineStr">
        <is>
          <t>멘토르</t>
        </is>
      </c>
      <c r="E317" s="12">
        <f>_xludf.IFS(COUNTIF(보류목록!$B$3:$B$1000, B317)&gt;0, "-",COUNTIF(독서목록!$C$2:$C$1099, B317)=0, , COUNTIF(독서목록!$C$2:$C$1099, B317)&gt;0, COUNTIF(독서목록!$C$2:$C$1099, B317))</f>
        <v/>
      </c>
      <c r="F317" s="12">
        <f>_xludf.IFS(COUNTIF(보류목록!$C$3:$C$1000, B317)&gt;0, "-",COUNTIF(독서목록!$D$2:$D$1099, B317)=0, , COUNTIF(독서목록!$D$2:$D$1099, B317)&gt;0, COUNTIF(독서목록!$D$2:$D$1099, B317))</f>
        <v/>
      </c>
      <c r="G317" s="12" t="inlineStr">
        <is>
          <t>2012.08.24</t>
        </is>
      </c>
      <c r="H317" s="14" t="inlineStr">
        <is>
          <t>기부</t>
        </is>
      </c>
      <c r="I317" s="14" t="inlineStr">
        <is>
          <t>기부</t>
        </is>
      </c>
      <c r="J317" s="16" t="inlineStr">
        <is>
          <t>8963050041 9788963050041</t>
        </is>
      </c>
      <c r="K317" s="17" t="inlineStr">
        <is>
          <t>https://search1.kakaocdn.net/thumb/R120x174.q85/?fname=http%3A%2F%2Ft1.daumcdn.net%2Flbook%2Fimage%2F879111%3Ftimestamp%3D20220925174533</t>
        </is>
      </c>
    </row>
    <row r="318" ht="16.5" customHeight="1" s="118">
      <c r="A318" s="9" t="n"/>
      <c r="B318" s="10" t="inlineStr">
        <is>
          <t>서양 미술사</t>
        </is>
      </c>
      <c r="C318" s="10" t="inlineStr">
        <is>
          <t>곰브리치</t>
        </is>
      </c>
      <c r="D318" s="10" t="inlineStr">
        <is>
          <t>예경</t>
        </is>
      </c>
      <c r="E318" s="12">
        <f>_xludf.IFS(COUNTIF(보류목록!$B$3:$B$1000, B318)&gt;0, "-",COUNTIF(독서목록!$C$2:$C$1099, B318)=0, , COUNTIF(독서목록!$C$2:$C$1099, B318)&gt;0, COUNTIF(독서목록!$C$2:$C$1099, B318))</f>
        <v/>
      </c>
      <c r="F318" s="12">
        <f>_xludf.IFS(COUNTIF(보류목록!$C$3:$C$1000, B318)&gt;0, "-",COUNTIF(독서목록!$D$2:$D$1099, B318)=0, , COUNTIF(독서목록!$D$2:$D$1099, B318)&gt;0, COUNTIF(독서목록!$D$2:$D$1099, B318))</f>
        <v/>
      </c>
      <c r="G318" s="12" t="inlineStr">
        <is>
          <t>2012.08.09</t>
        </is>
      </c>
      <c r="H318" s="14" t="inlineStr">
        <is>
          <t>기부</t>
        </is>
      </c>
      <c r="I318" s="14" t="inlineStr">
        <is>
          <t>기부</t>
        </is>
      </c>
      <c r="J318" s="16" t="inlineStr">
        <is>
          <t>1197828508 9791197828508</t>
        </is>
      </c>
      <c r="K318" s="17" t="inlineStr">
        <is>
          <t>https://search1.kakaocdn.net/thumb/R120x174.q85/?fname=http%3A%2F%2Ft1.daumcdn.net%2Flbook%2Fimage%2F6111738%3Ftimestamp%3D20260410121242</t>
        </is>
      </c>
    </row>
    <row r="319" ht="16.5" customHeight="1" s="118">
      <c r="A319" s="9" t="n"/>
      <c r="B319" s="10" t="inlineStr">
        <is>
          <t>안나 카레니나3</t>
        </is>
      </c>
      <c r="C319" s="10" t="inlineStr">
        <is>
          <t>레프 톨스토이</t>
        </is>
      </c>
      <c r="D319" s="10" t="inlineStr">
        <is>
          <t>문학동네</t>
        </is>
      </c>
      <c r="E319" s="12">
        <f>_xludf.IFS(COUNTIF(보류목록!$B$3:$B$1000, B319)&gt;0, "-",COUNTIF(독서목록!$C$2:$C$1099, B319)=0, , COUNTIF(독서목록!$C$2:$C$1099, B319)&gt;0, COUNTIF(독서목록!$C$2:$C$1099, B319))</f>
        <v/>
      </c>
      <c r="F319" s="12">
        <f>_xludf.IFS(COUNTIF(보류목록!$C$3:$C$1000, B319)&gt;0, "-",COUNTIF(독서목록!$D$2:$D$1099, B319)=0, , COUNTIF(독서목록!$D$2:$D$1099, B319)&gt;0, COUNTIF(독서목록!$D$2:$D$1099, B319))</f>
        <v/>
      </c>
      <c r="G319" s="12" t="inlineStr">
        <is>
          <t>2012.08.09</t>
        </is>
      </c>
      <c r="H319" s="14" t="inlineStr">
        <is>
          <t>기부</t>
        </is>
      </c>
      <c r="I319" s="14" t="inlineStr">
        <is>
          <t>기부</t>
        </is>
      </c>
      <c r="J319" s="16" t="inlineStr">
        <is>
          <t>895460904X 9788954609043</t>
        </is>
      </c>
      <c r="K319" s="17" t="inlineStr">
        <is>
          <t>https://search1.kakaocdn.net/thumb/R120x174.q85/?fname=http%3A%2F%2Ft1.daumcdn.net%2Flbook%2Fimage%2F690307%3Ftimestamp%3D20230817182946</t>
        </is>
      </c>
    </row>
    <row r="320" ht="16.5" customHeight="1" s="118">
      <c r="A320" s="9" t="n"/>
      <c r="B320" s="10" t="inlineStr">
        <is>
          <t>안나 카레니나2</t>
        </is>
      </c>
      <c r="C320" s="10" t="inlineStr">
        <is>
          <t>레프 톨스토이</t>
        </is>
      </c>
      <c r="D320" s="10" t="inlineStr">
        <is>
          <t>문학동네</t>
        </is>
      </c>
      <c r="E320" s="12">
        <f>_xludf.IFS(COUNTIF(보류목록!$B$3:$B$1000, B320)&gt;0, "-",COUNTIF(독서목록!$C$2:$C$1099, B320)=0, , COUNTIF(독서목록!$C$2:$C$1099, B320)&gt;0, COUNTIF(독서목록!$C$2:$C$1099, B320))</f>
        <v/>
      </c>
      <c r="F320" s="12">
        <f>_xludf.IFS(COUNTIF(보류목록!$C$3:$C$1000, B320)&gt;0, "-",COUNTIF(독서목록!$D$2:$D$1099, B320)=0, , COUNTIF(독서목록!$D$2:$D$1099, B320)&gt;0, COUNTIF(독서목록!$D$2:$D$1099, B320))</f>
        <v/>
      </c>
      <c r="G320" s="12" t="inlineStr">
        <is>
          <t>2012.08.09</t>
        </is>
      </c>
      <c r="H320" s="14" t="inlineStr">
        <is>
          <t>기부</t>
        </is>
      </c>
      <c r="I320" s="14" t="inlineStr">
        <is>
          <t>기부</t>
        </is>
      </c>
      <c r="J320" s="16" t="inlineStr">
        <is>
          <t>8954609031 9788954609036</t>
        </is>
      </c>
      <c r="K320" s="17" t="inlineStr">
        <is>
          <t>https://search1.kakaocdn.net/thumb/R120x174.q85/?fname=http%3A%2F%2Ft1.daumcdn.net%2Flbook%2Fimage%2F690191%3Ftimestamp%3D20260108111110</t>
        </is>
      </c>
    </row>
    <row r="321" ht="16.5" customHeight="1" s="118">
      <c r="A321" s="9" t="n"/>
      <c r="B321" s="10" t="inlineStr">
        <is>
          <t>안나 카레니나1</t>
        </is>
      </c>
      <c r="C321" s="10" t="inlineStr">
        <is>
          <t>레프 톨스토이</t>
        </is>
      </c>
      <c r="D321" s="10" t="inlineStr">
        <is>
          <t>문학동네</t>
        </is>
      </c>
      <c r="E321" s="12">
        <f>_xludf.IFS(COUNTIF(보류목록!$B$3:$B$1000, B321)&gt;0, "-",COUNTIF(독서목록!$C$2:$C$1099, B321)=0, , COUNTIF(독서목록!$C$2:$C$1099, B321)&gt;0, COUNTIF(독서목록!$C$2:$C$1099, B321))</f>
        <v/>
      </c>
      <c r="F321" s="12">
        <f>_xludf.IFS(COUNTIF(보류목록!$C$3:$C$1000, B321)&gt;0, "-",COUNTIF(독서목록!$D$2:$D$1099, B321)=0, , COUNTIF(독서목록!$D$2:$D$1099, B321)&gt;0, COUNTIF(독서목록!$D$2:$D$1099, B321))</f>
        <v/>
      </c>
      <c r="G321" s="12" t="inlineStr">
        <is>
          <t>2012.08.09</t>
        </is>
      </c>
      <c r="H321" s="14" t="inlineStr">
        <is>
          <t>기부</t>
        </is>
      </c>
      <c r="I321" s="14" t="inlineStr">
        <is>
          <t>기부</t>
        </is>
      </c>
      <c r="J321" s="16" t="inlineStr">
        <is>
          <t>8954610315 9788954610315</t>
        </is>
      </c>
      <c r="K321" s="17" t="inlineStr">
        <is>
          <t>https://search1.kakaocdn.net/thumb/R120x174.q85/?fname=http%3A%2F%2Ft1.daumcdn.net%2Flbook%2Fimage%2F690439%3Ftimestamp%3D20220210200743</t>
        </is>
      </c>
    </row>
    <row r="322" ht="16.5" customHeight="1" s="118">
      <c r="A322" s="9" t="n"/>
      <c r="B322" s="10" t="inlineStr">
        <is>
          <t>변신이야기2</t>
        </is>
      </c>
      <c r="C322" s="10" t="inlineStr">
        <is>
          <t>오비디우스</t>
        </is>
      </c>
      <c r="D322" s="10" t="inlineStr">
        <is>
          <t>민음사</t>
        </is>
      </c>
      <c r="E322" s="12">
        <f>_xludf.IFS(COUNTIF(보류목록!$B$3:$B$1000, B322)&gt;0, "-",COUNTIF(독서목록!$C$2:$C$1099, B322)=0, , COUNTIF(독서목록!$C$2:$C$1099, B322)&gt;0, COUNTIF(독서목록!$C$2:$C$1099, B322))</f>
        <v/>
      </c>
      <c r="F322" s="12">
        <f>_xludf.IFS(COUNTIF(보류목록!$C$3:$C$1000, B322)&gt;0, "-",COUNTIF(독서목록!$D$2:$D$1099, B322)=0, , COUNTIF(독서목록!$D$2:$D$1099, B322)&gt;0, COUNTIF(독서목록!$D$2:$D$1099, B322))</f>
        <v/>
      </c>
      <c r="G322" s="12" t="inlineStr">
        <is>
          <t>2012.08.09</t>
        </is>
      </c>
      <c r="H322" s="14" t="inlineStr">
        <is>
          <t>기부</t>
        </is>
      </c>
      <c r="I322" s="14" t="inlineStr">
        <is>
          <t>기부</t>
        </is>
      </c>
      <c r="J322" s="16" t="inlineStr">
        <is>
          <t>8937460025 9788937460029</t>
        </is>
      </c>
      <c r="K322" s="17" t="inlineStr">
        <is>
          <t>https://search1.kakaocdn.net/thumb/R120x174.q85/?fname=http%3A%2F%2Ft1.daumcdn.net%2Flbook%2Fimage%2F540768%3Ftimestamp%3D20260131110746</t>
        </is>
      </c>
    </row>
    <row r="323" ht="16.5" customHeight="1" s="118">
      <c r="A323" s="9" t="n"/>
      <c r="B323" s="10" t="inlineStr">
        <is>
          <t>변신이야기1</t>
        </is>
      </c>
      <c r="C323" s="10" t="inlineStr">
        <is>
          <t>오비디우스</t>
        </is>
      </c>
      <c r="D323" s="10" t="inlineStr">
        <is>
          <t>민음사</t>
        </is>
      </c>
      <c r="E323" s="12">
        <f>_xludf.IFS(COUNTIF(보류목록!$B$3:$B$1000, B323)&gt;0, "-",COUNTIF(독서목록!$C$2:$C$1099, B323)=0, , COUNTIF(독서목록!$C$2:$C$1099, B323)&gt;0, COUNTIF(독서목록!$C$2:$C$1099, B323))</f>
        <v/>
      </c>
      <c r="F323" s="12">
        <f>_xludf.IFS(COUNTIF(보류목록!$C$3:$C$1000, B323)&gt;0, "-",COUNTIF(독서목록!$D$2:$D$1099, B323)=0, , COUNTIF(독서목록!$D$2:$D$1099, B323)&gt;0, COUNTIF(독서목록!$D$2:$D$1099, B323))</f>
        <v/>
      </c>
      <c r="G323" s="12" t="inlineStr">
        <is>
          <t>2012.08.09</t>
        </is>
      </c>
      <c r="H323" s="14" t="inlineStr">
        <is>
          <t>기부</t>
        </is>
      </c>
      <c r="I323" s="14" t="inlineStr">
        <is>
          <t>기부</t>
        </is>
      </c>
      <c r="J323" s="16" t="inlineStr">
        <is>
          <t>8937460017 9788937460012</t>
        </is>
      </c>
      <c r="K323" s="17" t="inlineStr">
        <is>
          <t>https://search1.kakaocdn.net/thumb/R120x174.q85/?fname=http%3A%2F%2Ft1.daumcdn.net%2Flbook%2Fimage%2F540767%3Ftimestamp%3D20260128110931</t>
        </is>
      </c>
    </row>
    <row r="324" ht="16.5" customHeight="1" s="118">
      <c r="A324" s="9" t="n"/>
      <c r="B324" s="10" t="inlineStr">
        <is>
          <t>그리스인 조르바</t>
        </is>
      </c>
      <c r="C324" s="10" t="inlineStr">
        <is>
          <t xml:space="preserve">니코스 카잔차키스 </t>
        </is>
      </c>
      <c r="D324" s="10" t="inlineStr">
        <is>
          <t>열린책들</t>
        </is>
      </c>
      <c r="E324" s="12">
        <f>_xludf.IFS(COUNTIF(보류목록!$B$3:$B$1000, B324)&gt;0, "-",COUNTIF(독서목록!$C$2:$C$1099, B324)=0, , COUNTIF(독서목록!$C$2:$C$1099, B324)&gt;0, COUNTIF(독서목록!$C$2:$C$1099, B324))</f>
        <v/>
      </c>
      <c r="F324" s="12">
        <f>_xludf.IFS(COUNTIF(보류목록!$C$3:$C$1000, B324)&gt;0, "-",COUNTIF(독서목록!$D$2:$D$1099, B324)=0, , COUNTIF(독서목록!$D$2:$D$1099, B324)&gt;0, COUNTIF(독서목록!$D$2:$D$1099, B324))</f>
        <v/>
      </c>
      <c r="G324" s="12" t="inlineStr">
        <is>
          <t>2012.06.03</t>
        </is>
      </c>
      <c r="H324" s="14" t="inlineStr">
        <is>
          <t>기부</t>
        </is>
      </c>
      <c r="I324" s="14" t="inlineStr">
        <is>
          <t>기부</t>
        </is>
      </c>
      <c r="J324" s="16" t="inlineStr">
        <is>
          <t>8932909342 9788932909349</t>
        </is>
      </c>
      <c r="K324" s="17" t="inlineStr">
        <is>
          <t>https://search1.kakaocdn.net/thumb/R120x174.q85/?fname=http%3A%2F%2Ft1.daumcdn.net%2Flbook%2Fimage%2F507004%3Ftimestamp%3D20231007144616</t>
        </is>
      </c>
    </row>
    <row r="325" ht="16.5" customHeight="1" s="118">
      <c r="A325" s="9" t="n"/>
      <c r="B325" s="10" t="inlineStr">
        <is>
          <t>루브르 박물관</t>
        </is>
      </c>
      <c r="C325" s="10" t="inlineStr">
        <is>
          <t>알레산드라 프레콜렌트</t>
        </is>
      </c>
      <c r="D325" s="10" t="inlineStr">
        <is>
          <t>마로니에북스</t>
        </is>
      </c>
      <c r="E325" s="12">
        <f>_xludf.IFS(COUNTIF(보류목록!$B$3:$B$1000, B325)&gt;0, "-",COUNTIF(독서목록!$C$2:$C$1099, B325)=0, , COUNTIF(독서목록!$C$2:$C$1099, B325)&gt;0, COUNTIF(독서목록!$C$2:$C$1099, B325))</f>
        <v/>
      </c>
      <c r="F325" s="12">
        <f>_xludf.IFS(COUNTIF(보류목록!$C$3:$C$1000, B325)&gt;0, "-",COUNTIF(독서목록!$D$2:$D$1099, B325)=0, , COUNTIF(독서목록!$D$2:$D$1099, B325)&gt;0, COUNTIF(독서목록!$D$2:$D$1099, B325))</f>
        <v/>
      </c>
      <c r="G325" s="12" t="inlineStr">
        <is>
          <t>2012.06.03</t>
        </is>
      </c>
      <c r="H325" s="14" t="inlineStr">
        <is>
          <t>기부</t>
        </is>
      </c>
      <c r="I325" s="14" t="inlineStr">
        <is>
          <t>기부</t>
        </is>
      </c>
      <c r="J325" s="16" t="inlineStr">
        <is>
          <t>8960530336 9788960530331</t>
        </is>
      </c>
      <c r="K325" s="17" t="inlineStr">
        <is>
          <t>https://search1.kakaocdn.net/thumb/R120x174.q85/?fname=http%3A%2F%2Ft1.daumcdn.net%2Flbook%2Fimage%2F835178%3Ftimestamp%3D20230801152927</t>
        </is>
      </c>
    </row>
    <row r="326" ht="16.5" customHeight="1" s="118">
      <c r="A326" s="9" t="n"/>
      <c r="B326" s="10" t="inlineStr">
        <is>
          <t>콘트라베이스</t>
        </is>
      </c>
      <c r="C326" s="10" t="inlineStr">
        <is>
          <t>파트리크 쥐스킨트</t>
        </is>
      </c>
      <c r="D326" s="10" t="inlineStr">
        <is>
          <t>열린책들</t>
        </is>
      </c>
      <c r="E326" s="12">
        <f>_xludf.IFS(COUNTIF(보류목록!$B$3:$B$1000, B326)&gt;0, "-",COUNTIF(독서목록!$C$2:$C$1099, B326)=0, , COUNTIF(독서목록!$C$2:$C$1099, B326)&gt;0, COUNTIF(독서목록!$C$2:$C$1099, B326))</f>
        <v/>
      </c>
      <c r="F326" s="12">
        <f>_xludf.IFS(COUNTIF(보류목록!$C$3:$C$1000, B326)&gt;0, "-",COUNTIF(독서목록!$D$2:$D$1099, B326)=0, , COUNTIF(독서목록!$D$2:$D$1099, B326)&gt;0, COUNTIF(독서목록!$D$2:$D$1099, B326))</f>
        <v/>
      </c>
      <c r="G326" s="12" t="inlineStr">
        <is>
          <t>2012.05.11</t>
        </is>
      </c>
      <c r="H326" s="14" t="inlineStr">
        <is>
          <t>기부</t>
        </is>
      </c>
      <c r="I326" s="14" t="inlineStr">
        <is>
          <t>기부</t>
        </is>
      </c>
      <c r="J326" s="16" t="inlineStr">
        <is>
          <t>8932902763 9788932902760</t>
        </is>
      </c>
      <c r="K326" s="17" t="inlineStr">
        <is>
          <t>https://search1.kakaocdn.net/thumb/R120x174.q85/?fname=http%3A%2F%2Ft1.daumcdn.net%2Flbook%2Fimage%2F505959%3Ftimestamp%3D20220520232208</t>
        </is>
      </c>
    </row>
    <row r="327" ht="16.5" customHeight="1" s="118">
      <c r="A327" s="9" t="n"/>
      <c r="B327" s="10" t="inlineStr">
        <is>
          <t>왜 세계의 절반은 굶주리는가?</t>
        </is>
      </c>
      <c r="C327" s="10" t="inlineStr">
        <is>
          <t>장 지글러</t>
        </is>
      </c>
      <c r="D327" s="10" t="inlineStr">
        <is>
          <t>갈라파고스</t>
        </is>
      </c>
      <c r="E327" s="12">
        <f>_xludf.IFS(COUNTIF(보류목록!$B$3:$B$1000, B327)&gt;0, "-",COUNTIF(독서목록!$C$2:$C$1099, B327)=0, , COUNTIF(독서목록!$C$2:$C$1099, B327)&gt;0, COUNTIF(독서목록!$C$2:$C$1099, B327))</f>
        <v/>
      </c>
      <c r="F327" s="12">
        <f>_xludf.IFS(COUNTIF(보류목록!$C$3:$C$1000, B327)&gt;0, "-",COUNTIF(독서목록!$D$2:$D$1099, B327)=0, , COUNTIF(독서목록!$D$2:$D$1099, B327)&gt;0, COUNTIF(독서목록!$D$2:$D$1099, B327))</f>
        <v/>
      </c>
      <c r="G327" s="12" t="inlineStr">
        <is>
          <t>2012.05.11</t>
        </is>
      </c>
      <c r="H327" s="14" t="inlineStr">
        <is>
          <t>기부</t>
        </is>
      </c>
      <c r="I327" s="14" t="inlineStr">
        <is>
          <t>기부</t>
        </is>
      </c>
      <c r="J327" s="16" t="inlineStr">
        <is>
          <t>1187038032 9791187038030</t>
        </is>
      </c>
      <c r="K327" s="17" t="inlineStr">
        <is>
          <t>https://search1.kakaocdn.net/thumb/R120x174.q85/?fname=http%3A%2F%2Ft1.daumcdn.net%2Flbook%2Fimage%2F1638945%3Ftimestamp%3D20230429142701</t>
        </is>
      </c>
    </row>
    <row r="328" ht="16.5" customHeight="1" s="118">
      <c r="A328" s="9" t="n"/>
      <c r="B328" s="10" t="inlineStr">
        <is>
          <t>좀머씨 이야기</t>
        </is>
      </c>
      <c r="C328" s="10" t="inlineStr">
        <is>
          <t>파트리크 쥐스킨트</t>
        </is>
      </c>
      <c r="D328" s="10" t="inlineStr">
        <is>
          <t>열린책들</t>
        </is>
      </c>
      <c r="E328" s="12">
        <f>_xludf.IFS(COUNTIF(보류목록!$B$3:$B$1000, B328)&gt;0, "-",COUNTIF(독서목록!$C$2:$C$1099, B328)=0, , COUNTIF(독서목록!$C$2:$C$1099, B328)&gt;0, COUNTIF(독서목록!$C$2:$C$1099, B328))</f>
        <v/>
      </c>
      <c r="F328" s="12">
        <f>_xludf.IFS(COUNTIF(보류목록!$C$3:$C$1000, B328)&gt;0, "-",COUNTIF(독서목록!$D$2:$D$1099, B328)=0, , COUNTIF(독서목록!$D$2:$D$1099, B328)&gt;0, COUNTIF(독서목록!$D$2:$D$1099, B328))</f>
        <v/>
      </c>
      <c r="G328" s="12" t="inlineStr">
        <is>
          <t>2012.05.11</t>
        </is>
      </c>
      <c r="H328" s="14" t="inlineStr">
        <is>
          <t>기부</t>
        </is>
      </c>
      <c r="I328" s="14" t="inlineStr">
        <is>
          <t>기부</t>
        </is>
      </c>
      <c r="J328" s="16" t="inlineStr">
        <is>
          <t>8932902623 9788932902623</t>
        </is>
      </c>
      <c r="K328" s="17" t="inlineStr">
        <is>
          <t>https://search1.kakaocdn.net/thumb/R120x174.q85/?fname=http%3A%2F%2Ft1.daumcdn.net%2Flbook%2Fimage%2F505945%3Ftimestamp%3D20220826230936</t>
        </is>
      </c>
    </row>
    <row r="329" ht="16.5" customHeight="1" s="118">
      <c r="A329" s="9" t="n"/>
      <c r="B329" s="10" t="inlineStr">
        <is>
          <t>책은 도끼다</t>
        </is>
      </c>
      <c r="C329" s="10" t="inlineStr">
        <is>
          <t>박웅현</t>
        </is>
      </c>
      <c r="D329" s="10" t="inlineStr">
        <is>
          <t>북하우스</t>
        </is>
      </c>
      <c r="E329" s="12">
        <f>_xludf.IFS(COUNTIF(보류목록!$B$3:$B$1000, B329)&gt;0, "-",COUNTIF(독서목록!$C$2:$C$1099, B329)=0, , COUNTIF(독서목록!$C$2:$C$1099, B329)&gt;0, COUNTIF(독서목록!$C$2:$C$1099, B329))</f>
        <v/>
      </c>
      <c r="F329" s="12">
        <f>_xludf.IFS(COUNTIF(보류목록!$C$3:$C$1000, B329)&gt;0, "-",COUNTIF(독서목록!$D$2:$D$1099, B329)=0, , COUNTIF(독서목록!$D$2:$D$1099, B329)&gt;0, COUNTIF(독서목록!$D$2:$D$1099, B329))</f>
        <v/>
      </c>
      <c r="G329" s="12" t="inlineStr">
        <is>
          <t>2012.03.09</t>
        </is>
      </c>
      <c r="H329" s="14" t="n"/>
      <c r="I329" s="14" t="n"/>
      <c r="J329" s="16" t="inlineStr">
        <is>
          <t>1164051482 9791164051489</t>
        </is>
      </c>
      <c r="K329" s="17" t="inlineStr">
        <is>
          <t>https://search1.kakaocdn.net/thumb/R120x174.q85/?fname=http%3A%2F%2Ft1.daumcdn.net%2Flbook%2Fimage%2F5907637%3Ftimestamp%3D20251217144632</t>
        </is>
      </c>
    </row>
    <row r="330" ht="16.5" customHeight="1" s="118">
      <c r="A330" s="9" t="n"/>
      <c r="B330" s="10" t="inlineStr">
        <is>
          <t>어떻게 원하는 것을 얻는가</t>
        </is>
      </c>
      <c r="C330" s="10" t="inlineStr">
        <is>
          <t>스튜어트 다이아몬드</t>
        </is>
      </c>
      <c r="D330" s="10" t="inlineStr">
        <is>
          <t>세계사</t>
        </is>
      </c>
      <c r="E330" s="12">
        <f>_xludf.IFS(COUNTIF(보류목록!$B$3:$B$1000, B330)&gt;0, "-",COUNTIF(독서목록!$C$2:$C$1099, B330)=0, , COUNTIF(독서목록!$C$2:$C$1099, B330)&gt;0, COUNTIF(독서목록!$C$2:$C$1099, B330))</f>
        <v/>
      </c>
      <c r="F330" s="12">
        <f>_xludf.IFS(COUNTIF(보류목록!$C$3:$C$1000, B330)&gt;0, "-",COUNTIF(독서목록!$D$2:$D$1099, B330)=0, , COUNTIF(독서목록!$D$2:$D$1099, B330)&gt;0, COUNTIF(독서목록!$D$2:$D$1099, B330))</f>
        <v/>
      </c>
      <c r="G330" s="12" t="inlineStr">
        <is>
          <t>2012.02.24</t>
        </is>
      </c>
      <c r="H330" s="14" t="n"/>
      <c r="I330" s="14" t="n"/>
      <c r="J330" s="16" t="inlineStr">
        <is>
          <t>893387190X 9788933871904</t>
        </is>
      </c>
      <c r="K330" s="17" t="inlineStr">
        <is>
          <t>https://search1.kakaocdn.net/thumb/R120x174.q85/?fname=http%3A%2F%2Ft1.daumcdn.net%2Flbook%2Fimage%2F6091619%3Ftimestamp%3D20260401123658</t>
        </is>
      </c>
    </row>
    <row r="331" ht="16.5" customHeight="1" s="118">
      <c r="A331" s="9" t="n"/>
      <c r="B331" s="10" t="inlineStr">
        <is>
          <t>나쁜 사마리아인들</t>
        </is>
      </c>
      <c r="C331" s="10" t="inlineStr">
        <is>
          <t>장하준</t>
        </is>
      </c>
      <c r="D331" s="10" t="inlineStr">
        <is>
          <t>부키</t>
        </is>
      </c>
      <c r="E331" s="12">
        <f>_xludf.IFS(COUNTIF(보류목록!$B$3:$B$1000, B331)&gt;0, "-",COUNTIF(독서목록!$C$2:$C$1099, B331)=0, , COUNTIF(독서목록!$C$2:$C$1099, B331)&gt;0, COUNTIF(독서목록!$C$2:$C$1099, B331))</f>
        <v/>
      </c>
      <c r="F331" s="12">
        <f>_xludf.IFS(COUNTIF(보류목록!$C$3:$C$1000, B331)&gt;0, "-",COUNTIF(독서목록!$D$2:$D$1099, B331)=0, , COUNTIF(독서목록!$D$2:$D$1099, B331)&gt;0, COUNTIF(독서목록!$D$2:$D$1099, B331))</f>
        <v/>
      </c>
      <c r="G331" s="12" t="inlineStr">
        <is>
          <t>2012.02.24</t>
        </is>
      </c>
      <c r="H331" s="14" t="n"/>
      <c r="I331" s="14" t="n"/>
      <c r="J331" s="16" t="inlineStr">
        <is>
          <t>896051019X 9788960510197</t>
        </is>
      </c>
      <c r="K331" s="17" t="inlineStr">
        <is>
          <t>https://search1.kakaocdn.net/thumb/R120x174.q85/?fname=http%3A%2F%2Ft1.daumcdn.net%2Flbook%2Fimage%2F833444%3Ftimestamp%3D20230321140231</t>
        </is>
      </c>
    </row>
    <row r="332" ht="16.5" customHeight="1" s="118">
      <c r="A332" s="9" t="n"/>
      <c r="B332" s="29" t="inlineStr">
        <is>
          <t>오만과 편견</t>
        </is>
      </c>
      <c r="C332" s="29" t="inlineStr">
        <is>
          <t>제인 오스틴</t>
        </is>
      </c>
      <c r="D332" s="29" t="inlineStr">
        <is>
          <t>열린책들</t>
        </is>
      </c>
      <c r="E332" s="12">
        <f>_xludf.IFS(COUNTIF(보류목록!$B$3:$B$1000, B332)&gt;0, "-",COUNTIF(독서목록!$C$2:$C$1099, B332)=0, , COUNTIF(독서목록!$C$2:$C$1099, B332)&gt;0, COUNTIF(독서목록!$C$2:$C$1099, B332))</f>
        <v/>
      </c>
      <c r="F332" s="12" t="n">
        <v>1</v>
      </c>
      <c r="G332" s="30" t="inlineStr">
        <is>
          <t>2012.02.24</t>
        </is>
      </c>
      <c r="H332" s="14" t="inlineStr">
        <is>
          <t>기부</t>
        </is>
      </c>
      <c r="I332" s="14" t="inlineStr">
        <is>
          <t>기부</t>
        </is>
      </c>
      <c r="J332" s="16" t="inlineStr">
        <is>
          <t>8932911436 9788932911434</t>
        </is>
      </c>
      <c r="K332" s="17" t="inlineStr">
        <is>
          <t>https://search1.kakaocdn.net/thumb/R120x174.q85/?fname=http%3A%2F%2Ft1.daumcdn.net%2Flbook%2Fimage%2F507215%3Ftimestamp%3D20240821144431</t>
        </is>
      </c>
    </row>
    <row r="333" ht="16.5" customHeight="1" s="118">
      <c r="A333" s="9" t="n"/>
      <c r="B333" s="10" t="inlineStr">
        <is>
          <t>젊은 베르테르의 슬픔</t>
        </is>
      </c>
      <c r="C333" s="10" t="inlineStr">
        <is>
          <t>요한 볼프강 폰 괴테</t>
        </is>
      </c>
      <c r="D333" s="10" t="inlineStr">
        <is>
          <t>열린책들</t>
        </is>
      </c>
      <c r="E333" s="12">
        <f>_xludf.IFS(COUNTIF(보류목록!$B$3:$B$1000, B333)&gt;0, "-",COUNTIF(독서목록!$C$2:$C$1099, B333)=0, , COUNTIF(독서목록!$C$2:$C$1099, B333)&gt;0, COUNTIF(독서목록!$C$2:$C$1099, B333))</f>
        <v/>
      </c>
      <c r="F333" s="12">
        <f>_xludf.IFS(COUNTIF(보류목록!$C$3:$C$1000, B333)&gt;0, "-",COUNTIF(독서목록!$D$2:$D$1099, B333)=0, , COUNTIF(독서목록!$D$2:$D$1099, B333)&gt;0, COUNTIF(독서목록!$D$2:$D$1099, B333))</f>
        <v/>
      </c>
      <c r="G333" s="12" t="inlineStr">
        <is>
          <t>2012.02.24</t>
        </is>
      </c>
      <c r="H333" s="14" t="n"/>
      <c r="I333" s="14" t="n"/>
      <c r="J333" s="16" t="inlineStr">
        <is>
          <t>8932909393 9788932909394</t>
        </is>
      </c>
      <c r="K333" s="17" t="inlineStr">
        <is>
          <t>https://search1.kakaocdn.net/thumb/R120x174.q85/?fname=http%3A%2F%2Ft1.daumcdn.net%2Flbook%2Fimage%2F505012%3Ftimestamp%3D20260401110847</t>
        </is>
      </c>
    </row>
    <row r="334" ht="16.5" customHeight="1" s="118">
      <c r="A334" s="9" t="n"/>
      <c r="B334" s="10" t="inlineStr">
        <is>
          <t>전날의 섬</t>
        </is>
      </c>
      <c r="C334" s="10" t="inlineStr">
        <is>
          <t>움베르토 에코</t>
        </is>
      </c>
      <c r="D334" s="10" t="inlineStr">
        <is>
          <t>열린책들</t>
        </is>
      </c>
      <c r="E334" s="12">
        <f>_xludf.IFS(COUNTIF(보류목록!$B$3:$B$1000, B334)&gt;0, "-",COUNTIF(독서목록!$C$2:$C$1099, B334)=0, , COUNTIF(독서목록!$C$2:$C$1099, B334)&gt;0, COUNTIF(독서목록!$C$2:$C$1099, B334))</f>
        <v/>
      </c>
      <c r="F334" s="12">
        <f>_xludf.IFS(COUNTIF(보류목록!$C$3:$C$1000, B334)&gt;0, "-",COUNTIF(독서목록!$D$2:$D$1099, B334)=0, , COUNTIF(독서목록!$D$2:$D$1099, B334)&gt;0, COUNTIF(독서목록!$D$2:$D$1099, B334))</f>
        <v/>
      </c>
      <c r="G334" s="12" t="inlineStr">
        <is>
          <t>2012.02.24</t>
        </is>
      </c>
      <c r="H334" s="14" t="n"/>
      <c r="I334" s="14" t="n"/>
      <c r="J334" s="16" t="inlineStr">
        <is>
          <t>8932903719 9788932903712</t>
        </is>
      </c>
      <c r="K334" s="17" t="inlineStr">
        <is>
          <t>https://search1.kakaocdn.net/thumb/R120x174.q85/?fname=http%3A%2F%2Ft1.daumcdn.net%2Flbook%2Fimage%2F506595%3Ftimestamp%3D20250523113018</t>
        </is>
      </c>
    </row>
    <row r="335" ht="16.5" customHeight="1" s="118">
      <c r="A335" s="9" t="n"/>
      <c r="B335" s="10" t="inlineStr">
        <is>
          <t>난장이가 쏘아올린 작은 공</t>
        </is>
      </c>
      <c r="C335" s="10" t="inlineStr">
        <is>
          <t>조세희</t>
        </is>
      </c>
      <c r="D335" s="10" t="inlineStr">
        <is>
          <t>이성과힘</t>
        </is>
      </c>
      <c r="E335" s="12">
        <f>_xludf.IFS(COUNTIF(보류목록!$B$3:$B$1000, B335)&gt;0, "-",COUNTIF(독서목록!$C$2:$C$1099, B335)=0, , COUNTIF(독서목록!$C$2:$C$1099, B335)&gt;0, COUNTIF(독서목록!$C$2:$C$1099, B335))</f>
        <v/>
      </c>
      <c r="F335" s="12">
        <f>_xludf.IFS(COUNTIF(보류목록!$C$3:$C$1000, B335)&gt;0, "-",COUNTIF(독서목록!$D$2:$D$1099, B335)=0, , COUNTIF(독서목록!$D$2:$D$1099, B335)&gt;0, COUNTIF(독서목록!$D$2:$D$1099, B335))</f>
        <v/>
      </c>
      <c r="G335" s="12" t="inlineStr">
        <is>
          <t>2012.01.17</t>
        </is>
      </c>
      <c r="H335" s="14" t="n"/>
      <c r="I335" s="14" t="n"/>
      <c r="J335" s="16" t="inlineStr">
        <is>
          <t>899515120X 9788995151204</t>
        </is>
      </c>
      <c r="K335" s="17" t="inlineStr">
        <is>
          <t>https://search1.kakaocdn.net/thumb/R120x174.q85/?fname=http%3A%2F%2Ft1.daumcdn.net%2Flbook%2Fimage%2F1436563%3Ftimestamp%3D20240314112335</t>
        </is>
      </c>
    </row>
    <row r="336" ht="16.5" customHeight="1" s="118">
      <c r="A336" s="9" t="n"/>
      <c r="B336" s="10" t="inlineStr">
        <is>
          <t>이것은 질문입니까?</t>
        </is>
      </c>
      <c r="C336" s="10" t="inlineStr">
        <is>
          <t>존 판던</t>
        </is>
      </c>
      <c r="D336" s="10" t="inlineStr">
        <is>
          <t>랜덤하우스</t>
        </is>
      </c>
      <c r="E336" s="12">
        <f>_xludf.IFS(COUNTIF(보류목록!$B$3:$B$1000, B336)&gt;0, "-",COUNTIF(독서목록!$C$2:$C$1099, B336)=0, , COUNTIF(독서목록!$C$2:$C$1099, B336)&gt;0, COUNTIF(독서목록!$C$2:$C$1099, B336))</f>
        <v/>
      </c>
      <c r="F336" s="12">
        <f>_xludf.IFS(COUNTIF(보류목록!$C$3:$C$1000, B336)&gt;0, "-",COUNTIF(독서목록!$D$2:$D$1099, B336)=0, , COUNTIF(독서목록!$D$2:$D$1099, B336)&gt;0, COUNTIF(독서목록!$D$2:$D$1099, B336))</f>
        <v/>
      </c>
      <c r="G336" s="12" t="inlineStr">
        <is>
          <t>2012.01.17</t>
        </is>
      </c>
      <c r="H336" s="14" t="inlineStr">
        <is>
          <t>기부</t>
        </is>
      </c>
      <c r="I336" s="14" t="inlineStr">
        <is>
          <t>기부</t>
        </is>
      </c>
      <c r="J336" s="16" t="inlineStr">
        <is>
          <t>8925543990 9788925543994</t>
        </is>
      </c>
      <c r="K336" s="17" t="inlineStr">
        <is>
          <t>https://search1.kakaocdn.net/thumb/R120x174.q85/?fname=http%3A%2F%2Ft1.daumcdn.net%2Flbook%2Fimage%2F414242%3Ftimestamp%3D20231114143132</t>
        </is>
      </c>
    </row>
    <row r="337" ht="16.5" customHeight="1" s="118">
      <c r="A337" s="31" t="n"/>
      <c r="B337" s="21" t="n">
        <v>1984</v>
      </c>
      <c r="C337" s="10" t="inlineStr">
        <is>
          <t>조지 오웰</t>
        </is>
      </c>
      <c r="D337" s="10" t="inlineStr">
        <is>
          <t>열린책들</t>
        </is>
      </c>
      <c r="E337" s="12">
        <f>_xludf.IFS(COUNTIF(보류목록!$B$3:$B$1000, B337)&gt;0, "-",COUNTIF(독서목록!$C$2:$C$1099, B337)=0, , COUNTIF(독서목록!$C$2:$C$1099, B337)&gt;0, COUNTIF(독서목록!$C$2:$C$1099, B337))</f>
        <v/>
      </c>
      <c r="F337" s="12">
        <f>_xludf.IFS(COUNTIF(보류목록!$C$3:$C$1000, B337)&gt;0, "-",COUNTIF(독서목록!$D$2:$D$1099, B337)=0, , COUNTIF(독서목록!$D$2:$D$1099, B337)&gt;0, COUNTIF(독서목록!$D$2:$D$1099, B337))</f>
        <v/>
      </c>
      <c r="G337" s="12" t="inlineStr">
        <is>
          <t>2012.01.17</t>
        </is>
      </c>
      <c r="H337" s="14" t="n"/>
      <c r="I337" s="14" t="n"/>
      <c r="J337" s="16" t="inlineStr">
        <is>
          <t>893290930X 9788932909301</t>
        </is>
      </c>
      <c r="K337" s="17" t="inlineStr">
        <is>
          <t>https://search1.kakaocdn.net/thumb/R120x174.q85/?fname=http%3A%2F%2Ft1.daumcdn.net%2Flbook%2Fimage%2F506847%3Ftimestamp%3D20231012174532</t>
        </is>
      </c>
    </row>
    <row r="338" ht="16.5" customHeight="1" s="118">
      <c r="A338" s="9" t="n"/>
      <c r="B338" s="10" t="inlineStr">
        <is>
          <t>보수를 팝니다</t>
        </is>
      </c>
      <c r="C338" s="10" t="inlineStr">
        <is>
          <t>김용민</t>
        </is>
      </c>
      <c r="D338" s="10" t="inlineStr">
        <is>
          <t>퍼플카우</t>
        </is>
      </c>
      <c r="E338" s="12">
        <f>_xludf.IFS(COUNTIF(보류목록!$B$3:$B$1000, B338)&gt;0, "-",COUNTIF(독서목록!$C$2:$C$1099, B338)=0, , COUNTIF(독서목록!$C$2:$C$1099, B338)&gt;0, COUNTIF(독서목록!$C$2:$C$1099, B338))</f>
        <v/>
      </c>
      <c r="F338" s="12">
        <f>_xludf.IFS(COUNTIF(보류목록!$C$3:$C$1000, B338)&gt;0, "-",COUNTIF(독서목록!$D$2:$D$1099, B338)=0, , COUNTIF(독서목록!$D$2:$D$1099, B338)&gt;0, COUNTIF(독서목록!$D$2:$D$1099, B338))</f>
        <v/>
      </c>
      <c r="G338" s="12" t="inlineStr">
        <is>
          <t>2011.12.00</t>
        </is>
      </c>
      <c r="H338" s="14" t="n"/>
      <c r="I338" s="14" t="n"/>
      <c r="J338" s="16" t="inlineStr">
        <is>
          <t>899612124X 9788996121244</t>
        </is>
      </c>
      <c r="K338" s="17" t="inlineStr">
        <is>
          <t>https://search1.kakaocdn.net/thumb/R120x174.q85/?fname=http%3A%2F%2Ft1.daumcdn.net%2Flbook%2Fimage%2F1459767%3Ftimestamp%3D20250711110611</t>
        </is>
      </c>
    </row>
    <row r="339" ht="16.5" customHeight="1" s="118">
      <c r="A339" s="9" t="n"/>
      <c r="B339" s="10" t="inlineStr">
        <is>
          <t>비둘기</t>
        </is>
      </c>
      <c r="C339" s="10" t="inlineStr">
        <is>
          <t>파트리크 쥐스킨트</t>
        </is>
      </c>
      <c r="D339" s="10" t="inlineStr">
        <is>
          <t>열린책들</t>
        </is>
      </c>
      <c r="E339" s="12">
        <f>_xludf.IFS(COUNTIF(보류목록!$B$3:$B$1000, B339)&gt;0, "-",COUNTIF(독서목록!$C$2:$C$1099, B339)=0, , COUNTIF(독서목록!$C$2:$C$1099, B339)&gt;0, COUNTIF(독서목록!$C$2:$C$1099, B339))</f>
        <v/>
      </c>
      <c r="F339" s="12">
        <f>_xludf.IFS(COUNTIF(보류목록!$C$3:$C$1000, B339)&gt;0, "-",COUNTIF(독서목록!$D$2:$D$1099, B339)=0, , COUNTIF(독서목록!$D$2:$D$1099, B339)&gt;0, COUNTIF(독서목록!$D$2:$D$1099, B339))</f>
        <v/>
      </c>
      <c r="G339" s="12" t="inlineStr">
        <is>
          <t>2011.12.00</t>
        </is>
      </c>
      <c r="H339" s="14" t="inlineStr">
        <is>
          <t>기부</t>
        </is>
      </c>
      <c r="I339" s="14" t="inlineStr">
        <is>
          <t>기부</t>
        </is>
      </c>
      <c r="J339" s="16" t="inlineStr">
        <is>
          <t>8932902755 9788932902753</t>
        </is>
      </c>
      <c r="K339" s="17" t="inlineStr">
        <is>
          <t>https://search1.kakaocdn.net/thumb/R120x174.q85/?fname=http%3A%2F%2Ft1.daumcdn.net%2Flbook%2Fimage%2F506213%3Ftimestamp%3D20220514165709</t>
        </is>
      </c>
    </row>
    <row r="340" ht="16.5" customHeight="1" s="118">
      <c r="A340" s="9" t="n"/>
      <c r="B340" s="10" t="inlineStr">
        <is>
          <t>벤자민 버튼의 시간은 거꾸로 간다</t>
        </is>
      </c>
      <c r="C340" s="10" t="inlineStr">
        <is>
          <t>F. 스콧 피츠 제럴드</t>
        </is>
      </c>
      <c r="D340" s="10" t="inlineStr">
        <is>
          <t>현대문화센타</t>
        </is>
      </c>
      <c r="E340" s="12">
        <f>_xludf.IFS(COUNTIF(보류목록!$B$3:$B$1000, B340)&gt;0, "-",COUNTIF(독서목록!$C$2:$C$1099, B340)=0, , COUNTIF(독서목록!$C$2:$C$1099, B340)&gt;0, COUNTIF(독서목록!$C$2:$C$1099, B340))</f>
        <v/>
      </c>
      <c r="F340" s="12">
        <f>_xludf.IFS(COUNTIF(보류목록!$C$3:$C$1000, B340)&gt;0, "-",COUNTIF(독서목록!$D$2:$D$1099, B340)=0, , COUNTIF(독서목록!$D$2:$D$1099, B340)&gt;0, COUNTIF(독서목록!$D$2:$D$1099, B340))</f>
        <v/>
      </c>
      <c r="G340" s="12" t="inlineStr">
        <is>
          <t>2011.12.00</t>
        </is>
      </c>
      <c r="H340" s="14" t="inlineStr">
        <is>
          <t>기부</t>
        </is>
      </c>
      <c r="I340" s="14" t="inlineStr">
        <is>
          <t>기부</t>
        </is>
      </c>
      <c r="J340" s="16" t="inlineStr">
        <is>
          <t>8974283514 9788974283513</t>
        </is>
      </c>
      <c r="K340" s="17" t="inlineStr">
        <is>
          <t>https://search1.kakaocdn.net/thumb/R120x174.q85/?fname=http%3A%2F%2Ft1.daumcdn.net%2Flbook%2Fimage%2F1034988%3Ftimestamp%3D20230223143638</t>
        </is>
      </c>
    </row>
    <row r="341" ht="16.5" customHeight="1" s="118">
      <c r="A341" s="9" t="n"/>
      <c r="B341" s="10" t="inlineStr">
        <is>
          <t>위대한 개츠비</t>
        </is>
      </c>
      <c r="C341" s="10" t="inlineStr">
        <is>
          <t>F. 스콧 피츠 제럴드</t>
        </is>
      </c>
      <c r="D341" s="11" t="inlineStr">
        <is>
          <t>소담출판사</t>
        </is>
      </c>
      <c r="E341" s="12">
        <f>_xludf.IFS(COUNTIF(보류목록!$B$3:$B$1000, B341)&gt;0, "-",COUNTIF(독서목록!$C$2:$C$1099, B341)=0, , COUNTIF(독서목록!$C$2:$C$1099, B341)&gt;0, COUNTIF(독서목록!$C$2:$C$1099, B341))</f>
        <v/>
      </c>
      <c r="F341" s="12">
        <f>_xludf.IFS(COUNTIF(보류목록!$C$3:$C$1000, B341)&gt;0, "-",COUNTIF(독서목록!$D$2:$D$1099, B341)=0, , COUNTIF(독서목록!$D$2:$D$1099, B341)&gt;0, COUNTIF(독서목록!$D$2:$D$1099, B341))</f>
        <v/>
      </c>
      <c r="G341" s="12" t="n"/>
      <c r="H341" s="14" t="inlineStr">
        <is>
          <t>기부</t>
        </is>
      </c>
      <c r="I341" s="14" t="inlineStr">
        <is>
          <t>기부</t>
        </is>
      </c>
      <c r="J341" s="16" t="inlineStr">
        <is>
          <t>1160274754 9791160274752</t>
        </is>
      </c>
      <c r="K341" s="17" t="inlineStr">
        <is>
          <t>https://search1.kakaocdn.net/thumb/R120x174.q85/?fname=http%3A%2F%2Ft1.daumcdn.net%2Flbook%2Fimage%2F6895883%3Ftimestamp%3D20250425204659</t>
        </is>
      </c>
    </row>
    <row r="342" ht="16.5" customHeight="1" s="118">
      <c r="A342" s="9" t="n"/>
      <c r="B342" s="32" t="inlineStr">
        <is>
          <t>톨스토이 단편선 - 1</t>
        </is>
      </c>
      <c r="C342" s="32" t="inlineStr">
        <is>
          <t>L.N. 톨스토이</t>
        </is>
      </c>
      <c r="D342" s="32" t="inlineStr">
        <is>
          <t>인디북</t>
        </is>
      </c>
      <c r="E342" s="12">
        <f>_xludf.IFS(COUNTIF(보류목록!$B$3:$B$1000, B342)&gt;0, "-",COUNTIF(독서목록!$C$2:$C$1099, B342)=0, , COUNTIF(독서목록!$C$2:$C$1099, B342)&gt;0, COUNTIF(독서목록!$C$2:$C$1099, B342))</f>
        <v/>
      </c>
      <c r="F342" s="12">
        <f>_xludf.IFS(COUNTIF(보류목록!$C$3:$C$1000, B342)&gt;0, "-",COUNTIF(독서목록!$D$2:$D$1099, B342)=0, , COUNTIF(독서목록!$D$2:$D$1099, B342)&gt;0, COUNTIF(독서목록!$D$2:$D$1099, B342))</f>
        <v/>
      </c>
      <c r="G342" s="33" t="n"/>
      <c r="H342" s="14" t="inlineStr">
        <is>
          <t>기부</t>
        </is>
      </c>
      <c r="I342" s="14" t="inlineStr">
        <is>
          <t>기부</t>
        </is>
      </c>
      <c r="J342" s="16" t="inlineStr">
        <is>
          <t>8958560762 9788958560760</t>
        </is>
      </c>
      <c r="K342" s="17" t="inlineStr">
        <is>
          <t>https://search1.kakaocdn.net/thumb/R120x174.q85/?fname=http%3A%2F%2Ft1.daumcdn.net%2Flbook%2Fimage%2F783430%3Ftimestamp%3D20250916110451</t>
        </is>
      </c>
    </row>
    <row r="343" ht="16.5" customHeight="1" s="118">
      <c r="A343" s="9" t="n"/>
      <c r="B343" s="32" t="inlineStr">
        <is>
          <t>죽음을 그리다</t>
        </is>
      </c>
      <c r="C343" s="32" t="inlineStr">
        <is>
          <t>미셀 슈나이더</t>
        </is>
      </c>
      <c r="D343" s="32" t="inlineStr">
        <is>
          <t>아고라</t>
        </is>
      </c>
      <c r="E343" s="12">
        <f>_xludf.IFS(COUNTIF(보류목록!$B$3:$B$1000, B343)&gt;0, "-",COUNTIF(독서목록!$C$2:$C$1099, B343)=0, , COUNTIF(독서목록!$C$2:$C$1099, B343)&gt;0, COUNTIF(독서목록!$C$2:$C$1099, B343))</f>
        <v/>
      </c>
      <c r="F343" s="12">
        <f>_xludf.IFS(COUNTIF(보류목록!$C$3:$C$1000, B343)&gt;0, "-",COUNTIF(독서목록!$D$2:$D$1099, B343)=0, , COUNTIF(독서목록!$D$2:$D$1099, B343)&gt;0, COUNTIF(독서목록!$D$2:$D$1099, B343))</f>
        <v/>
      </c>
      <c r="G343" s="33" t="n"/>
      <c r="H343" s="14" t="n"/>
      <c r="I343" s="14" t="n"/>
      <c r="J343" s="16" t="inlineStr">
        <is>
          <t>8992055048 9788992055048</t>
        </is>
      </c>
      <c r="K343" s="17" t="inlineStr">
        <is>
          <t>https://search1.kakaocdn.net/thumb/R120x174.q85/?fname=http%3A%2F%2Ft1.daumcdn.net%2Flbook%2Fimage%2F1369729%3Ftimestamp%3D20221025130427</t>
        </is>
      </c>
    </row>
    <row r="344" ht="16.5" customHeight="1" s="118">
      <c r="A344" s="9" t="n"/>
      <c r="B344" s="10" t="inlineStr">
        <is>
          <t>오두막 편지</t>
        </is>
      </c>
      <c r="C344" s="10" t="inlineStr">
        <is>
          <t>법정</t>
        </is>
      </c>
      <c r="D344" s="10" t="inlineStr">
        <is>
          <t>이레</t>
        </is>
      </c>
      <c r="E344" s="12">
        <f>_xludf.IFS(COUNTIF(보류목록!$B$3:$B$1000, B344)&gt;0, "-",COUNTIF(독서목록!$C$2:$C$1099, B344)=0, , COUNTIF(독서목록!$C$2:$C$1099, B344)&gt;0, COUNTIF(독서목록!$C$2:$C$1099, B344))</f>
        <v/>
      </c>
      <c r="F344" s="12">
        <f>_xludf.IFS(COUNTIF(보류목록!$C$3:$C$1000, B344)&gt;0, "-",COUNTIF(독서목록!$D$2:$D$1099, B344)=0, , COUNTIF(독서목록!$D$2:$D$1099, B344)&gt;0, COUNTIF(독서목록!$D$2:$D$1099, B344))</f>
        <v/>
      </c>
      <c r="G344" s="12" t="n"/>
      <c r="H344" s="14" t="n"/>
      <c r="I344" s="14" t="n"/>
      <c r="J344" s="16" t="inlineStr">
        <is>
          <t>8957090932 9788957090930</t>
        </is>
      </c>
      <c r="K344" s="17" t="inlineStr">
        <is>
          <t>https://search1.kakaocdn.net/thumb/R120x174.q85/?fname=http%3A%2F%2Ft1.daumcdn.net%2Flbook%2Fimage%2F751183%3Ftimestamp%3D20220903173823</t>
        </is>
      </c>
    </row>
    <row r="345" ht="16.5" customHeight="1" s="118">
      <c r="A345" s="9" t="n"/>
      <c r="B345" s="10" t="inlineStr">
        <is>
          <t>일기일회</t>
        </is>
      </c>
      <c r="C345" s="10" t="inlineStr">
        <is>
          <t>법정</t>
        </is>
      </c>
      <c r="D345" s="10" t="inlineStr">
        <is>
          <t>문학의숲</t>
        </is>
      </c>
      <c r="E345" s="12">
        <f>_xludf.IFS(COUNTIF(보류목록!$B$3:$B$1000, B345)&gt;0, "-",COUNTIF(독서목록!$C$2:$C$1099, B345)=0, , COUNTIF(독서목록!$C$2:$C$1099, B345)&gt;0, COUNTIF(독서목록!$C$2:$C$1099, B345))</f>
        <v/>
      </c>
      <c r="F345" s="12">
        <f>_xludf.IFS(COUNTIF(보류목록!$C$3:$C$1000, B345)&gt;0, "-",COUNTIF(독서목록!$D$2:$D$1099, B345)=0, , COUNTIF(독서목록!$D$2:$D$1099, B345)&gt;0, COUNTIF(독서목록!$D$2:$D$1099, B345))</f>
        <v/>
      </c>
      <c r="G345" s="12" t="n"/>
      <c r="H345" s="14" t="inlineStr">
        <is>
          <t>기부</t>
        </is>
      </c>
      <c r="I345" s="14" t="inlineStr">
        <is>
          <t>기부</t>
        </is>
      </c>
      <c r="J345" s="16" t="inlineStr">
        <is>
          <t>8995904984 9788995904985</t>
        </is>
      </c>
      <c r="K345" s="17" t="inlineStr">
        <is>
          <t>https://search1.kakaocdn.net/thumb/R120x174.q85/?fname=http%3A%2F%2Ft1.daumcdn.net%2Flbook%2Fimage%2F1451082%3Ftimestamp%3D20220809185035</t>
        </is>
      </c>
    </row>
    <row r="346" ht="16.5" customHeight="1" s="118">
      <c r="A346" s="9" t="n"/>
      <c r="B346" s="10" t="inlineStr">
        <is>
          <t>인생의 절반쯤 왔을 때 깨닫게 되는 것들</t>
        </is>
      </c>
      <c r="C346" s="10" t="inlineStr">
        <is>
          <t>Leider Richard J., 데이비드 A. 샤피로</t>
        </is>
      </c>
      <c r="D346" s="10" t="inlineStr">
        <is>
          <t>위즈덤하우스</t>
        </is>
      </c>
      <c r="E346" s="12">
        <f>_xludf.IFS(COUNTIF(보류목록!$B$3:$B$1000, B346)&gt;0, "-",COUNTIF(독서목록!$C$2:$C$1099, B346)=0, , COUNTIF(독서목록!$C$2:$C$1099, B346)&gt;0, COUNTIF(독서목록!$C$2:$C$1099, B346))</f>
        <v/>
      </c>
      <c r="F346" s="12">
        <f>_xludf.IFS(COUNTIF(보류목록!$C$3:$C$1000, B346)&gt;0, "-",COUNTIF(독서목록!$D$2:$D$1099, B346)=0, , COUNTIF(독서목록!$D$2:$D$1099, B346)&gt;0, COUNTIF(독서목록!$D$2:$D$1099, B346))</f>
        <v/>
      </c>
      <c r="G346" s="12" t="n"/>
      <c r="H346" s="14" t="inlineStr">
        <is>
          <t>기부</t>
        </is>
      </c>
      <c r="I346" s="14" t="inlineStr">
        <is>
          <t>기부</t>
        </is>
      </c>
      <c r="J346" s="16" t="inlineStr">
        <is>
          <t>8960864471 9788960864474</t>
        </is>
      </c>
      <c r="K346" s="17" t="inlineStr">
        <is>
          <t>https://search1.kakaocdn.net/thumb/R120x174.q85/?fname=http%3A%2F%2Ft1.daumcdn.net%2Flbook%2Fimage%2F841060%3Ftimestamp%3D20240504113547</t>
        </is>
      </c>
    </row>
    <row r="347" ht="16.5" customHeight="1" s="118">
      <c r="A347" s="9" t="n"/>
      <c r="B347" s="10" t="inlineStr">
        <is>
          <t>낯익은 타인들의 도시</t>
        </is>
      </c>
      <c r="C347" s="10" t="inlineStr">
        <is>
          <t>최인호</t>
        </is>
      </c>
      <c r="D347" s="10" t="inlineStr">
        <is>
          <t>여백미디어</t>
        </is>
      </c>
      <c r="E347" s="12">
        <f>_xludf.IFS(COUNTIF(보류목록!$B$3:$B$1000, B347)&gt;0, "-",COUNTIF(독서목록!$C$2:$C$1099, B347)=0, , COUNTIF(독서목록!$C$2:$C$1099, B347)&gt;0, COUNTIF(독서목록!$C$2:$C$1099, B347))</f>
        <v/>
      </c>
      <c r="F347" s="12">
        <f>_xludf.IFS(COUNTIF(보류목록!$C$3:$C$1000, B347)&gt;0, "-",COUNTIF(독서목록!$D$2:$D$1099, B347)=0, , COUNTIF(독서목록!$D$2:$D$1099, B347)&gt;0, COUNTIF(독서목록!$D$2:$D$1099, B347))</f>
        <v/>
      </c>
      <c r="G347" s="12" t="n"/>
      <c r="H347" s="14" t="n"/>
      <c r="I347" s="14" t="n"/>
      <c r="J347" s="16" t="inlineStr">
        <is>
          <t>8958660945 9788958660941</t>
        </is>
      </c>
      <c r="K347" s="17" t="inlineStr">
        <is>
          <t>https://search1.kakaocdn.net/thumb/R120x174.q85/?fname=http%3A%2F%2Ft1.daumcdn.net%2Flbook%2Fimage%2F787427%3Ftimestamp%3D20221004005335</t>
        </is>
      </c>
    </row>
    <row r="348" ht="16.5" customHeight="1" s="118">
      <c r="A348" s="9" t="n"/>
      <c r="B348" s="10" t="inlineStr">
        <is>
          <t>만들어진 신</t>
        </is>
      </c>
      <c r="C348" s="10" t="inlineStr">
        <is>
          <t>리처드 도킨스</t>
        </is>
      </c>
      <c r="D348" s="10" t="inlineStr">
        <is>
          <t>김영사</t>
        </is>
      </c>
      <c r="E348" s="12">
        <f>_xludf.IFS(COUNTIF(보류목록!$B$3:$B$1000, B348)&gt;0, "-",COUNTIF(독서목록!$C$2:$C$1099, B348)=0, , COUNTIF(독서목록!$C$2:$C$1099, B348)&gt;0, COUNTIF(독서목록!$C$2:$C$1099, B348))</f>
        <v/>
      </c>
      <c r="F348" s="12">
        <f>_xludf.IFS(COUNTIF(보류목록!$C$3:$C$1000, B348)&gt;0, "-",COUNTIF(독서목록!$D$2:$D$1099, B348)=0, , COUNTIF(독서목록!$D$2:$D$1099, B348)&gt;0, COUNTIF(독서목록!$D$2:$D$1099, B348))</f>
        <v/>
      </c>
      <c r="G348" s="12" t="n"/>
      <c r="H348" s="14" t="n"/>
      <c r="I348" s="14" t="n"/>
      <c r="J348" s="16" t="inlineStr">
        <is>
          <t>893492618X 9788934926184</t>
        </is>
      </c>
      <c r="K348" s="17" t="inlineStr">
        <is>
          <t>https://search1.kakaocdn.net/thumb/R120x174.q85/?fname=http%3A%2F%2Ft1.daumcdn.net%2Flbook%2Fimage%2F518602%3Ftimestamp%3D20260121110904</t>
        </is>
      </c>
    </row>
    <row r="349" ht="16.5" customHeight="1" s="118">
      <c r="A349" s="9" t="n"/>
      <c r="B349" s="10" t="inlineStr">
        <is>
          <t>아이디어맨</t>
        </is>
      </c>
      <c r="C349" s="10" t="inlineStr">
        <is>
          <t>폴앨런</t>
        </is>
      </c>
      <c r="D349" s="10" t="inlineStr">
        <is>
          <t>자음과모음</t>
        </is>
      </c>
      <c r="E349" s="12" t="inlineStr">
        <is>
          <t>-</t>
        </is>
      </c>
      <c r="F349" s="12" t="inlineStr">
        <is>
          <t>-</t>
        </is>
      </c>
      <c r="G349" s="12" t="n"/>
      <c r="H349" s="14" t="inlineStr">
        <is>
          <t>기부</t>
        </is>
      </c>
      <c r="I349" s="14" t="inlineStr">
        <is>
          <t>기부</t>
        </is>
      </c>
      <c r="J349" s="16" t="inlineStr">
        <is>
          <t>8957075801 9788957075807</t>
        </is>
      </c>
      <c r="K349" s="17" t="inlineStr">
        <is>
          <t>https://search1.kakaocdn.net/thumb/R120x174.q85/?fname=http%3A%2F%2Ft1.daumcdn.net%2Flbook%2Fimage%2F751095%3Ftimestamp%3D20221005041739</t>
        </is>
      </c>
    </row>
    <row r="350" ht="16.5" customHeight="1" s="118">
      <c r="A350" s="9" t="n"/>
      <c r="B350" s="10" t="inlineStr">
        <is>
          <t>백범일지</t>
        </is>
      </c>
      <c r="C350" s="10" t="inlineStr">
        <is>
          <t>김구</t>
        </is>
      </c>
      <c r="D350" s="10" t="inlineStr">
        <is>
          <t>서문당</t>
        </is>
      </c>
      <c r="E350" s="12">
        <f>_xludf.IFS(COUNTIF(보류목록!$B$3:$B$1000, B350)&gt;0, "-",COUNTIF(독서목록!$C$2:$C$1099, B350)=0, , COUNTIF(독서목록!$C$2:$C$1099, B350)&gt;0, COUNTIF(독서목록!$C$2:$C$1099, B350))</f>
        <v/>
      </c>
      <c r="F350" s="12">
        <f>_xludf.IFS(COUNTIF(보류목록!$C$3:$C$1000, B350)&gt;0, "-",COUNTIF(독서목록!$D$2:$D$1099, B350)=0, , COUNTIF(독서목록!$D$2:$D$1099, B350)&gt;0, COUNTIF(독서목록!$D$2:$D$1099, B350))</f>
        <v/>
      </c>
      <c r="G350" s="12" t="n"/>
      <c r="H350" s="14" t="n"/>
      <c r="I350" s="14" t="n"/>
      <c r="J350" s="16" t="inlineStr">
        <is>
          <t>8972436933 9788972436935</t>
        </is>
      </c>
      <c r="K350" s="17" t="inlineStr">
        <is>
          <t>https://search1.kakaocdn.net/thumb/R120x174.q85/?fname=http%3A%2F%2Ft1.daumcdn.net%2Flbook%2Fimage%2F5040175%3Ftimestamp%3D20250521195450</t>
        </is>
      </c>
    </row>
    <row r="351" ht="16.5" customHeight="1" s="118">
      <c r="A351" s="9" t="n"/>
      <c r="B351" s="10" t="inlineStr">
        <is>
          <t>미하엘 쾰마이어의 그리스 로마 신화</t>
        </is>
      </c>
      <c r="C351" s="10" t="inlineStr">
        <is>
          <t>미하엘 쾰마이어</t>
        </is>
      </c>
      <c r="D351" s="10" t="inlineStr">
        <is>
          <t>북스캔</t>
        </is>
      </c>
      <c r="E351" s="12">
        <f>_xludf.IFS(COUNTIF(보류목록!$B$3:$B$1000, B351)&gt;0, "-",COUNTIF(독서목록!$C$2:$C$1099, B351)=0, , COUNTIF(독서목록!$C$2:$C$1099, B351)&gt;0, COUNTIF(독서목록!$C$2:$C$1099, B351))</f>
        <v/>
      </c>
      <c r="F351" s="12">
        <f>_xludf.IFS(COUNTIF(보류목록!$C$3:$C$1000, B351)&gt;0, "-",COUNTIF(독서목록!$D$2:$D$1099, B351)=0, , COUNTIF(독서목록!$D$2:$D$1099, B351)&gt;0, COUNTIF(독서목록!$D$2:$D$1099, B351))</f>
        <v/>
      </c>
      <c r="G351" s="12" t="n"/>
      <c r="H351" s="14" t="n"/>
      <c r="I351" s="14" t="n"/>
      <c r="J351" s="16" t="inlineStr">
        <is>
          <t>8988879562 9788988879566</t>
        </is>
      </c>
      <c r="K351" s="17" t="inlineStr">
        <is>
          <t>https://search1.kakaocdn.net/thumb/R120x174.q85/?fname=http%3A%2F%2Ft1.daumcdn.net%2Flbook%2Fimage%2F1283542%3Ftimestamp%3D20220114162806</t>
        </is>
      </c>
    </row>
    <row r="352" ht="16.5" customHeight="1" s="118">
      <c r="A352" s="9" t="n"/>
      <c r="B352" s="10" t="inlineStr">
        <is>
          <t>마당 깊은 집</t>
        </is>
      </c>
      <c r="C352" s="10" t="inlineStr">
        <is>
          <t>김원일</t>
        </is>
      </c>
      <c r="D352" s="10" t="inlineStr">
        <is>
          <t>문학과지성사</t>
        </is>
      </c>
      <c r="E352" s="12">
        <f>_xludf.IFS(COUNTIF(보류목록!$B$3:$B$1000, B352)&gt;0, "-",COUNTIF(독서목록!$C$2:$C$1099, B352)=0, , COUNTIF(독서목록!$C$2:$C$1099, B352)&gt;0, COUNTIF(독서목록!$C$2:$C$1099, B352))</f>
        <v/>
      </c>
      <c r="F352" s="12">
        <f>_xludf.IFS(COUNTIF(보류목록!$C$3:$C$1000, B352)&gt;0, "-",COUNTIF(독서목록!$D$2:$D$1099, B352)=0, , COUNTIF(독서목록!$D$2:$D$1099, B352)&gt;0, COUNTIF(독서목록!$D$2:$D$1099, B352))</f>
        <v/>
      </c>
      <c r="G352" s="12" t="n"/>
      <c r="H352" s="14" t="n"/>
      <c r="I352" s="14" t="n"/>
      <c r="J352" s="16" t="inlineStr">
        <is>
          <t>8932010129 9788932010120</t>
        </is>
      </c>
      <c r="K352" s="17" t="inlineStr">
        <is>
          <t>https://search1.kakaocdn.net/thumb/R120x174.q85/?fname=http%3A%2F%2Ft1.daumcdn.net%2Flbook%2Fimage%2F496221%3Ftimestamp%3D20211023210406</t>
        </is>
      </c>
    </row>
    <row r="353" ht="16.5" customHeight="1" s="118">
      <c r="A353" s="9" t="n"/>
      <c r="B353" s="10" t="inlineStr">
        <is>
          <t>사진이 즐거워지는 사진책</t>
        </is>
      </c>
      <c r="C353" s="10" t="inlineStr">
        <is>
          <t>채승우</t>
        </is>
      </c>
      <c r="D353" s="10" t="inlineStr">
        <is>
          <t>넥서스</t>
        </is>
      </c>
      <c r="E353" s="12">
        <f>_xludf.IFS(COUNTIF(보류목록!$B$3:$B$1000, B353)&gt;0, "-",COUNTIF(독서목록!$C$2:$C$1099, B353)=0, , COUNTIF(독서목록!$C$2:$C$1099, B353)&gt;0, COUNTIF(독서목록!$C$2:$C$1099, B353))</f>
        <v/>
      </c>
      <c r="F353" s="12">
        <f>_xludf.IFS(COUNTIF(보류목록!$C$3:$C$1000, B353)&gt;0, "-",COUNTIF(독서목록!$D$2:$D$1099, B353)=0, , COUNTIF(독서목록!$D$2:$D$1099, B353)&gt;0, COUNTIF(독서목록!$D$2:$D$1099, B353))</f>
        <v/>
      </c>
      <c r="G353" s="12" t="n"/>
      <c r="H353" s="14" t="n"/>
      <c r="I353" s="14" t="n"/>
      <c r="J353" s="16" t="inlineStr">
        <is>
          <t>8957970789 9788957970782</t>
        </is>
      </c>
      <c r="K353" s="17" t="inlineStr">
        <is>
          <t>https://search1.kakaocdn.net/thumb/R120x174.q85/?fname=http%3A%2F%2Ft1.daumcdn.net%2Flbook%2Fimage%2F769767%3Ftimestamp%3D20190124220947</t>
        </is>
      </c>
    </row>
    <row r="354" ht="16.5" customHeight="1" s="118">
      <c r="A354" s="9" t="n"/>
      <c r="B354" s="10" t="inlineStr">
        <is>
          <t>그러나 나는 살아가리라</t>
        </is>
      </c>
      <c r="C354" s="10" t="inlineStr">
        <is>
          <t>유용주</t>
        </is>
      </c>
      <c r="D354" s="10" t="inlineStr">
        <is>
          <t>솔</t>
        </is>
      </c>
      <c r="E354" s="12">
        <f>_xludf.IFS(COUNTIF(보류목록!$B$3:$B$1000, B354)&gt;0, "-",COUNTIF(독서목록!$C$2:$C$1099, B354)=0, , COUNTIF(독서목록!$C$2:$C$1099, B354)&gt;0, COUNTIF(독서목록!$C$2:$C$1099, B354))</f>
        <v/>
      </c>
      <c r="F354" s="12">
        <f>_xludf.IFS(COUNTIF(보류목록!$C$3:$C$1000, B354)&gt;0, "-",COUNTIF(독서목록!$D$2:$D$1099, B354)=0, , COUNTIF(독서목록!$D$2:$D$1099, B354)&gt;0, COUNTIF(독서목록!$D$2:$D$1099, B354))</f>
        <v/>
      </c>
      <c r="G354" s="12" t="n"/>
      <c r="H354" s="14" t="n"/>
      <c r="I354" s="14" t="n"/>
      <c r="J354" s="16" t="inlineStr">
        <is>
          <t>8981334161 9788981334161</t>
        </is>
      </c>
      <c r="K354" s="17" t="inlineStr">
        <is>
          <t>https://search1.kakaocdn.net/thumb/R120x174.q85/?fname=http%3A%2F%2Ft1.daumcdn.net%2Flbook%2Fimage%2F1132319%3Ftimestamp%3D20220206174903</t>
        </is>
      </c>
    </row>
    <row r="355" ht="16.5" customHeight="1" s="118">
      <c r="A355" s="9" t="n"/>
      <c r="B355" s="10" t="inlineStr">
        <is>
          <t>무량수전 배흘림기둥에 기대서서</t>
        </is>
      </c>
      <c r="C355" s="10" t="inlineStr">
        <is>
          <t>최순우</t>
        </is>
      </c>
      <c r="D355" s="10" t="inlineStr">
        <is>
          <t>학고재</t>
        </is>
      </c>
      <c r="E355" s="12">
        <f>_xludf.IFS(COUNTIF(보류목록!$B$3:$B$1000, B355)&gt;0, "-",COUNTIF(독서목록!$C$2:$C$1099, B355)=0, , COUNTIF(독서목록!$C$2:$C$1099, B355)&gt;0, COUNTIF(독서목록!$C$2:$C$1099, B355))</f>
        <v/>
      </c>
      <c r="F355" s="12">
        <f>_xludf.IFS(COUNTIF(보류목록!$C$3:$C$1000, B355)&gt;0, "-",COUNTIF(독서목록!$D$2:$D$1099, B355)=0, , COUNTIF(독서목록!$D$2:$D$1099, B355)&gt;0, COUNTIF(독서목록!$D$2:$D$1099, B355))</f>
        <v/>
      </c>
      <c r="G355" s="12" t="n"/>
      <c r="H355" s="14" t="n"/>
      <c r="I355" s="14" t="n"/>
      <c r="J355" s="16" t="inlineStr">
        <is>
          <t>8956250820 9788956250823</t>
        </is>
      </c>
      <c r="K355" s="17" t="inlineStr">
        <is>
          <t>https://search1.kakaocdn.net/thumb/R120x174.q85/?fname=http%3A%2F%2Ft1.daumcdn.net%2Flbook%2Fimage%2F728195%3Ftimestamp%3D20260226110827</t>
        </is>
      </c>
    </row>
    <row r="356" ht="16.5" customHeight="1" s="118">
      <c r="A356" s="9" t="n"/>
      <c r="B356" s="10" t="inlineStr">
        <is>
          <t>오르세 미술관</t>
        </is>
      </c>
      <c r="C356" s="10" t="inlineStr">
        <is>
          <t>시모나 바르탈레나</t>
        </is>
      </c>
      <c r="D356" s="10" t="inlineStr">
        <is>
          <t>마로니에북스</t>
        </is>
      </c>
      <c r="E356" s="12">
        <f>_xludf.IFS(COUNTIF(보류목록!$B$3:$B$1000, B356)&gt;0, "-",COUNTIF(독서목록!$C$2:$C$1099, B356)=0, , COUNTIF(독서목록!$C$2:$C$1099, B356)&gt;0, COUNTIF(독서목록!$C$2:$C$1099, B356))</f>
        <v/>
      </c>
      <c r="F356" s="12">
        <f>_xludf.IFS(COUNTIF(보류목록!$C$3:$C$1000, B356)&gt;0, "-",COUNTIF(독서목록!$D$2:$D$1099, B356)=0, , COUNTIF(독서목록!$D$2:$D$1099, B356)&gt;0, COUNTIF(독서목록!$D$2:$D$1099, B356))</f>
        <v/>
      </c>
      <c r="G356" s="12" t="n"/>
      <c r="H356" s="14" t="inlineStr">
        <is>
          <t>기부</t>
        </is>
      </c>
      <c r="I356" s="14" t="inlineStr">
        <is>
          <t>기부</t>
        </is>
      </c>
      <c r="J356" s="16" t="inlineStr">
        <is>
          <t>896053031X 9788960530317</t>
        </is>
      </c>
      <c r="K356" s="17" t="inlineStr">
        <is>
          <t>https://search1.kakaocdn.net/thumb/R120x174.q85/?fname=http%3A%2F%2Ft1.daumcdn.net%2Flbook%2Fimage%2F833907%3Ftimestamp%3D20231125162212</t>
        </is>
      </c>
    </row>
    <row r="357" ht="16.5" customHeight="1" s="118">
      <c r="A357" s="9" t="n"/>
      <c r="B357" s="10" t="inlineStr">
        <is>
          <t>타샤의 그림 정원</t>
        </is>
      </c>
      <c r="C357" s="10" t="inlineStr">
        <is>
          <t>타샤 튜더</t>
        </is>
      </c>
      <c r="D357" s="10" t="inlineStr">
        <is>
          <t>윌북</t>
        </is>
      </c>
      <c r="E357" s="12">
        <f>_xludf.IFS(COUNTIF(보류목록!$B$3:$B$1000, B357)&gt;0, "-",COUNTIF(독서목록!$C$2:$C$1099, B357)=0, , COUNTIF(독서목록!$C$2:$C$1099, B357)&gt;0, COUNTIF(독서목록!$C$2:$C$1099, B357))</f>
        <v/>
      </c>
      <c r="F357" s="12">
        <f>_xludf.IFS(COUNTIF(보류목록!$C$3:$C$1000, B357)&gt;0, "-",COUNTIF(독서목록!$D$2:$D$1099, B357)=0, , COUNTIF(독서목록!$D$2:$D$1099, B357)&gt;0, COUNTIF(독서목록!$D$2:$D$1099, B357))</f>
        <v/>
      </c>
      <c r="G357" s="12" t="n"/>
      <c r="H357" s="14" t="inlineStr">
        <is>
          <t>기부</t>
        </is>
      </c>
      <c r="I357" s="14" t="inlineStr">
        <is>
          <t>기부</t>
        </is>
      </c>
      <c r="J357" s="16" t="inlineStr">
        <is>
          <t>1155810260 9791155810262</t>
        </is>
      </c>
      <c r="K357" s="17" t="inlineStr">
        <is>
          <t>https://search1.kakaocdn.net/thumb/R120x174.q85/?fname=http%3A%2F%2Ft1.daumcdn.net%2Flbook%2Fimage%2F1552519%3Ftimestamp%3D20221025130710</t>
        </is>
      </c>
    </row>
    <row r="358" ht="16.5" customHeight="1" s="118">
      <c r="A358" s="9" t="n"/>
      <c r="B358" s="10" t="inlineStr">
        <is>
          <t>잃어버린 낙원을 찾아서</t>
        </is>
      </c>
      <c r="C358" s="10" t="inlineStr">
        <is>
          <t>림헹쉬</t>
        </is>
      </c>
      <c r="D358" s="10" t="inlineStr">
        <is>
          <t>가야북스</t>
        </is>
      </c>
      <c r="E358" s="12">
        <f>_xludf.IFS(COUNTIF(보류목록!$B$3:$B$1000, B358)&gt;0, "-",COUNTIF(독서목록!$C$2:$C$1099, B358)=0, , COUNTIF(독서목록!$C$2:$C$1099, B358)&gt;0, COUNTIF(독서목록!$C$2:$C$1099, B358))</f>
        <v/>
      </c>
      <c r="F358" s="12">
        <f>_xludf.IFS(COUNTIF(보류목록!$C$3:$C$1000, B358)&gt;0, "-",COUNTIF(독서목록!$D$2:$D$1099, B358)=0, , COUNTIF(독서목록!$D$2:$D$1099, B358)&gt;0, COUNTIF(독서목록!$D$2:$D$1099, B358))</f>
        <v/>
      </c>
      <c r="G358" s="12" t="n"/>
      <c r="H358" s="14" t="inlineStr">
        <is>
          <t>기부</t>
        </is>
      </c>
      <c r="I358" s="14" t="inlineStr">
        <is>
          <t>기부</t>
        </is>
      </c>
      <c r="J358" s="16" t="inlineStr">
        <is>
          <t>8989263700 9788989263708</t>
        </is>
      </c>
      <c r="K358" s="17" t="inlineStr">
        <is>
          <t>https://search1.kakaocdn.net/thumb/R120x174.q85/?fname=http%3A%2F%2Ft1.daumcdn.net%2Flbook%2Fimage%2F1291140%3Ftimestamp%3D20221107234601</t>
        </is>
      </c>
    </row>
    <row r="359" ht="16.5" customHeight="1" s="118">
      <c r="A359" s="9" t="n"/>
      <c r="B359" s="10" t="inlineStr">
        <is>
          <t>체사레 보르자 혹은 우아한 냉혹</t>
        </is>
      </c>
      <c r="C359" s="10" t="inlineStr">
        <is>
          <t>사오노 나나미</t>
        </is>
      </c>
      <c r="D359" s="10" t="inlineStr">
        <is>
          <t>한길사</t>
        </is>
      </c>
      <c r="E359" s="12">
        <f>_xludf.IFS(COUNTIF(보류목록!$B$3:$B$1000, B359)&gt;0, "-",COUNTIF(독서목록!$C$2:$C$1099, B359)=0, , COUNTIF(독서목록!$C$2:$C$1099, B359)&gt;0, COUNTIF(독서목록!$C$2:$C$1099, B359))</f>
        <v/>
      </c>
      <c r="F359" s="12">
        <f>_xludf.IFS(COUNTIF(보류목록!$C$3:$C$1000, B359)&gt;0, "-",COUNTIF(독서목록!$D$2:$D$1099, B359)=0, , COUNTIF(독서목록!$D$2:$D$1099, B359)&gt;0, COUNTIF(독서목록!$D$2:$D$1099, B359))</f>
        <v/>
      </c>
      <c r="G359" s="12" t="n"/>
      <c r="H359" s="14" t="n"/>
      <c r="I359" s="14" t="n"/>
      <c r="J359" s="16" t="inlineStr">
        <is>
          <t>893561081X 9788935610815</t>
        </is>
      </c>
      <c r="K359" s="19" t="inlineStr">
        <is>
          <t>https://search1.kakaocdn.net/thumb/R120x174.q85/?fname=http%3A%2F%2Ft1.daumcdn.net%2Flbook%2Fimage%2F525503%3Ftimestamp%3D20221025124846</t>
        </is>
      </c>
    </row>
    <row r="360" ht="16.5" customHeight="1" s="118">
      <c r="A360" s="9" t="n"/>
      <c r="B360" s="10" t="inlineStr">
        <is>
          <t>동물농장</t>
        </is>
      </c>
      <c r="C360" s="10" t="inlineStr">
        <is>
          <t>조지 오웰</t>
        </is>
      </c>
      <c r="D360" s="10" t="inlineStr">
        <is>
          <t>꿈꾸는 아이들</t>
        </is>
      </c>
      <c r="E360" s="12">
        <f>_xludf.IFS(COUNTIF(보류목록!$B$3:$B$1000, B360)&gt;0, "-",COUNTIF(독서목록!$C$2:$C$1099, B360)=0, , COUNTIF(독서목록!$C$2:$C$1099, B360)&gt;0, COUNTIF(독서목록!$C$2:$C$1099, B360))</f>
        <v/>
      </c>
      <c r="F360" s="12">
        <f>_xludf.IFS(COUNTIF(보류목록!$C$3:$C$1000, B360)&gt;0, "-",COUNTIF(독서목록!$D$2:$D$1099, B360)=0, , COUNTIF(독서목록!$D$2:$D$1099, B360)&gt;0, COUNTIF(독서목록!$D$2:$D$1099, B360))</f>
        <v/>
      </c>
      <c r="G360" s="12" t="n"/>
      <c r="H360" s="14" t="n"/>
      <c r="I360" s="14" t="n"/>
      <c r="J360" s="16" t="inlineStr">
        <is>
          <t>4808984975583</t>
        </is>
      </c>
      <c r="K360" s="17" t="inlineStr">
        <is>
          <t>https://search1.kakaocdn.net/thumb/R120x174.q85/?fname=http%3A%2F%2Ft1.daumcdn.net%2Flbook%2Fimage%2F4449453%3Ftimestamp%3D20190228220735</t>
        </is>
      </c>
    </row>
    <row r="361" ht="16.5" customHeight="1" s="118">
      <c r="A361" s="9" t="n"/>
      <c r="B361" s="29" t="inlineStr">
        <is>
          <t>브리다</t>
        </is>
      </c>
      <c r="C361" s="10" t="inlineStr">
        <is>
          <t>파울로 코엘료</t>
        </is>
      </c>
      <c r="D361" s="10" t="inlineStr">
        <is>
          <t>문학동네</t>
        </is>
      </c>
      <c r="E361" s="12">
        <f>_xludf.IFS(COUNTIF(보류목록!$B$3:$B$1000, B361)&gt;0, "-",COUNTIF(독서목록!$C$2:$C$1099, B361)=0, , COUNTIF(독서목록!$C$2:$C$1099, B361)&gt;0, COUNTIF(독서목록!$C$2:$C$1099, B361))</f>
        <v/>
      </c>
      <c r="F361" s="12">
        <f>_xludf.IFS(COUNTIF(보류목록!$C$3:$C$1000, B361)&gt;0, "-",COUNTIF(독서목록!$D$2:$D$1099, B361)=0, , COUNTIF(독서목록!$D$2:$D$1099, B361)&gt;0, COUNTIF(독서목록!$D$2:$D$1099, B361))</f>
        <v/>
      </c>
      <c r="G361" s="12" t="n"/>
      <c r="H361" s="14" t="inlineStr">
        <is>
          <t>기부</t>
        </is>
      </c>
      <c r="I361" s="14" t="inlineStr">
        <is>
          <t>기부</t>
        </is>
      </c>
      <c r="J361" s="16" t="inlineStr">
        <is>
          <t>8954612997 9788954612999</t>
        </is>
      </c>
      <c r="K361" s="17" t="inlineStr">
        <is>
          <t>https://search1.kakaocdn.net/thumb/R120x174.q85/?fname=http%3A%2F%2Ft1.daumcdn.net%2Flbook%2Fimage%2F690644%3Ftimestamp%3D20251209110833</t>
        </is>
      </c>
    </row>
    <row r="362" ht="16.5" customHeight="1" s="118">
      <c r="A362" s="9" t="n"/>
      <c r="B362" s="10" t="inlineStr">
        <is>
          <t>베로니카, 죽기로 결심하다</t>
        </is>
      </c>
      <c r="C362" s="10" t="inlineStr">
        <is>
          <t>파울로 코엘료</t>
        </is>
      </c>
      <c r="D362" s="10" t="inlineStr">
        <is>
          <t>문학동네</t>
        </is>
      </c>
      <c r="E362" s="12">
        <f>_xludf.IFS(COUNTIF(보류목록!$B$3:$B$1000, B362)&gt;0, "-",COUNTIF(독서목록!$C$2:$C$1099, B362)=0, , COUNTIF(독서목록!$C$2:$C$1099, B362)&gt;0, COUNTIF(독서목록!$C$2:$C$1099, B362))</f>
        <v/>
      </c>
      <c r="F362" s="12">
        <f>_xludf.IFS(COUNTIF(보류목록!$C$3:$C$1000, B362)&gt;0, "-",COUNTIF(독서목록!$D$2:$D$1099, B362)=0, , COUNTIF(독서목록!$D$2:$D$1099, B362)&gt;0, COUNTIF(독서목록!$D$2:$D$1099, B362))</f>
        <v/>
      </c>
      <c r="G362" s="12" t="n"/>
      <c r="H362" s="14" t="inlineStr">
        <is>
          <t>기부</t>
        </is>
      </c>
      <c r="I362" s="14" t="inlineStr">
        <is>
          <t>기부</t>
        </is>
      </c>
      <c r="J362" s="16" t="inlineStr">
        <is>
          <t>8982817425 9788982817427</t>
        </is>
      </c>
      <c r="K362" s="17" t="inlineStr">
        <is>
          <t>https://search1.kakaocdn.net/thumb/R120x174.q85/?fname=http%3A%2F%2Ft1.daumcdn.net%2Flbook%2Fimage%2F1155215%3Ftimestamp%3D20221011190048</t>
        </is>
      </c>
    </row>
    <row r="363" ht="16.5" customHeight="1" s="118">
      <c r="A363" s="9" t="n"/>
      <c r="B363" s="10" t="inlineStr">
        <is>
          <t>11분</t>
        </is>
      </c>
      <c r="C363" s="10" t="inlineStr">
        <is>
          <t>파울로 코엘료</t>
        </is>
      </c>
      <c r="D363" s="10" t="inlineStr">
        <is>
          <t>문학동네</t>
        </is>
      </c>
      <c r="E363" s="12">
        <f>_xludf.IFS(COUNTIF(보류목록!$B$3:$B$1000, B363)&gt;0, "-",COUNTIF(독서목록!$C$2:$C$1099, B363)=0, , COUNTIF(독서목록!$C$2:$C$1099, B363)&gt;0, COUNTIF(독서목록!$C$2:$C$1099, B363))</f>
        <v/>
      </c>
      <c r="F363" s="12">
        <f>_xludf.IFS(COUNTIF(보류목록!$C$3:$C$1000, B363)&gt;0, "-",COUNTIF(독서목록!$D$2:$D$1099, B363)=0, , COUNTIF(독서목록!$D$2:$D$1099, B363)&gt;0, COUNTIF(독서목록!$D$2:$D$1099, B363))</f>
        <v/>
      </c>
      <c r="G363" s="12" t="n"/>
      <c r="H363" s="14" t="inlineStr">
        <is>
          <t>기부</t>
        </is>
      </c>
      <c r="I363" s="14" t="inlineStr">
        <is>
          <t>기부</t>
        </is>
      </c>
      <c r="J363" s="16" t="inlineStr">
        <is>
          <t>8982818227 9788982818226</t>
        </is>
      </c>
      <c r="K363" s="17" t="inlineStr">
        <is>
          <t>https://search1.kakaocdn.net/thumb/R120x174.q85/?fname=http%3A%2F%2Ft1.daumcdn.net%2Flbook%2Fimage%2F1153648%3Ftimestamp%3D20251209110810</t>
        </is>
      </c>
    </row>
    <row r="364" ht="16.5" customHeight="1" s="118">
      <c r="A364" s="9" t="n"/>
      <c r="B364" s="10" t="inlineStr">
        <is>
          <t>연금술사</t>
        </is>
      </c>
      <c r="C364" s="10" t="inlineStr">
        <is>
          <t>파울로 코엘료</t>
        </is>
      </c>
      <c r="D364" s="10" t="inlineStr">
        <is>
          <t>문학동네</t>
        </is>
      </c>
      <c r="E364" s="12">
        <f>_xludf.IFS(COUNTIF(보류목록!$B$3:$B$1000, B364)&gt;0, "-",COUNTIF(독서목록!$C$2:$C$1099, B364)=0, , COUNTIF(독서목록!$C$2:$C$1099, B364)&gt;0, COUNTIF(독서목록!$C$2:$C$1099, B364))</f>
        <v/>
      </c>
      <c r="F364" s="12">
        <f>_xludf.IFS(COUNTIF(보류목록!$C$3:$C$1000, B364)&gt;0, "-",COUNTIF(독서목록!$D$2:$D$1099, B364)=0, , COUNTIF(독서목록!$D$2:$D$1099, B364)&gt;0, COUNTIF(독서목록!$D$2:$D$1099, B364))</f>
        <v/>
      </c>
      <c r="G364" s="12" t="n"/>
      <c r="H364" s="14" t="inlineStr">
        <is>
          <t>기부</t>
        </is>
      </c>
      <c r="I364" s="14" t="inlineStr">
        <is>
          <t>기부</t>
        </is>
      </c>
      <c r="J364" s="16" t="inlineStr">
        <is>
          <t>8982814477 9788982814471</t>
        </is>
      </c>
      <c r="K364" s="17" t="inlineStr">
        <is>
          <t>https://search1.kakaocdn.net/thumb/R120x174.q85/?fname=http%3A%2F%2Ft1.daumcdn.net%2Flbook%2Fimage%2F1153572%3Ftimestamp%3D20240925114638</t>
        </is>
      </c>
    </row>
    <row r="365" ht="16.5" customHeight="1" s="118">
      <c r="A365" s="9" t="n"/>
      <c r="B365" s="10" t="inlineStr">
        <is>
          <t>흐르는 강물처럼</t>
        </is>
      </c>
      <c r="C365" s="10" t="inlineStr">
        <is>
          <t>파울로 코엘료</t>
        </is>
      </c>
      <c r="D365" s="10" t="inlineStr">
        <is>
          <t>문학동네</t>
        </is>
      </c>
      <c r="E365" s="12">
        <f>_xludf.IFS(COUNTIF(보류목록!$B$3:$B$1000, B365)&gt;0, "-",COUNTIF(독서목록!$C$2:$C$1099, B365)=0, , COUNTIF(독서목록!$C$2:$C$1099, B365)&gt;0, COUNTIF(독서목록!$C$2:$C$1099, B365))</f>
        <v/>
      </c>
      <c r="F365" s="12">
        <f>_xludf.IFS(COUNTIF(보류목록!$C$3:$C$1000, B365)&gt;0, "-",COUNTIF(독서목록!$D$2:$D$1099, B365)=0, , COUNTIF(독서목록!$D$2:$D$1099, B365)&gt;0, COUNTIF(독서목록!$D$2:$D$1099, B365))</f>
        <v/>
      </c>
      <c r="G365" s="12" t="n"/>
      <c r="H365" s="14" t="inlineStr">
        <is>
          <t>기부</t>
        </is>
      </c>
      <c r="I365" s="14" t="inlineStr">
        <is>
          <t>기부</t>
        </is>
      </c>
      <c r="J365" s="16" t="inlineStr">
        <is>
          <t>8954606830 9788954606837</t>
        </is>
      </c>
      <c r="K365" s="17" t="inlineStr">
        <is>
          <t>https://search1.kakaocdn.net/thumb/R120x174.q85/?fname=http%3A%2F%2Ft1.daumcdn.net%2Flbook%2Fimage%2F690296%3Ftimestamp%3D20251110110544</t>
        </is>
      </c>
    </row>
    <row r="366" ht="16.5" customHeight="1" s="118">
      <c r="A366" s="9" t="n"/>
      <c r="B366" s="10" t="inlineStr">
        <is>
          <t>상실의 시대</t>
        </is>
      </c>
      <c r="C366" s="10" t="inlineStr">
        <is>
          <t>무라카미 하루키</t>
        </is>
      </c>
      <c r="D366" s="10" t="inlineStr">
        <is>
          <t>문학사상사</t>
        </is>
      </c>
      <c r="E366" s="12">
        <f>_xludf.IFS(COUNTIF(보류목록!$B$3:$B$1000, B366)&gt;0, "-",COUNTIF(독서목록!$C$2:$C$1099, B366)=0, , COUNTIF(독서목록!$C$2:$C$1099, B366)&gt;0, COUNTIF(독서목록!$C$2:$C$1099, B366))</f>
        <v/>
      </c>
      <c r="F366" s="12">
        <f>_xludf.IFS(COUNTIF(보류목록!$C$3:$C$1000, B366)&gt;0, "-",COUNTIF(독서목록!$D$2:$D$1099, B366)=0, , COUNTIF(독서목록!$D$2:$D$1099, B366)&gt;0, COUNTIF(독서목록!$D$2:$D$1099, B366))</f>
        <v/>
      </c>
      <c r="G366" s="12" t="n"/>
      <c r="H366" s="14" t="inlineStr">
        <is>
          <t>기부</t>
        </is>
      </c>
      <c r="I366" s="14" t="inlineStr">
        <is>
          <t>기부</t>
        </is>
      </c>
      <c r="J366" s="16" t="inlineStr">
        <is>
          <t>8970123695 9788970123691</t>
        </is>
      </c>
      <c r="K366" s="17" t="inlineStr">
        <is>
          <t>https://search1.kakaocdn.net/thumb/R120x174.q85/?fname=http%3A%2F%2Ft1.daumcdn.net%2Flbook%2Fimage%2F953609%3Ftimestamp%3D20260410110557</t>
        </is>
      </c>
    </row>
    <row r="367" ht="16.5" customHeight="1" s="118">
      <c r="A367" s="9" t="n"/>
      <c r="B367" s="10" t="inlineStr">
        <is>
          <t>내 영혼이 따뜻했던 날들</t>
        </is>
      </c>
      <c r="C367" s="10" t="inlineStr">
        <is>
          <t>포리스터 카터</t>
        </is>
      </c>
      <c r="D367" s="10" t="inlineStr">
        <is>
          <t>아름드리미디어</t>
        </is>
      </c>
      <c r="E367" s="12">
        <f>_xludf.IFS(COUNTIF(보류목록!$B$3:$B$1000, B367)&gt;0, "-",COUNTIF(독서목록!$C$2:$C$1099, B367)=0, , COUNTIF(독서목록!$C$2:$C$1099, B367)&gt;0, COUNTIF(독서목록!$C$2:$C$1099, B367))</f>
        <v/>
      </c>
      <c r="F367" s="12">
        <f>_xludf.IFS(COUNTIF(보류목록!$C$3:$C$1000, B367)&gt;0, "-",COUNTIF(독서목록!$D$2:$D$1099, B367)=0, , COUNTIF(독서목록!$D$2:$D$1099, B367)&gt;0, COUNTIF(독서목록!$D$2:$D$1099, B367))</f>
        <v/>
      </c>
      <c r="G367" s="12" t="n"/>
      <c r="H367" s="14" t="n"/>
      <c r="I367" s="14" t="n"/>
      <c r="J367" s="16" t="inlineStr">
        <is>
          <t>8988404513 9788988404515</t>
        </is>
      </c>
      <c r="K367" s="17" t="inlineStr">
        <is>
          <t>https://search1.kakaocdn.net/thumb/R120x174.q85/?fname=http%3A%2F%2Ft1.daumcdn.net%2Flbook%2Fimage%2F1272540%3Ftimestamp%3D20221004004140</t>
        </is>
      </c>
    </row>
    <row r="368" ht="16.5" customHeight="1" s="118">
      <c r="A368" s="9" t="n"/>
      <c r="B368" s="10" t="inlineStr">
        <is>
          <t>칭찬은 고래도 춤추게 한다</t>
        </is>
      </c>
      <c r="C368" s="10" t="inlineStr">
        <is>
          <t>켄 블랜차드</t>
        </is>
      </c>
      <c r="D368" s="10" t="inlineStr">
        <is>
          <t>21세기북스</t>
        </is>
      </c>
      <c r="E368" s="12">
        <f>_xludf.IFS(COUNTIF(보류목록!$B$3:$B$1000, B368)&gt;0, "-",COUNTIF(독서목록!$C$2:$C$1099, B368)=0, , COUNTIF(독서목록!$C$2:$C$1099, B368)&gt;0, COUNTIF(독서목록!$C$2:$C$1099, B368))</f>
        <v/>
      </c>
      <c r="F368" s="12">
        <f>_xludf.IFS(COUNTIF(보류목록!$C$3:$C$1000, B368)&gt;0, "-",COUNTIF(독서목록!$D$2:$D$1099, B368)=0, , COUNTIF(독서목록!$D$2:$D$1099, B368)&gt;0, COUNTIF(독서목록!$D$2:$D$1099, B368))</f>
        <v/>
      </c>
      <c r="G368" s="12" t="n"/>
      <c r="H368" s="14" t="inlineStr">
        <is>
          <t>기부</t>
        </is>
      </c>
      <c r="I368" s="14" t="inlineStr">
        <is>
          <t>기부</t>
        </is>
      </c>
      <c r="J368" s="16" t="inlineStr">
        <is>
          <t>8950905507 9788950905507</t>
        </is>
      </c>
      <c r="K368" s="17" t="inlineStr">
        <is>
          <t>https://search1.kakaocdn.net/thumb/R120x174.q85/?fname=http%3A%2F%2Ft1.daumcdn.net%2Flbook%2Fimage%2F621402%3Ftimestamp%3D20221004000729</t>
        </is>
      </c>
    </row>
    <row r="369" ht="16.5" customHeight="1" s="118">
      <c r="A369" s="9" t="n"/>
      <c r="B369" s="10" t="inlineStr">
        <is>
          <t>마시멜로 이야기</t>
        </is>
      </c>
      <c r="C369" s="10" t="inlineStr">
        <is>
          <t>호아킴 데 포사다, 엘렌 싱어</t>
        </is>
      </c>
      <c r="D369" s="10" t="inlineStr">
        <is>
          <t>한국경제신문사</t>
        </is>
      </c>
      <c r="E369" s="12">
        <f>_xludf.IFS(COUNTIF(보류목록!$B$3:$B$1000, B369)&gt;0, "-",COUNTIF(독서목록!$C$2:$C$1099, B369)=0, , COUNTIF(독서목록!$C$2:$C$1099, B369)&gt;0, COUNTIF(독서목록!$C$2:$C$1099, B369))</f>
        <v/>
      </c>
      <c r="F369" s="12">
        <f>_xludf.IFS(COUNTIF(보류목록!$C$3:$C$1000, B369)&gt;0, "-",COUNTIF(독서목록!$D$2:$D$1099, B369)=0, , COUNTIF(독서목록!$D$2:$D$1099, B369)&gt;0, COUNTIF(독서목록!$D$2:$D$1099, B369))</f>
        <v/>
      </c>
      <c r="G369" s="12" t="n"/>
      <c r="H369" s="14" t="n"/>
      <c r="I369" s="14" t="n"/>
      <c r="J369" s="16" t="inlineStr">
        <is>
          <t>8947525472 9788947525473</t>
        </is>
      </c>
      <c r="K369" s="17" t="inlineStr">
        <is>
          <t>https://search1.kakaocdn.net/thumb/R120x174.q85/?fname=http%3A%2F%2Ft1.daumcdn.net%2Flbook%2Fimage%2F611452%3Ftimestamp%3D20250627113354</t>
        </is>
      </c>
    </row>
    <row r="370" ht="16.5" customHeight="1" s="118">
      <c r="A370" s="9" t="n"/>
      <c r="B370" s="10" t="inlineStr">
        <is>
          <t>누가 내 치즈를 옮겼을까</t>
        </is>
      </c>
      <c r="C370" s="10" t="inlineStr">
        <is>
          <t>스펜서 존스</t>
        </is>
      </c>
      <c r="D370" s="10" t="inlineStr">
        <is>
          <t>진명출판사</t>
        </is>
      </c>
      <c r="E370" s="12">
        <f>_xludf.IFS(COUNTIF(보류목록!$B$3:$B$1000, B370)&gt;0, "-",COUNTIF(독서목록!$C$2:$C$1099, B370)=0, , COUNTIF(독서목록!$C$2:$C$1099, B370)&gt;0, COUNTIF(독서목록!$C$2:$C$1099, B370))</f>
        <v/>
      </c>
      <c r="F370" s="12">
        <f>_xludf.IFS(COUNTIF(보류목록!$C$3:$C$1000, B370)&gt;0, "-",COUNTIF(독서목록!$D$2:$D$1099, B370)=0, , COUNTIF(독서목록!$D$2:$D$1099, B370)&gt;0, COUNTIF(독서목록!$D$2:$D$1099, B370))</f>
        <v/>
      </c>
      <c r="G370" s="12" t="n"/>
      <c r="H370" s="14" t="n"/>
      <c r="I370" s="14" t="n"/>
      <c r="J370" s="16" t="inlineStr">
        <is>
          <t>8980103034 9788980103034</t>
        </is>
      </c>
      <c r="K370" s="19" t="inlineStr">
        <is>
          <t>https://search1.kakaocdn.net/thumb/R120x174.q85/?fname=http%3A%2F%2Ft1.daumcdn.net%2Flbook%2Fimage%2F1116997%3Ftimestamp%3D20221108011943</t>
        </is>
      </c>
    </row>
    <row r="371" ht="16.5" customHeight="1" s="118">
      <c r="A371" s="9" t="n"/>
      <c r="B371" s="10" t="inlineStr">
        <is>
          <t>대화의 기술 107의 법칙</t>
        </is>
      </c>
      <c r="C371" s="10" t="inlineStr">
        <is>
          <t>한국인재경영연구회</t>
        </is>
      </c>
      <c r="D371" s="10" t="inlineStr">
        <is>
          <t>경영자료사</t>
        </is>
      </c>
      <c r="E371" s="12">
        <f>_xludf.IFS(COUNTIF(보류목록!$B$3:$B$1000, B371)&gt;0, "-",COUNTIF(독서목록!$C$2:$C$1099, B371)=0, , COUNTIF(독서목록!$C$2:$C$1099, B371)&gt;0, COUNTIF(독서목록!$C$2:$C$1099, B371))</f>
        <v/>
      </c>
      <c r="F371" s="12">
        <f>_xludf.IFS(COUNTIF(보류목록!$C$3:$C$1000, B371)&gt;0, "-",COUNTIF(독서목록!$D$2:$D$1099, B371)=0, , COUNTIF(독서목록!$D$2:$D$1099, B371)&gt;0, COUNTIF(독서목록!$D$2:$D$1099, B371))</f>
        <v/>
      </c>
      <c r="G371" s="12" t="n"/>
      <c r="H371" s="14" t="n"/>
      <c r="I371" s="14" t="n"/>
      <c r="J371" s="16" t="inlineStr">
        <is>
          <t>8988922239 9788988922231</t>
        </is>
      </c>
      <c r="K371" s="17" t="inlineStr">
        <is>
          <t>https://search1.kakaocdn.net/thumb/R120x174.q85/?fname=http%3A%2F%2Ft1.daumcdn.net%2Flbook%2Fimage%2F1284630%3Ftimestamp%3D20190127152112</t>
        </is>
      </c>
    </row>
    <row r="372" ht="16.5" customHeight="1" s="118">
      <c r="A372" s="9" t="n"/>
      <c r="B372" s="10" t="inlineStr">
        <is>
          <t>그들이 말하지 않는 23가지</t>
        </is>
      </c>
      <c r="C372" s="10" t="inlineStr">
        <is>
          <t>장하준</t>
        </is>
      </c>
      <c r="D372" s="10" t="inlineStr">
        <is>
          <t>부키</t>
        </is>
      </c>
      <c r="E372" s="12">
        <f>_xludf.IFS(COUNTIF(보류목록!$B$3:$B$1000, B372)&gt;0, "-",COUNTIF(독서목록!$C$2:$C$1099, B372)=0, , COUNTIF(독서목록!$C$2:$C$1099, B372)&gt;0, COUNTIF(독서목록!$C$2:$C$1099, B372))</f>
        <v/>
      </c>
      <c r="F372" s="12">
        <f>_xludf.IFS(COUNTIF(보류목록!$C$3:$C$1000, B372)&gt;0, "-",COUNTIF(독서목록!$D$2:$D$1099, B372)=0, , COUNTIF(독서목록!$D$2:$D$1099, B372)&gt;0, COUNTIF(독서목록!$D$2:$D$1099, B372))</f>
        <v/>
      </c>
      <c r="G372" s="12" t="n"/>
      <c r="H372" s="14" t="n"/>
      <c r="I372" s="14" t="n"/>
      <c r="J372" s="16" t="inlineStr">
        <is>
          <t>8960511196 9788960511194</t>
        </is>
      </c>
      <c r="K372" s="17" t="inlineStr">
        <is>
          <t>https://search1.kakaocdn.net/thumb/R120x174.q85/?fname=http%3A%2F%2Ft1.daumcdn.net%2Flbook%2Fimage%2F833529%3Ftimestamp%3D20250911110420</t>
        </is>
      </c>
    </row>
    <row r="373" ht="16.5" customHeight="1" s="118">
      <c r="A373" s="9" t="n"/>
      <c r="B373" s="10" t="inlineStr">
        <is>
          <t>스눕</t>
        </is>
      </c>
      <c r="C373" s="10" t="inlineStr">
        <is>
          <t>샘 고슬링</t>
        </is>
      </c>
      <c r="D373" s="10" t="inlineStr">
        <is>
          <t>한국경제신문사</t>
        </is>
      </c>
      <c r="E373" s="12">
        <f>_xludf.IFS(COUNTIF(보류목록!$B$3:$B$1000, B373)&gt;0, "-",COUNTIF(독서목록!$C$2:$C$1099, B373)=0, , COUNTIF(독서목록!$C$2:$C$1099, B373)&gt;0, COUNTIF(독서목록!$C$2:$C$1099, B373))</f>
        <v/>
      </c>
      <c r="F373" s="12">
        <f>_xludf.IFS(COUNTIF(보류목록!$C$3:$C$1000, B373)&gt;0, "-",COUNTIF(독서목록!$D$2:$D$1099, B373)=0, , COUNTIF(독서목록!$D$2:$D$1099, B373)&gt;0, COUNTIF(독서목록!$D$2:$D$1099, B373))</f>
        <v/>
      </c>
      <c r="G373" s="12" t="n"/>
      <c r="H373" s="14" t="n"/>
      <c r="I373" s="14" t="n"/>
      <c r="J373" s="16" t="inlineStr">
        <is>
          <t>8947527548 9788947527545</t>
        </is>
      </c>
      <c r="K373" s="19" t="inlineStr">
        <is>
          <t>https://search1.kakaocdn.net/thumb/R120x174.q85/?fname=http%3A%2F%2Ft1.daumcdn.net%2Flbook%2Fimage%2F611911%3Ftimestamp%3D20251107110824</t>
        </is>
      </c>
    </row>
    <row r="374" ht="16.5" customHeight="1" s="118">
      <c r="A374" s="9" t="n"/>
      <c r="B374" s="10" t="inlineStr">
        <is>
          <t>왜 도덕인가</t>
        </is>
      </c>
      <c r="C374" s="10" t="inlineStr">
        <is>
          <t>마이클 샌댈</t>
        </is>
      </c>
      <c r="D374" s="10" t="inlineStr">
        <is>
          <t>한국경제신문사</t>
        </is>
      </c>
      <c r="E374" s="12">
        <f>_xludf.IFS(COUNTIF(보류목록!$B$3:$B$1000, B374)&gt;0, "-",COUNTIF(독서목록!$C$2:$C$1099, B374)=0, , COUNTIF(독서목록!$C$2:$C$1099, B374)&gt;0, COUNTIF(독서목록!$C$2:$C$1099, B374))</f>
        <v/>
      </c>
      <c r="F374" s="12">
        <f>_xludf.IFS(COUNTIF(보류목록!$C$3:$C$1000, B374)&gt;0, "-",COUNTIF(독서목록!$D$2:$D$1099, B374)=0, , COUNTIF(독서목록!$D$2:$D$1099, B374)&gt;0, COUNTIF(독서목록!$D$2:$D$1099, B374))</f>
        <v/>
      </c>
      <c r="G374" s="12" t="n"/>
      <c r="H374" s="14" t="n"/>
      <c r="I374" s="14" t="n"/>
      <c r="J374" s="16" t="inlineStr">
        <is>
          <t>8947527750 9788947527750</t>
        </is>
      </c>
      <c r="K374" s="17" t="inlineStr">
        <is>
          <t>https://search1.kakaocdn.net/thumb/R120x174.q85/?fname=http%3A%2F%2Ft1.daumcdn.net%2Flbook%2Fimage%2F611639%3Ftimestamp%3D20250627113326</t>
        </is>
      </c>
    </row>
    <row r="375" ht="16.5" customHeight="1" s="118">
      <c r="A375" s="9" t="n"/>
      <c r="B375" s="10" t="inlineStr">
        <is>
          <t>정의란 무엇인가</t>
        </is>
      </c>
      <c r="C375" s="10" t="inlineStr">
        <is>
          <t>마이클 샌댈</t>
        </is>
      </c>
      <c r="D375" s="10" t="inlineStr">
        <is>
          <t>김영사</t>
        </is>
      </c>
      <c r="E375" s="12">
        <f>_xludf.IFS(COUNTIF(보류목록!$B$3:$B$1000, B375)&gt;0, "-",COUNTIF(독서목록!$C$2:$C$1099, B375)=0, , COUNTIF(독서목록!$C$2:$C$1099, B375)&gt;0, COUNTIF(독서목록!$C$2:$C$1099, B375))</f>
        <v/>
      </c>
      <c r="F375" s="12">
        <f>_xludf.IFS(COUNTIF(보류목록!$C$3:$C$1000, B375)&gt;0, "-",COUNTIF(독서목록!$D$2:$D$1099, B375)=0, , COUNTIF(독서목록!$D$2:$D$1099, B375)&gt;0, COUNTIF(독서목록!$D$2:$D$1099, B375))</f>
        <v/>
      </c>
      <c r="G375" s="12" t="n"/>
      <c r="H375" s="14" t="n"/>
      <c r="I375" s="14" t="n"/>
      <c r="J375" s="16" t="inlineStr">
        <is>
          <t>8934939605 9788934939603</t>
        </is>
      </c>
      <c r="K375" s="17" t="inlineStr">
        <is>
          <t>https://search1.kakaocdn.net/thumb/R120x174.q85/?fname=http%3A%2F%2Ft1.daumcdn.net%2Flbook%2Fimage%2F519868%3Ftimestamp%3D20220929014633</t>
        </is>
      </c>
    </row>
    <row r="376" ht="16.5" customHeight="1" s="118">
      <c r="A376" s="9" t="n"/>
      <c r="B376" s="10" t="inlineStr">
        <is>
          <t>달과 6펜스</t>
        </is>
      </c>
      <c r="C376" s="10" t="inlineStr">
        <is>
          <t>서머싯 몸</t>
        </is>
      </c>
      <c r="D376" s="10" t="inlineStr">
        <is>
          <t>민음사</t>
        </is>
      </c>
      <c r="E376" s="12">
        <f>_xludf.IFS(COUNTIF(보류목록!$B$3:$B$1000, B376)&gt;0, "-",COUNTIF(독서목록!$C$2:$C$1099, B376)=0, , COUNTIF(독서목록!$C$2:$C$1099, B376)&gt;0, COUNTIF(독서목록!$C$2:$C$1099, B376))</f>
        <v/>
      </c>
      <c r="F376" s="12">
        <f>_xludf.IFS(COUNTIF(보류목록!$C$3:$C$1000, B376)&gt;0, "-",COUNTIF(독서목록!$D$2:$D$1099, B376)=0, , COUNTIF(독서목록!$D$2:$D$1099, B376)&gt;0, COUNTIF(독서목록!$D$2:$D$1099, B376))</f>
        <v/>
      </c>
      <c r="G376" s="12" t="n"/>
      <c r="H376" s="14" t="n"/>
      <c r="I376" s="14" t="n"/>
      <c r="J376" s="16" t="inlineStr">
        <is>
          <t>8937460386 9788937460388</t>
        </is>
      </c>
      <c r="K376" s="17" t="inlineStr">
        <is>
          <t>https://search1.kakaocdn.net/thumb/R120x174.q85/?fname=http%3A%2F%2Ft1.daumcdn.net%2Flbook%2Fimage%2F540804%3Ftimestamp%3D20260301110621</t>
        </is>
      </c>
    </row>
    <row r="377" ht="16.5" customHeight="1" s="118">
      <c r="A377" s="9" t="n"/>
      <c r="B377" s="10" t="inlineStr">
        <is>
          <t>향수</t>
        </is>
      </c>
      <c r="C377" s="10" t="inlineStr">
        <is>
          <t>파트리크 쥐스킨트</t>
        </is>
      </c>
      <c r="D377" s="10" t="inlineStr">
        <is>
          <t>열린책들</t>
        </is>
      </c>
      <c r="E377" s="12">
        <f>_xludf.IFS(COUNTIF(보류목록!$B$3:$B$1000, B377)&gt;0, "-",COUNTIF(독서목록!$C$2:$C$1099, B377)=0, , COUNTIF(독서목록!$C$2:$C$1099, B377)&gt;0, COUNTIF(독서목록!$C$2:$C$1099, B377))</f>
        <v/>
      </c>
      <c r="F377" s="12">
        <f>_xludf.IFS(COUNTIF(보류목록!$C$3:$C$1000, B377)&gt;0, "-",COUNTIF(독서목록!$D$2:$D$1099, B377)=0, , COUNTIF(독서목록!$D$2:$D$1099, B377)&gt;0, COUNTIF(독서목록!$D$2:$D$1099, B377))</f>
        <v/>
      </c>
      <c r="G377" s="12" t="n"/>
      <c r="H377" s="14" t="inlineStr">
        <is>
          <t>기부</t>
        </is>
      </c>
      <c r="I377" s="14" t="inlineStr">
        <is>
          <t>기부</t>
        </is>
      </c>
      <c r="J377" s="16" t="inlineStr">
        <is>
          <t>8932903182 9788932903187</t>
        </is>
      </c>
      <c r="K377" s="17" t="inlineStr">
        <is>
          <t>https://search1.kakaocdn.net/thumb/R120x174.q85/?fname=http%3A%2F%2Ft1.daumcdn.net%2Flbook%2Fimage%2F506541%3Ftimestamp%3D20241219113457</t>
        </is>
      </c>
    </row>
    <row r="378" ht="16.5" customHeight="1" s="118">
      <c r="A378" s="9" t="n"/>
      <c r="B378" s="10" t="inlineStr">
        <is>
          <t>개를 데리고 다니는 부인</t>
        </is>
      </c>
      <c r="C378" s="10" t="inlineStr">
        <is>
          <t>안똔 빠블로비치 체호프</t>
        </is>
      </c>
      <c r="D378" s="10" t="inlineStr">
        <is>
          <t>열린책들</t>
        </is>
      </c>
      <c r="E378" s="12">
        <f>_xludf.IFS(COUNTIF(보류목록!$B$3:$B$1000, B378)&gt;0, "-",COUNTIF(독서목록!$C$2:$C$1099, B378)=0, , COUNTIF(독서목록!$C$2:$C$1099, B378)&gt;0, COUNTIF(독서목록!$C$2:$C$1099, B378))</f>
        <v/>
      </c>
      <c r="F378" s="12">
        <f>_xludf.IFS(COUNTIF(보류목록!$C$3:$C$1000, B378)&gt;0, "-",COUNTIF(독서목록!$D$2:$D$1099, B378)=0, , COUNTIF(독서목록!$D$2:$D$1099, B378)&gt;0, COUNTIF(독서목록!$D$2:$D$1099, B378))</f>
        <v/>
      </c>
      <c r="G378" s="12" t="n"/>
      <c r="H378" s="14" t="inlineStr">
        <is>
          <t>기부</t>
        </is>
      </c>
      <c r="I378" s="14" t="inlineStr">
        <is>
          <t>기부</t>
        </is>
      </c>
      <c r="J378" s="16" t="inlineStr">
        <is>
          <t>8932925607 9788932925608</t>
        </is>
      </c>
      <c r="K378" s="17" t="inlineStr">
        <is>
          <t>https://search1.kakaocdn.net/thumb/R120x174.q85/?fname=http%3A%2F%2Ft1.daumcdn.net%2Flbook%2Fimage%2F7171444%3Ftimestamp%3D20260313130219</t>
        </is>
      </c>
    </row>
    <row r="379" ht="16.5" customHeight="1" s="118">
      <c r="A379" s="9" t="n"/>
      <c r="B379" s="10" t="inlineStr">
        <is>
          <t>죄와 벌(하)</t>
        </is>
      </c>
      <c r="C379" s="10" t="inlineStr">
        <is>
          <t>표도르 도스또예프스끼</t>
        </is>
      </c>
      <c r="D379" s="10" t="inlineStr">
        <is>
          <t>열린책들</t>
        </is>
      </c>
      <c r="E379" s="12">
        <f>_xludf.IFS(COUNTIF(보류목록!$B$3:$B$1000, B379)&gt;0, "-",COUNTIF(독서목록!$C$2:$C$1099, B379)=0, , COUNTIF(독서목록!$C$2:$C$1099, B379)&gt;0, COUNTIF(독서목록!$C$2:$C$1099, B379))</f>
        <v/>
      </c>
      <c r="F379" s="12">
        <f>_xludf.IFS(COUNTIF(보류목록!$C$3:$C$1000, B379)&gt;0, "-",COUNTIF(독서목록!$D$2:$D$1099, B379)=0, , COUNTIF(독서목록!$D$2:$D$1099, B379)&gt;0, COUNTIF(독서목록!$D$2:$D$1099, B379))</f>
        <v/>
      </c>
      <c r="G379" s="12" t="n"/>
      <c r="H379" s="14" t="n"/>
      <c r="I379" s="14" t="n"/>
      <c r="J379" s="16" t="inlineStr">
        <is>
          <t>8932918074 9788932918075</t>
        </is>
      </c>
      <c r="K379" s="17" t="inlineStr">
        <is>
          <t>https://search1.kakaocdn.net/thumb/R120x174.q85/?fname=http%3A%2F%2Ft1.daumcdn.net%2Flbook%2Fimage%2F507170%3Ftimestamp%3D20230429145824</t>
        </is>
      </c>
    </row>
    <row r="380" ht="16.5" customHeight="1" s="118">
      <c r="A380" s="9" t="n"/>
      <c r="B380" s="10" t="inlineStr">
        <is>
          <t>죄와 벌(상)</t>
        </is>
      </c>
      <c r="C380" s="10" t="inlineStr">
        <is>
          <t>표도르 도스또예프스끼</t>
        </is>
      </c>
      <c r="D380" s="10" t="inlineStr">
        <is>
          <t>열린책들</t>
        </is>
      </c>
      <c r="E380" s="12">
        <f>_xludf.IFS(COUNTIF(보류목록!$B$3:$B$1000, B380)&gt;0, "-",COUNTIF(독서목록!$C$2:$C$1099, B380)=0, , COUNTIF(독서목록!$C$2:$C$1099, B380)&gt;0, COUNTIF(독서목록!$C$2:$C$1099, B380))</f>
        <v/>
      </c>
      <c r="F380" s="12">
        <f>_xludf.IFS(COUNTIF(보류목록!$C$3:$C$1000, B380)&gt;0, "-",COUNTIF(독서목록!$D$2:$D$1099, B380)=0, , COUNTIF(독서목록!$D$2:$D$1099, B380)&gt;0, COUNTIF(독서목록!$D$2:$D$1099, B380))</f>
        <v/>
      </c>
      <c r="G380" s="12" t="n"/>
      <c r="H380" s="14" t="n"/>
      <c r="I380" s="14" t="n"/>
      <c r="J380" s="16" t="inlineStr">
        <is>
          <t>8932909156 9788932909158</t>
        </is>
      </c>
      <c r="K380" s="17" t="inlineStr">
        <is>
          <t>https://search1.kakaocdn.net/thumb/R120x174.q85/?fname=http%3A%2F%2Ft1.daumcdn.net%2Flbook%2Fimage%2F504986%3Ftimestamp%3D20231007173817</t>
        </is>
      </c>
    </row>
    <row r="381" ht="16.5" customHeight="1" s="118">
      <c r="A381" s="9" t="n"/>
      <c r="B381" s="10" t="inlineStr">
        <is>
          <t>장미의 이름(하)</t>
        </is>
      </c>
      <c r="C381" s="10" t="inlineStr">
        <is>
          <t>움베르토 에코</t>
        </is>
      </c>
      <c r="D381" s="10" t="inlineStr">
        <is>
          <t>열린책들</t>
        </is>
      </c>
      <c r="E381" s="12">
        <f>_xludf.IFS(COUNTIF(보류목록!$B$3:$B$1000, B381)&gt;0, "-",COUNTIF(독서목록!$C$2:$C$1099, B381)=0, , COUNTIF(독서목록!$C$2:$C$1099, B381)&gt;0, COUNTIF(독서목록!$C$2:$C$1099, B381))</f>
        <v/>
      </c>
      <c r="F381" s="12">
        <f>_xludf.IFS(COUNTIF(보류목록!$C$3:$C$1000, B381)&gt;0, "-",COUNTIF(독서목록!$D$2:$D$1099, B381)=0, , COUNTIF(독서목록!$D$2:$D$1099, B381)&gt;0, COUNTIF(독서목록!$D$2:$D$1099, B381))</f>
        <v/>
      </c>
      <c r="G381" s="12" t="n"/>
      <c r="H381" s="14" t="n"/>
      <c r="I381" s="14" t="n"/>
      <c r="J381" s="16" t="inlineStr">
        <is>
          <t>8932909989 9788932909981</t>
        </is>
      </c>
      <c r="K381" s="17" t="inlineStr">
        <is>
          <t>https://search1.kakaocdn.net/thumb/R120x174.q85/?fname=http%3A%2F%2Ft1.daumcdn.net%2Flbook%2Fimage%2F505073%3Ftimestamp%3D20250919110250</t>
        </is>
      </c>
    </row>
    <row r="382" ht="16.5" customHeight="1" s="118">
      <c r="A382" s="9" t="n"/>
      <c r="B382" s="10" t="inlineStr">
        <is>
          <t>장미의 이름(상)</t>
        </is>
      </c>
      <c r="C382" s="10" t="inlineStr">
        <is>
          <t>움베르토 에코</t>
        </is>
      </c>
      <c r="D382" s="10" t="inlineStr">
        <is>
          <t>열린책들</t>
        </is>
      </c>
      <c r="E382" s="12">
        <f>_xludf.IFS(COUNTIF(보류목록!$B$3:$B$1000, B382)&gt;0, "-",COUNTIF(독서목록!$C$2:$C$1099, B382)=0, , COUNTIF(독서목록!$C$2:$C$1099, B382)&gt;0, COUNTIF(독서목록!$C$2:$C$1099, B382))</f>
        <v/>
      </c>
      <c r="F382" s="12">
        <f>_xludf.IFS(COUNTIF(보류목록!$C$3:$C$1000, B382)&gt;0, "-",COUNTIF(독서목록!$D$2:$D$1099, B382)=0, , COUNTIF(독서목록!$D$2:$D$1099, B382)&gt;0, COUNTIF(독서목록!$D$2:$D$1099, B382))</f>
        <v/>
      </c>
      <c r="G382" s="12" t="n"/>
      <c r="H382" s="14" t="n"/>
      <c r="I382" s="14" t="n"/>
      <c r="J382" s="16" t="inlineStr">
        <is>
          <t>8932909970 9788932909974</t>
        </is>
      </c>
      <c r="K382" s="17" t="inlineStr">
        <is>
          <t>https://search1.kakaocdn.net/thumb/R120x174.q85/?fname=http%3A%2F%2Ft1.daumcdn.net%2Flbook%2Fimage%2F507066%3Ftimestamp%3D20250911110404</t>
        </is>
      </c>
    </row>
    <row r="383" ht="16.5" customHeight="1" s="118">
      <c r="A383" s="9" t="n"/>
      <c r="B383" s="10" t="inlineStr">
        <is>
          <t>푸코의 진자-3</t>
        </is>
      </c>
      <c r="C383" s="10" t="inlineStr">
        <is>
          <t>움베르토 에코</t>
        </is>
      </c>
      <c r="D383" s="10" t="inlineStr">
        <is>
          <t>열린책들</t>
        </is>
      </c>
      <c r="E383" s="12">
        <f>_xludf.IFS(COUNTIF(보류목록!$B$3:$B$1000, B383)&gt;0, "-",COUNTIF(독서목록!$C$2:$C$1099, B383)=0, , COUNTIF(독서목록!$C$2:$C$1099, B383)&gt;0, COUNTIF(독서목록!$C$2:$C$1099, B383))</f>
        <v/>
      </c>
      <c r="F383" s="12">
        <f>_xludf.IFS(COUNTIF(보류목록!$C$3:$C$1000, B383)&gt;0, "-",COUNTIF(독서목록!$D$2:$D$1099, B383)=0, , COUNTIF(독서목록!$D$2:$D$1099, B383)&gt;0, COUNTIF(독서목록!$D$2:$D$1099, B383))</f>
        <v/>
      </c>
      <c r="G383" s="12" t="n"/>
      <c r="H383" s="14" t="inlineStr">
        <is>
          <t>기부</t>
        </is>
      </c>
      <c r="I383" s="14" t="inlineStr">
        <is>
          <t>기부</t>
        </is>
      </c>
      <c r="J383" s="16" t="inlineStr">
        <is>
          <t>8932907188 9788932907185</t>
        </is>
      </c>
      <c r="K383" s="17" t="inlineStr">
        <is>
          <t>https://search1.kakaocdn.net/thumb/R120x174.q85/?fname=http%3A%2F%2Ft1.daumcdn.net%2Flbook%2Fimage%2F504819%3Ftimestamp%3D20231101170809</t>
        </is>
      </c>
    </row>
    <row r="384" ht="16.5" customHeight="1" s="118">
      <c r="A384" s="9" t="n"/>
      <c r="B384" s="10" t="inlineStr">
        <is>
          <t>푸코의 진자-2</t>
        </is>
      </c>
      <c r="C384" s="10" t="inlineStr">
        <is>
          <t>움베르토 에코</t>
        </is>
      </c>
      <c r="D384" s="10" t="inlineStr">
        <is>
          <t>열린책들</t>
        </is>
      </c>
      <c r="E384" s="12">
        <f>_xludf.IFS(COUNTIF(보류목록!$B$3:$B$1000, B384)&gt;0, "-",COUNTIF(독서목록!$C$2:$C$1099, B384)=0, , COUNTIF(독서목록!$C$2:$C$1099, B384)&gt;0, COUNTIF(독서목록!$C$2:$C$1099, B384))</f>
        <v/>
      </c>
      <c r="F384" s="12">
        <f>_xludf.IFS(COUNTIF(보류목록!$C$3:$C$1000, B384)&gt;0, "-",COUNTIF(독서목록!$D$2:$D$1099, B384)=0, , COUNTIF(독서목록!$D$2:$D$1099, B384)&gt;0, COUNTIF(독서목록!$D$2:$D$1099, B384))</f>
        <v/>
      </c>
      <c r="G384" s="12" t="n"/>
      <c r="H384" s="14" t="inlineStr">
        <is>
          <t>기부</t>
        </is>
      </c>
      <c r="I384" s="14" t="inlineStr">
        <is>
          <t>기부</t>
        </is>
      </c>
      <c r="J384" s="16" t="inlineStr">
        <is>
          <t>893290717X 9788932907178</t>
        </is>
      </c>
      <c r="K384" s="17" t="inlineStr">
        <is>
          <t>https://search1.kakaocdn.net/thumb/R120x174.q85/?fname=http%3A%2F%2Ft1.daumcdn.net%2Flbook%2Fimage%2F506390%3Ftimestamp%3D20220701041135</t>
        </is>
      </c>
    </row>
    <row r="385" ht="16.5" customHeight="1" s="118">
      <c r="A385" s="9" t="n"/>
      <c r="B385" s="10" t="inlineStr">
        <is>
          <t>푸코의 진자-1</t>
        </is>
      </c>
      <c r="C385" s="10" t="inlineStr">
        <is>
          <t>움베르토 에코</t>
        </is>
      </c>
      <c r="D385" s="10" t="inlineStr">
        <is>
          <t>열린책들</t>
        </is>
      </c>
      <c r="E385" s="12">
        <f>_xludf.IFS(COUNTIF(보류목록!$B$3:$B$1000, B385)&gt;0, "-",COUNTIF(독서목록!$C$2:$C$1099, B385)=0, , COUNTIF(독서목록!$C$2:$C$1099, B385)&gt;0, COUNTIF(독서목록!$C$2:$C$1099, B385))</f>
        <v/>
      </c>
      <c r="F385" s="12">
        <f>_xludf.IFS(COUNTIF(보류목록!$C$3:$C$1000, B385)&gt;0, "-",COUNTIF(독서목록!$D$2:$D$1099, B385)=0, , COUNTIF(독서목록!$D$2:$D$1099, B385)&gt;0, COUNTIF(독서목록!$D$2:$D$1099, B385))</f>
        <v/>
      </c>
      <c r="G385" s="12" t="n"/>
      <c r="H385" s="14" t="inlineStr">
        <is>
          <t>기부</t>
        </is>
      </c>
      <c r="I385" s="14" t="inlineStr">
        <is>
          <t>기부</t>
        </is>
      </c>
      <c r="J385" s="16" t="inlineStr">
        <is>
          <t>8932907161 9788932907161</t>
        </is>
      </c>
      <c r="K385" s="17" t="inlineStr">
        <is>
          <t>https://search1.kakaocdn.net/thumb/R120x174.q85/?fname=http%3A%2F%2Ft1.daumcdn.net%2Flbook%2Fimage%2F506630%3Ftimestamp%3D20231007152914</t>
        </is>
      </c>
    </row>
    <row r="386" ht="12.75" customHeight="1" s="118">
      <c r="A386" s="9" t="n"/>
      <c r="B386" s="10" t="inlineStr">
        <is>
          <t>지금 사랑하지 않는 자, 모두 유죄</t>
        </is>
      </c>
      <c r="C386" s="10" t="inlineStr">
        <is>
          <t>노희경</t>
        </is>
      </c>
      <c r="D386" s="10" t="inlineStr">
        <is>
          <t>헤르메스미디어</t>
        </is>
      </c>
      <c r="E386" s="12">
        <f>_xludf.IFS(COUNTIF(보류목록!$B$3:$B$1000, B386)&gt;0, "-",COUNTIF(독서목록!$C$2:$C$1099, B386)=0, , COUNTIF(독서목록!$C$2:$C$1099, B386)&gt;0, COUNTIF(독서목록!$C$2:$C$1099, B386))</f>
        <v/>
      </c>
      <c r="F386" s="12">
        <f>_xludf.IFS(COUNTIF(보류목록!$C$3:$C$1000, B386)&gt;0, "-",COUNTIF(독서목록!$D$2:$D$1099, B386)=0, , COUNTIF(독서목록!$D$2:$D$1099, B386)&gt;0, COUNTIF(독서목록!$D$2:$D$1099, B386))</f>
        <v/>
      </c>
      <c r="G386" s="12" t="inlineStr">
        <is>
          <t>2013.12.08</t>
        </is>
      </c>
      <c r="H386" s="13" t="inlineStr">
        <is>
          <t>기부</t>
        </is>
      </c>
      <c r="I386" s="13" t="inlineStr">
        <is>
          <t>기부</t>
        </is>
      </c>
      <c r="J386" s="16" t="inlineStr">
        <is>
          <t>8995816767 9788995816769</t>
        </is>
      </c>
      <c r="K386" s="17" t="inlineStr">
        <is>
          <t>https://search1.kakaocdn.net/thumb/R120x174.q85/?fname=http%3A%2F%2Ft1.daumcdn.net%2Flbook%2Fimage%2F1442006%3Ftimestamp%3D20220922041714</t>
        </is>
      </c>
    </row>
    <row r="387" ht="12.75" customHeight="1" s="118">
      <c r="A387" s="9" t="n"/>
      <c r="B387" s="10" t="inlineStr">
        <is>
          <t>위로</t>
        </is>
      </c>
      <c r="C387" s="10" t="inlineStr">
        <is>
          <t>이철환</t>
        </is>
      </c>
      <c r="D387" s="10" t="inlineStr">
        <is>
          <t>자음과모음</t>
        </is>
      </c>
      <c r="E387" s="12">
        <f>_xludf.IFS(COUNTIF(보류목록!$B$3:$B$1000, B387)&gt;0, "-",COUNTIF(독서목록!$C$2:$C$1099, B387)=0, , COUNTIF(독서목록!$C$2:$C$1099, B387)&gt;0, COUNTIF(독서목록!$C$2:$C$1099, B387))</f>
        <v/>
      </c>
      <c r="F387" s="12">
        <f>_xludf.IFS(COUNTIF(보류목록!$C$3:$C$1000, B387)&gt;0, "-",COUNTIF(독서목록!$D$2:$D$1099, B387)=0, , COUNTIF(독서목록!$D$2:$D$1099, B387)&gt;0, COUNTIF(독서목록!$D$2:$D$1099, B387))</f>
        <v/>
      </c>
      <c r="G387" s="12" t="inlineStr">
        <is>
          <t>2012.01.17</t>
        </is>
      </c>
      <c r="H387" s="13" t="inlineStr">
        <is>
          <t>기부</t>
        </is>
      </c>
      <c r="I387" s="13" t="inlineStr">
        <is>
          <t>기부</t>
        </is>
      </c>
      <c r="J387" s="16" t="inlineStr">
        <is>
          <t>8957075909 9788957075906</t>
        </is>
      </c>
      <c r="K387" s="17" t="inlineStr">
        <is>
          <t>https://search1.kakaocdn.net/thumb/R120x174.q85/?fname=http%3A%2F%2Ft1.daumcdn.net%2Flbook%2Fimage%2F750863%3Ftimestamp%3D20251030110411</t>
        </is>
      </c>
    </row>
    <row r="388" ht="12.75" customHeight="1" s="118">
      <c r="A388" s="9" t="n"/>
      <c r="B388" s="10" t="inlineStr">
        <is>
          <t>1cm+</t>
        </is>
      </c>
      <c r="C388" s="10" t="inlineStr">
        <is>
          <t>김은주</t>
        </is>
      </c>
      <c r="D388" s="10" t="inlineStr">
        <is>
          <t>허밍버드</t>
        </is>
      </c>
      <c r="E388" s="12">
        <f>_xludf.IFS(COUNTIF(보류목록!$B$3:$B$1000, B388)&gt;0, "-",COUNTIF(독서목록!$C$2:$C$1099, B388)=0, , COUNTIF(독서목록!$C$2:$C$1099, B388)&gt;0, COUNTIF(독서목록!$C$2:$C$1099, B388))</f>
        <v/>
      </c>
      <c r="F388" s="12">
        <f>_xludf.IFS(COUNTIF(보류목록!$C$3:$C$1000, B388)&gt;0, "-",COUNTIF(독서목록!$D$2:$D$1099, B388)=0, , COUNTIF(독서목록!$D$2:$D$1099, B388)&gt;0, COUNTIF(독서목록!$D$2:$D$1099, B388))</f>
        <v/>
      </c>
      <c r="G388" s="12" t="inlineStr">
        <is>
          <t>2014.05.29</t>
        </is>
      </c>
      <c r="H388" s="13" t="inlineStr">
        <is>
          <t>기부</t>
        </is>
      </c>
      <c r="I388" s="13" t="inlineStr">
        <is>
          <t>기부</t>
        </is>
      </c>
      <c r="J388" s="16" t="inlineStr">
        <is>
          <t>8968334358 9788968334351</t>
        </is>
      </c>
      <c r="K388" s="17" t="inlineStr">
        <is>
          <t>https://search1.kakaocdn.net/thumb/R120x174.q85/?fname=http%3A%2F%2Ft1.daumcdn.net%2Flbook%2Fimage%2F6391877%3Ftimestamp%3D20231223182310</t>
        </is>
      </c>
    </row>
    <row r="389" ht="12.75" customHeight="1" s="118">
      <c r="A389" s="9" t="n"/>
      <c r="B389" s="10" t="inlineStr">
        <is>
          <t>행복은 혼자오지 않는다</t>
        </is>
      </c>
      <c r="C389" s="11" t="inlineStr">
        <is>
          <t>에카르트 폰 히르슈하우젠</t>
        </is>
      </c>
      <c r="D389" s="11" t="inlineStr">
        <is>
          <t>은행나무</t>
        </is>
      </c>
      <c r="E389" s="12">
        <f>_xludf.IFS(COUNTIF(보류목록!$B$3:$B$1000, B389)&gt;0, "-",COUNTIF(독서목록!$C$2:$C$1099, B389)=0, , COUNTIF(독서목록!$C$2:$C$1099, B389)&gt;0, COUNTIF(독서목록!$C$2:$C$1099, B389))</f>
        <v/>
      </c>
      <c r="F389" s="12">
        <f>_xludf.IFS(COUNTIF(보류목록!$C$3:$C$1000, B389)&gt;0, "-",COUNTIF(독서목록!$D$2:$D$1099, B389)=0, , COUNTIF(독서목록!$D$2:$D$1099, B389)&gt;0, COUNTIF(독서목록!$D$2:$D$1099, B389))</f>
        <v/>
      </c>
      <c r="G389" s="13" t="inlineStr">
        <is>
          <t>2016.01.02</t>
        </is>
      </c>
      <c r="H389" s="13" t="inlineStr">
        <is>
          <t>기부</t>
        </is>
      </c>
      <c r="I389" s="13" t="inlineStr">
        <is>
          <t>기부</t>
        </is>
      </c>
      <c r="J389" s="16" t="inlineStr">
        <is>
          <t>8956603596 9788956603599</t>
        </is>
      </c>
      <c r="K389" s="17" t="inlineStr">
        <is>
          <t>https://search1.kakaocdn.net/thumb/R120x174.q85/?fname=http%3A%2F%2Ft1.daumcdn.net%2Flbook%2Fimage%2F737476%3Ftimestamp%3D20221001194045</t>
        </is>
      </c>
    </row>
    <row r="390" ht="12.75" customHeight="1" s="118">
      <c r="A390" s="9" t="n"/>
      <c r="B390" s="10" t="inlineStr">
        <is>
          <t>One Plus One</t>
        </is>
      </c>
      <c r="C390" s="11" t="inlineStr">
        <is>
          <t>조조 모예스</t>
        </is>
      </c>
      <c r="D390" s="11" t="inlineStr">
        <is>
          <t>살림</t>
        </is>
      </c>
      <c r="E390" s="12">
        <f>_xludf.IFS(COUNTIF(보류목록!$B$3:$B$1000, B390)&gt;0, "-",COUNTIF(독서목록!$C$2:$C$1099, B390)=0, , COUNTIF(독서목록!$C$2:$C$1099, B390)&gt;0, COUNTIF(독서목록!$C$2:$C$1099, B390))</f>
        <v/>
      </c>
      <c r="F390" s="12">
        <f>_xludf.IFS(COUNTIF(보류목록!$C$3:$C$1000, B390)&gt;0, "-",COUNTIF(독서목록!$D$2:$D$1099, B390)=0, , COUNTIF(독서목록!$D$2:$D$1099, B390)&gt;0, COUNTIF(독서목록!$D$2:$D$1099, B390))</f>
        <v/>
      </c>
      <c r="G390" s="13" t="inlineStr">
        <is>
          <t>2018.03.14</t>
        </is>
      </c>
      <c r="H390" s="13" t="inlineStr">
        <is>
          <t>판매</t>
        </is>
      </c>
      <c r="I390" s="13" t="inlineStr">
        <is>
          <t>판매</t>
        </is>
      </c>
      <c r="J390" s="16" t="inlineStr">
        <is>
          <t>8952230280 9788952230287</t>
        </is>
      </c>
      <c r="K390" s="17" t="inlineStr">
        <is>
          <t>https://search1.kakaocdn.net/thumb/R120x174.q85/?fname=http%3A%2F%2Ft1.daumcdn.net%2Flbook%2Fimage%2F635777%3Ftimestamp%3D20230608161547</t>
        </is>
      </c>
    </row>
    <row r="391" ht="12.75" customHeight="1" s="118">
      <c r="A391" s="9" t="n"/>
      <c r="B391" s="10" t="inlineStr">
        <is>
          <t>창문 넘어 도망친 100세 노인</t>
        </is>
      </c>
      <c r="C391" s="11" t="inlineStr">
        <is>
          <t>요나스 요나손</t>
        </is>
      </c>
      <c r="D391" s="11" t="inlineStr">
        <is>
          <t>열린책들</t>
        </is>
      </c>
      <c r="E391" s="12">
        <f>_xludf.IFS(COUNTIF(보류목록!$B$3:$B$1000, B391)&gt;0, "-",COUNTIF(독서목록!$C$2:$C$1099, B391)=0, , COUNTIF(독서목록!$C$2:$C$1099, B391)&gt;0, COUNTIF(독서목록!$C$2:$C$1099, B391))</f>
        <v/>
      </c>
      <c r="F391" s="12">
        <f>_xludf.IFS(COUNTIF(보류목록!$C$3:$C$1000, B391)&gt;0, "-",COUNTIF(독서목록!$D$2:$D$1099, B391)=0, , COUNTIF(독서목록!$D$2:$D$1099, B391)&gt;0, COUNTIF(독서목록!$D$2:$D$1099, B391))</f>
        <v/>
      </c>
      <c r="G391" s="13" t="inlineStr">
        <is>
          <t>2017.12.24</t>
        </is>
      </c>
      <c r="H391" s="13" t="inlineStr">
        <is>
          <t>판매</t>
        </is>
      </c>
      <c r="I391" s="13" t="inlineStr">
        <is>
          <t>판매</t>
        </is>
      </c>
      <c r="J391" s="16" t="inlineStr">
        <is>
          <t>8932916195 9788932916194</t>
        </is>
      </c>
      <c r="K391" s="17" t="inlineStr">
        <is>
          <t>https://search1.kakaocdn.net/thumb/R120x174.q85/?fname=http%3A%2F%2Ft1.daumcdn.net%2Flbook%2Fimage%2F505468%3Ftimestamp%3D20241030114212</t>
        </is>
      </c>
    </row>
    <row r="392" ht="12.75" customHeight="1" s="118">
      <c r="A392" s="9" t="n"/>
      <c r="B392" s="10" t="inlineStr">
        <is>
          <t>진주귀고리 소녀</t>
        </is>
      </c>
      <c r="C392" s="11" t="inlineStr">
        <is>
          <t>트레이시 슈발리에</t>
        </is>
      </c>
      <c r="D392" s="11" t="inlineStr">
        <is>
          <t>강</t>
        </is>
      </c>
      <c r="E392" s="12">
        <f>_xludf.IFS(COUNTIF(보류목록!$B$3:$B$1000, B392)&gt;0, "-",COUNTIF(독서목록!$C$2:$C$1099, B392)=0, , COUNTIF(독서목록!$C$2:$C$1099, B392)&gt;0, COUNTIF(독서목록!$C$2:$C$1099, B392))</f>
        <v/>
      </c>
      <c r="F392" s="12">
        <f>_xludf.IFS(COUNTIF(보류목록!$C$3:$C$1000, B392)&gt;0, "-",COUNTIF(독서목록!$D$2:$D$1099, B392)=0, , COUNTIF(독서목록!$D$2:$D$1099, B392)&gt;0, COUNTIF(독서목록!$D$2:$D$1099, B392))</f>
        <v/>
      </c>
      <c r="G392" s="13" t="inlineStr">
        <is>
          <t>2017.05.27</t>
        </is>
      </c>
      <c r="H392" s="13" t="inlineStr">
        <is>
          <t>판매</t>
        </is>
      </c>
      <c r="I392" s="13" t="inlineStr">
        <is>
          <t>판매</t>
        </is>
      </c>
      <c r="J392" s="16" t="inlineStr">
        <is>
          <t>8982180575 9788982180576</t>
        </is>
      </c>
      <c r="K392" s="17" t="inlineStr">
        <is>
          <t>https://search1.kakaocdn.net/thumb/R120x174.q85/?fname=http%3A%2F%2Ft1.daumcdn.net%2Flbook%2Fimage%2F1148883%3Ftimestamp%3D20221120142655</t>
        </is>
      </c>
    </row>
    <row r="393" ht="12.75" customHeight="1" s="118">
      <c r="A393" s="9" t="n"/>
      <c r="B393" s="10" t="inlineStr">
        <is>
          <t>연애 소설 읽는 노인</t>
        </is>
      </c>
      <c r="C393" s="11" t="inlineStr">
        <is>
          <t>루이스 세풀베다</t>
        </is>
      </c>
      <c r="D393" s="11" t="inlineStr">
        <is>
          <t>열린책들</t>
        </is>
      </c>
      <c r="E393" s="12">
        <f>_xludf.IFS(COUNTIF(보류목록!$B$3:$B$1000, B393)&gt;0, "-",COUNTIF(독서목록!$C$2:$C$1099, B393)=0, , COUNTIF(독서목록!$C$2:$C$1099, B393)&gt;0, COUNTIF(독서목록!$C$2:$C$1099, B393))</f>
        <v/>
      </c>
      <c r="F393" s="12">
        <f>_xludf.IFS(COUNTIF(보류목록!$C$3:$C$1000, B393)&gt;0, "-",COUNTIF(독서목록!$D$2:$D$1099, B393)=0, , COUNTIF(독서목록!$D$2:$D$1099, B393)&gt;0, COUNTIF(독서목록!$D$2:$D$1099, B393))</f>
        <v/>
      </c>
      <c r="G393" s="13" t="inlineStr">
        <is>
          <t>2017.01.25</t>
        </is>
      </c>
      <c r="H393" s="13" t="inlineStr">
        <is>
          <t>기부</t>
        </is>
      </c>
      <c r="I393" s="13" t="inlineStr">
        <is>
          <t>기부</t>
        </is>
      </c>
      <c r="J393" s="16" t="inlineStr">
        <is>
          <t>8932909369 9788932909363</t>
        </is>
      </c>
      <c r="K393" s="17" t="inlineStr">
        <is>
          <t>https://search1.kakaocdn.net/thumb/R120x174.q85/?fname=http%3A%2F%2Ft1.daumcdn.net%2Flbook%2Fimage%2F506488%3Ftimestamp%3D20240803112701</t>
        </is>
      </c>
    </row>
    <row r="394" ht="12.75" customHeight="1" s="118">
      <c r="A394" s="9" t="n"/>
      <c r="B394" s="10" t="inlineStr">
        <is>
          <t>월드 오브 워크래프트 스톰레이지</t>
        </is>
      </c>
      <c r="C394" s="11" t="inlineStr">
        <is>
          <t>리처드 A. 나크</t>
        </is>
      </c>
      <c r="D394" s="11" t="inlineStr">
        <is>
          <t>제우미디어</t>
        </is>
      </c>
      <c r="E394" s="12">
        <f>_xludf.IFS(COUNTIF(보류목록!$B$3:$B$1000, B394)&gt;0, "-",COUNTIF(독서목록!$C$2:$C$1099, B394)=0, , COUNTIF(독서목록!$C$2:$C$1099, B394)&gt;0, COUNTIF(독서목록!$C$2:$C$1099, B394))</f>
        <v/>
      </c>
      <c r="F394" s="12">
        <f>_xludf.IFS(COUNTIF(보류목록!$C$3:$C$1000, B394)&gt;0, "-",COUNTIF(독서목록!$D$2:$D$1099, B394)=0, , COUNTIF(독서목록!$D$2:$D$1099, B394)&gt;0, COUNTIF(독서목록!$D$2:$D$1099, B394))</f>
        <v/>
      </c>
      <c r="G394" s="13" t="inlineStr">
        <is>
          <t>2017.04.16</t>
        </is>
      </c>
      <c r="H394" s="13" t="inlineStr">
        <is>
          <t>판매</t>
        </is>
      </c>
      <c r="I394" s="13" t="inlineStr">
        <is>
          <t>판매</t>
        </is>
      </c>
      <c r="J394" s="16" t="inlineStr">
        <is>
          <t>8959522309 9788959522309</t>
        </is>
      </c>
      <c r="K394" s="19" t="inlineStr">
        <is>
          <t>https://search1.kakaocdn.net/thumb/R120x174.q85/?fname=http%3A%2F%2Ft1.daumcdn.net%2Flbook%2Fimage%2F805475%3Ftimestamp%3D20240710112833</t>
        </is>
      </c>
    </row>
    <row r="395" ht="12.75" customHeight="1" s="118">
      <c r="A395" s="9" t="n"/>
      <c r="B395" s="10" t="inlineStr">
        <is>
          <t>워크래프트 - 듀로탄</t>
        </is>
      </c>
      <c r="C395" s="11" t="inlineStr">
        <is>
          <t>크리스티 골든</t>
        </is>
      </c>
      <c r="D395" s="11" t="inlineStr">
        <is>
          <t>제우미디어</t>
        </is>
      </c>
      <c r="E395" s="12">
        <f>_xludf.IFS(COUNTIF(보류목록!$B$3:$B$1000, B395)&gt;0, "-",COUNTIF(독서목록!$C$2:$C$1099, B395)=0, , COUNTIF(독서목록!$C$2:$C$1099, B395)&gt;0, COUNTIF(독서목록!$C$2:$C$1099, B395))</f>
        <v/>
      </c>
      <c r="F395" s="12">
        <f>_xludf.IFS(COUNTIF(보류목록!$C$3:$C$1000, B395)&gt;0, "-",COUNTIF(독서목록!$D$2:$D$1099, B395)=0, , COUNTIF(독서목록!$D$2:$D$1099, B395)&gt;0, COUNTIF(독서목록!$D$2:$D$1099, B395))</f>
        <v/>
      </c>
      <c r="G395" s="13" t="inlineStr">
        <is>
          <t>2016.12.19</t>
        </is>
      </c>
      <c r="H395" s="13" t="inlineStr">
        <is>
          <t>판매</t>
        </is>
      </c>
      <c r="I395" s="13" t="inlineStr">
        <is>
          <t>판매</t>
        </is>
      </c>
      <c r="J395" s="16" t="inlineStr">
        <is>
          <t>8959524948 9788959524945</t>
        </is>
      </c>
      <c r="K395" s="17" t="inlineStr">
        <is>
          <t>https://search1.kakaocdn.net/thumb/R120x174.q85/?fname=http%3A%2F%2Ft1.daumcdn.net%2Flbook%2Fimage%2F805819%3Ftimestamp%3D20240322113813</t>
        </is>
      </c>
    </row>
    <row r="396" ht="12.75" customHeight="1" s="118">
      <c r="A396" s="9" t="n"/>
      <c r="B396" s="10" t="inlineStr">
        <is>
          <t>워크래프트 - 전쟁의 서막</t>
        </is>
      </c>
      <c r="C396" s="11" t="inlineStr">
        <is>
          <t>크리스티 골든</t>
        </is>
      </c>
      <c r="D396" s="11" t="inlineStr">
        <is>
          <t>제우미디어</t>
        </is>
      </c>
      <c r="E396" s="12">
        <f>_xludf.IFS(COUNTIF(보류목록!$B$3:$B$1000, B396)&gt;0, "-",COUNTIF(독서목록!$C$2:$C$1099, B396)=0, , COUNTIF(독서목록!$C$2:$C$1099, B396)&gt;0, COUNTIF(독서목록!$C$2:$C$1099, B396))</f>
        <v/>
      </c>
      <c r="F396" s="12">
        <f>_xludf.IFS(COUNTIF(보류목록!$C$3:$C$1000, B396)&gt;0, "-",COUNTIF(독서목록!$D$2:$D$1099, B396)=0, , COUNTIF(독서목록!$D$2:$D$1099, B396)&gt;0, COUNTIF(독서목록!$D$2:$D$1099, B396))</f>
        <v/>
      </c>
      <c r="G396" s="13" t="inlineStr">
        <is>
          <t>2016.12.17</t>
        </is>
      </c>
      <c r="H396" s="13" t="inlineStr">
        <is>
          <t>판매</t>
        </is>
      </c>
      <c r="I396" s="13" t="inlineStr">
        <is>
          <t>판매</t>
        </is>
      </c>
      <c r="J396" s="16" t="inlineStr">
        <is>
          <t>8959524956 9788959524952</t>
        </is>
      </c>
      <c r="K396" s="17" t="inlineStr">
        <is>
          <t>https://search1.kakaocdn.net/thumb/R120x174.q85/?fname=http%3A%2F%2Ft1.daumcdn.net%2Flbook%2Fimage%2F805641%3Ftimestamp%3D20240320162506</t>
        </is>
      </c>
    </row>
    <row r="397" ht="12.75" customHeight="1" s="118">
      <c r="A397" s="9" t="n"/>
      <c r="B397" s="10" t="inlineStr">
        <is>
          <t>반짝 반짝 빛나는</t>
        </is>
      </c>
      <c r="C397" s="10" t="inlineStr">
        <is>
          <t>에쿠니 가오리</t>
        </is>
      </c>
      <c r="D397" s="11" t="inlineStr">
        <is>
          <t>소담출판사</t>
        </is>
      </c>
      <c r="E397" s="12">
        <f>_xludf.IFS(COUNTIF(보류목록!$B$3:$B$1000, B397)&gt;0, "-",COUNTIF(독서목록!$C$2:$C$1099, B397)=0, , COUNTIF(독서목록!$C$2:$C$1099, B397)&gt;0, COUNTIF(독서목록!$C$2:$C$1099, B397))</f>
        <v/>
      </c>
      <c r="F397" s="12">
        <f>_xludf.IFS(COUNTIF(보류목록!$C$3:$C$1000, B397)&gt;0, "-",COUNTIF(독서목록!$D$2:$D$1099, B397)=0, , COUNTIF(독서목록!$D$2:$D$1099, B397)&gt;0, COUNTIF(독서목록!$D$2:$D$1099, B397))</f>
        <v/>
      </c>
      <c r="G397" s="13" t="inlineStr">
        <is>
          <t>2015.05.31</t>
        </is>
      </c>
      <c r="H397" s="13" t="inlineStr">
        <is>
          <t>판매</t>
        </is>
      </c>
      <c r="I397" s="13" t="inlineStr">
        <is>
          <t>판매</t>
        </is>
      </c>
      <c r="J397" s="16" t="inlineStr">
        <is>
          <t>8973814559 9788973814558</t>
        </is>
      </c>
      <c r="K397" s="17" t="inlineStr">
        <is>
          <t>https://search1.kakaocdn.net/thumb/R120x174.q85/?fname=http%3A%2F%2Ft1.daumcdn.net%2Flbook%2Fimage%2F1026924%3Ftimestamp%3D20260103110902</t>
        </is>
      </c>
    </row>
    <row r="398" ht="12.75" customHeight="1" s="118">
      <c r="A398" s="9" t="n"/>
      <c r="B398" s="10" t="inlineStr">
        <is>
          <t>꿈의 도시</t>
        </is>
      </c>
      <c r="C398" s="10" t="inlineStr">
        <is>
          <t>오쿠다 히데오</t>
        </is>
      </c>
      <c r="D398" s="10" t="inlineStr">
        <is>
          <t>은행나무</t>
        </is>
      </c>
      <c r="E398" s="12">
        <f>_xludf.IFS(COUNTIF(보류목록!$B$3:$B$1000, B398)&gt;0, "-",COUNTIF(독서목록!$C$2:$C$1099, B398)=0, , COUNTIF(독서목록!$C$2:$C$1099, B398)&gt;0, COUNTIF(독서목록!$C$2:$C$1099, B398))</f>
        <v/>
      </c>
      <c r="F398" s="12">
        <f>_xludf.IFS(COUNTIF(보류목록!$C$3:$C$1000, B398)&gt;0, "-",COUNTIF(독서목록!$D$2:$D$1099, B398)=0, , COUNTIF(독서목록!$D$2:$D$1099, B398)&gt;0, COUNTIF(독서목록!$D$2:$D$1099, B398))</f>
        <v/>
      </c>
      <c r="G398" s="12" t="inlineStr">
        <is>
          <t>2013.10.09</t>
        </is>
      </c>
      <c r="H398" s="13" t="inlineStr">
        <is>
          <t>판매</t>
        </is>
      </c>
      <c r="I398" s="13" t="inlineStr">
        <is>
          <t>판매</t>
        </is>
      </c>
      <c r="J398" s="16" t="inlineStr">
        <is>
          <t>8956604231 9788956604237</t>
        </is>
      </c>
      <c r="K398" s="17" t="inlineStr">
        <is>
          <t>https://search1.kakaocdn.net/thumb/R120x174.q85/?fname=http%3A%2F%2Ft1.daumcdn.net%2Flbook%2Fimage%2F737591%3Ftimestamp%3D20250725110448</t>
        </is>
      </c>
    </row>
    <row r="399" ht="12.75" customHeight="1" s="118">
      <c r="A399" s="9" t="n"/>
      <c r="B399" s="10" t="inlineStr">
        <is>
          <t>끝없는 이야기</t>
        </is>
      </c>
      <c r="C399" s="10" t="inlineStr">
        <is>
          <t>미하엘 엔데</t>
        </is>
      </c>
      <c r="D399" s="10" t="inlineStr">
        <is>
          <t>비룡소</t>
        </is>
      </c>
      <c r="E399" s="12">
        <f>_xludf.IFS(COUNTIF(보류목록!$B$3:$B$1000, B399)&gt;0, "-",COUNTIF(독서목록!$C$2:$C$1099, B399)=0, , COUNTIF(독서목록!$C$2:$C$1099, B399)&gt;0, COUNTIF(독서목록!$C$2:$C$1099, B399))</f>
        <v/>
      </c>
      <c r="F399" s="12">
        <f>_xludf.IFS(COUNTIF(보류목록!$C$3:$C$1000, B399)&gt;0, "-",COUNTIF(독서목록!$D$2:$D$1099, B399)=0, , COUNTIF(독서목록!$D$2:$D$1099, B399)&gt;0, COUNTIF(독서목록!$D$2:$D$1099, B399))</f>
        <v/>
      </c>
      <c r="G399" s="12" t="inlineStr">
        <is>
          <t>2013.07.30</t>
        </is>
      </c>
      <c r="H399" s="13" t="inlineStr">
        <is>
          <t>판매</t>
        </is>
      </c>
      <c r="I399" s="13" t="inlineStr">
        <is>
          <t>판매</t>
        </is>
      </c>
      <c r="J399" s="16" t="inlineStr">
        <is>
          <t>8949170604 9788949170602</t>
        </is>
      </c>
      <c r="K399" s="17" t="inlineStr">
        <is>
          <t>https://search1.kakaocdn.net/thumb/R120x174.q85/?fname=http%3A%2F%2Ft1.daumcdn.net%2Flbook%2Fimage%2F615633%3Ftimestamp%3D20250719110256</t>
        </is>
      </c>
    </row>
    <row r="400" ht="12.75" customHeight="1" s="118">
      <c r="A400" s="9" t="n"/>
      <c r="B400" s="10" t="inlineStr">
        <is>
          <t>1리터의 눈물</t>
        </is>
      </c>
      <c r="C400" s="10" t="inlineStr">
        <is>
          <t>키토아야</t>
        </is>
      </c>
      <c r="D400" s="10" t="inlineStr">
        <is>
          <t>이덴슬리벨</t>
        </is>
      </c>
      <c r="E400" s="12">
        <f>_xludf.IFS(COUNTIF(보류목록!$B$3:$B$1000, B400)&gt;0, "-",COUNTIF(독서목록!$C$2:$C$1099, B400)=0, , COUNTIF(독서목록!$C$2:$C$1099, B400)&gt;0, COUNTIF(독서목록!$C$2:$C$1099, B400))</f>
        <v/>
      </c>
      <c r="F400" s="12">
        <f>_xludf.IFS(COUNTIF(보류목록!$C$3:$C$1000, B400)&gt;0, "-",COUNTIF(독서목록!$D$2:$D$1099, B400)=0, , COUNTIF(독서목록!$D$2:$D$1099, B400)&gt;0, COUNTIF(독서목록!$D$2:$D$1099, B400))</f>
        <v/>
      </c>
      <c r="G400" s="12" t="inlineStr">
        <is>
          <t>2012.02.24</t>
        </is>
      </c>
      <c r="H400" s="13" t="inlineStr">
        <is>
          <t>판매</t>
        </is>
      </c>
      <c r="I400" s="13" t="inlineStr">
        <is>
          <t>판매</t>
        </is>
      </c>
      <c r="J400" s="16" t="inlineStr">
        <is>
          <t>8991310109 9788991310100</t>
        </is>
      </c>
      <c r="K400" s="17" t="inlineStr">
        <is>
          <t>https://search1.kakaocdn.net/thumb/R120x174.q85/?fname=http%3A%2F%2Ft1.daumcdn.net%2Flbook%2Fimage%2F1339560%3Ftimestamp%3D20221107234418</t>
        </is>
      </c>
    </row>
    <row r="401" ht="12.75" customHeight="1" s="118">
      <c r="A401" s="9" t="n"/>
      <c r="B401" s="10" t="inlineStr">
        <is>
          <t>매일 읽는 긍정의 한 줄</t>
        </is>
      </c>
      <c r="C401" s="10" t="inlineStr">
        <is>
          <t>린다 파콘</t>
        </is>
      </c>
      <c r="D401" s="10" t="inlineStr">
        <is>
          <t>책이있는풍경</t>
        </is>
      </c>
      <c r="E401" s="12">
        <f>_xludf.IFS(COUNTIF(보류목록!$B$3:$B$1000, B401)&gt;0, "-",COUNTIF(독서목록!$C$2:$C$1099, B401)=0, , COUNTIF(독서목록!$C$2:$C$1099, B401)&gt;0, COUNTIF(독서목록!$C$2:$C$1099, B401))</f>
        <v/>
      </c>
      <c r="F401" s="12">
        <f>_xludf.IFS(COUNTIF(보류목록!$C$3:$C$1000, B401)&gt;0, "-",COUNTIF(독서목록!$D$2:$D$1099, B401)=0, , COUNTIF(독서목록!$D$2:$D$1099, B401)&gt;0, COUNTIF(독서목록!$D$2:$D$1099, B401))</f>
        <v/>
      </c>
      <c r="G401" s="12" t="n"/>
      <c r="H401" s="12" t="inlineStr">
        <is>
          <t>기부</t>
        </is>
      </c>
      <c r="I401" s="12" t="inlineStr">
        <is>
          <t>기부</t>
        </is>
      </c>
      <c r="J401" s="16" t="inlineStr">
        <is>
          <t>899558419X 9788995584194</t>
        </is>
      </c>
      <c r="K401" s="19" t="inlineStr">
        <is>
          <t>https://search1.kakaocdn.net/thumb/R120x174.q85/?fname=http%3A%2F%2Ft1.daumcdn.net%2Flbook%2Fimage%2F1444509%3Ftimestamp%3D20240127144006</t>
        </is>
      </c>
    </row>
    <row r="402" ht="12.75" customHeight="1" s="118">
      <c r="A402" s="9" t="n"/>
      <c r="B402" s="10" t="inlineStr">
        <is>
          <t>화성에서 온 남자 금성에서 온 여자</t>
        </is>
      </c>
      <c r="C402" s="10" t="inlineStr">
        <is>
          <t>존 그레이</t>
        </is>
      </c>
      <c r="D402" s="10" t="inlineStr">
        <is>
          <t>동녘라이프</t>
        </is>
      </c>
      <c r="E402" s="12">
        <f>_xludf.IFS(COUNTIF(보류목록!$B$3:$B$1000, B402)&gt;0, "-",COUNTIF(독서목록!$C$2:$C$1099, B402)=0, , COUNTIF(독서목록!$C$2:$C$1099, B402)&gt;0, COUNTIF(독서목록!$C$2:$C$1099, B402))</f>
        <v/>
      </c>
      <c r="F402" s="12">
        <f>_xludf.IFS(COUNTIF(보류목록!$C$3:$C$1000, B402)&gt;0, "-",COUNTIF(독서목록!$D$2:$D$1099, B402)=0, , COUNTIF(독서목록!$D$2:$D$1099, B402)&gt;0, COUNTIF(독서목록!$D$2:$D$1099, B402))</f>
        <v/>
      </c>
      <c r="G402" s="12" t="n"/>
      <c r="H402" s="12" t="inlineStr">
        <is>
          <t>기부</t>
        </is>
      </c>
      <c r="I402" s="12" t="inlineStr">
        <is>
          <t>기부</t>
        </is>
      </c>
      <c r="J402" s="16" t="inlineStr">
        <is>
          <t>8990514827 9788990514820</t>
        </is>
      </c>
      <c r="K402" s="19" t="inlineStr">
        <is>
          <t>https://search1.kakaocdn.net/thumb/R120x174.q85/?fname=http%3A%2F%2Ft1.daumcdn.net%2Flbook%2Fimage%2F5630562%3Ftimestamp%3D20260106143614</t>
        </is>
      </c>
    </row>
    <row r="403" ht="12.75" customHeight="1" s="118">
      <c r="A403" s="9" t="n"/>
      <c r="B403" s="10" t="inlineStr">
        <is>
          <t>샐러드&amp;소스 만들기</t>
        </is>
      </c>
      <c r="C403" s="10" t="inlineStr">
        <is>
          <t>전도근</t>
        </is>
      </c>
      <c r="D403" s="10" t="inlineStr">
        <is>
          <t>크라운출판사</t>
        </is>
      </c>
      <c r="E403" s="12">
        <f>_xludf.IFS(COUNTIF(보류목록!$B$3:$B$1000, B403)&gt;0, "-",COUNTIF(독서목록!$C$2:$C$1099, B403)=0, , COUNTIF(독서목록!$C$2:$C$1099, B403)&gt;0, COUNTIF(독서목록!$C$2:$C$1099, B403))</f>
        <v/>
      </c>
      <c r="F403" s="12">
        <f>_xludf.IFS(COUNTIF(보류목록!$C$3:$C$1000, B403)&gt;0, "-",COUNTIF(독서목록!$D$2:$D$1099, B403)=0, , COUNTIF(독서목록!$D$2:$D$1099, B403)&gt;0, COUNTIF(독서목록!$D$2:$D$1099, B403))</f>
        <v/>
      </c>
      <c r="G403" s="12" t="n"/>
      <c r="H403" s="12" t="inlineStr">
        <is>
          <t>기부</t>
        </is>
      </c>
      <c r="I403" s="12" t="inlineStr">
        <is>
          <t>기부</t>
        </is>
      </c>
      <c r="J403" s="16" t="inlineStr">
        <is>
          <t>4808940682425</t>
        </is>
      </c>
      <c r="K403" s="17" t="inlineStr">
        <is>
          <t>https://search1.kakaocdn.net/thumb/R120x174.q85/?fname=http%3A%2F%2Ft1.daumcdn.net%2Flbook%2Fimage%2F564038%3Ftimestamp%3D20190123195255</t>
        </is>
      </c>
    </row>
    <row r="404" ht="12.75" customHeight="1" s="118">
      <c r="A404" s="9" t="n"/>
      <c r="B404" s="10" t="inlineStr">
        <is>
          <t>카산드라의 거울 - 2</t>
        </is>
      </c>
      <c r="C404" s="10" t="inlineStr">
        <is>
          <t>베르나르 베르베르</t>
        </is>
      </c>
      <c r="D404" s="10" t="inlineStr">
        <is>
          <t>열린책들</t>
        </is>
      </c>
      <c r="E404" s="12">
        <f>_xludf.IFS(COUNTIF(보류목록!$B$3:$B$1000, B404)&gt;0, "-",COUNTIF(독서목록!$C$2:$C$1099, B404)=0, , COUNTIF(독서목록!$C$2:$C$1099, B404)&gt;0, COUNTIF(독서목록!$C$2:$C$1099, B404))</f>
        <v/>
      </c>
      <c r="F404" s="12">
        <f>_xludf.IFS(COUNTIF(보류목록!$C$3:$C$1000, B404)&gt;0, "-",COUNTIF(독서목록!$D$2:$D$1099, B404)=0, , COUNTIF(독서목록!$D$2:$D$1099, B404)&gt;0, COUNTIF(독서목록!$D$2:$D$1099, B404))</f>
        <v/>
      </c>
      <c r="G404" s="12" t="n"/>
      <c r="H404" s="12" t="inlineStr">
        <is>
          <t>기부</t>
        </is>
      </c>
      <c r="I404" s="12" t="inlineStr">
        <is>
          <t>기부</t>
        </is>
      </c>
      <c r="J404" s="16" t="inlineStr">
        <is>
          <t>8932910693 9788932910697</t>
        </is>
      </c>
      <c r="K404" s="17" t="inlineStr">
        <is>
          <t>https://search1.kakaocdn.net/thumb/R120x174.q85/?fname=http%3A%2F%2Ft1.daumcdn.net%2Flbook%2Fimage%2F506621%3Ftimestamp%3D20240508112901</t>
        </is>
      </c>
    </row>
    <row r="405" ht="12.75" customHeight="1" s="118">
      <c r="A405" s="9" t="n"/>
      <c r="B405" s="10" t="inlineStr">
        <is>
          <t>카산드라의 거울 - 1</t>
        </is>
      </c>
      <c r="C405" s="10" t="inlineStr">
        <is>
          <t>베르나르 베르베르</t>
        </is>
      </c>
      <c r="D405" s="10" t="inlineStr">
        <is>
          <t>열린책들</t>
        </is>
      </c>
      <c r="E405" s="12">
        <f>_xludf.IFS(COUNTIF(보류목록!$B$3:$B$1000, B405)&gt;0, "-",COUNTIF(독서목록!$C$2:$C$1099, B405)=0, , COUNTIF(독서목록!$C$2:$C$1099, B405)&gt;0, COUNTIF(독서목록!$C$2:$C$1099, B405))</f>
        <v/>
      </c>
      <c r="F405" s="12">
        <f>_xludf.IFS(COUNTIF(보류목록!$C$3:$C$1000, B405)&gt;0, "-",COUNTIF(독서목록!$D$2:$D$1099, B405)=0, , COUNTIF(독서목록!$D$2:$D$1099, B405)&gt;0, COUNTIF(독서목록!$D$2:$D$1099, B405))</f>
        <v/>
      </c>
      <c r="G405" s="12" t="n"/>
      <c r="H405" s="12" t="inlineStr">
        <is>
          <t>기부</t>
        </is>
      </c>
      <c r="I405" s="12" t="inlineStr">
        <is>
          <t>기부</t>
        </is>
      </c>
      <c r="J405" s="16" t="inlineStr">
        <is>
          <t>8932910685 9788932910680</t>
        </is>
      </c>
      <c r="K405" s="17" t="inlineStr">
        <is>
          <t>https://search1.kakaocdn.net/thumb/R120x174.q85/?fname=http%3A%2F%2Ft1.daumcdn.net%2Flbook%2Fimage%2F506716%3Ftimestamp%3D20231007161833</t>
        </is>
      </c>
    </row>
    <row r="406" ht="12.75" customHeight="1" s="118">
      <c r="A406" s="9" t="n"/>
      <c r="B406" s="10" t="inlineStr">
        <is>
          <t>나무</t>
        </is>
      </c>
      <c r="C406" s="10" t="inlineStr">
        <is>
          <t>베르나르 베르베르</t>
        </is>
      </c>
      <c r="D406" s="10" t="inlineStr">
        <is>
          <t>열린책들</t>
        </is>
      </c>
      <c r="E406" s="12">
        <f>_xludf.IFS(COUNTIF(보류목록!$B$3:$B$1000, B406)&gt;0, "-",COUNTIF(독서목록!$C$2:$C$1099, B406)=0, , COUNTIF(독서목록!$C$2:$C$1099, B406)&gt;0, COUNTIF(독서목록!$C$2:$C$1099, B406))</f>
        <v/>
      </c>
      <c r="F406" s="12">
        <f>_xludf.IFS(COUNTIF(보류목록!$C$3:$C$1000, B406)&gt;0, "-",COUNTIF(독서목록!$D$2:$D$1099, B406)=0, , COUNTIF(독서목록!$D$2:$D$1099, B406)&gt;0, COUNTIF(독서목록!$D$2:$D$1099, B406))</f>
        <v/>
      </c>
      <c r="G406" s="12" t="n"/>
      <c r="H406" s="12" t="inlineStr">
        <is>
          <t>기부</t>
        </is>
      </c>
      <c r="I406" s="12" t="inlineStr">
        <is>
          <t>기부</t>
        </is>
      </c>
      <c r="J406" s="16" t="inlineStr">
        <is>
          <t>893290507X 9788932905075</t>
        </is>
      </c>
      <c r="K406" s="17" t="inlineStr">
        <is>
          <t>https://search1.kakaocdn.net/thumb/R120x174.q85/?fname=http%3A%2F%2Ft1.daumcdn.net%2Flbook%2Fimage%2F506412%3Ftimestamp%3D20250717110758</t>
        </is>
      </c>
    </row>
    <row r="407" ht="12.75" customHeight="1" s="118">
      <c r="A407" s="9" t="n"/>
      <c r="B407" s="10" t="inlineStr">
        <is>
          <t>파라다이스 - 2</t>
        </is>
      </c>
      <c r="C407" s="10" t="inlineStr">
        <is>
          <t>베르나르 베르베르</t>
        </is>
      </c>
      <c r="D407" s="10" t="inlineStr">
        <is>
          <t>열린책들</t>
        </is>
      </c>
      <c r="E407" s="12">
        <f>_xludf.IFS(COUNTIF(보류목록!$B$3:$B$1000, B407)&gt;0, "-",COUNTIF(독서목록!$C$2:$C$1099, B407)=0, , COUNTIF(독서목록!$C$2:$C$1099, B407)&gt;0, COUNTIF(독서목록!$C$2:$C$1099, B407))</f>
        <v/>
      </c>
      <c r="F407" s="12">
        <f>_xludf.IFS(COUNTIF(보류목록!$C$3:$C$1000, B407)&gt;0, "-",COUNTIF(독서목록!$D$2:$D$1099, B407)=0, , COUNTIF(독서목록!$D$2:$D$1099, B407)&gt;0, COUNTIF(독서목록!$D$2:$D$1099, B407))</f>
        <v/>
      </c>
      <c r="G407" s="12" t="n"/>
      <c r="H407" s="12" t="inlineStr">
        <is>
          <t>기부</t>
        </is>
      </c>
      <c r="I407" s="12" t="inlineStr">
        <is>
          <t>기부</t>
        </is>
      </c>
      <c r="J407" s="16" t="inlineStr">
        <is>
          <t>8932915652 9788932915654</t>
        </is>
      </c>
      <c r="K407" s="17" t="inlineStr">
        <is>
          <t>https://search1.kakaocdn.net/thumb/R120x174.q85/?fname=http%3A%2F%2Ft1.daumcdn.net%2Flbook%2Fimage%2F507407%3Ftimestamp%3D20250417120232</t>
        </is>
      </c>
    </row>
    <row r="408" ht="12.75" customHeight="1" s="118">
      <c r="A408" s="9" t="n"/>
      <c r="B408" s="10" t="inlineStr">
        <is>
          <t>파라다이스 - 1</t>
        </is>
      </c>
      <c r="C408" s="10" t="inlineStr">
        <is>
          <t>베르나르 베르베르</t>
        </is>
      </c>
      <c r="D408" s="10" t="inlineStr">
        <is>
          <t>열린책들</t>
        </is>
      </c>
      <c r="E408" s="12">
        <f>_xludf.IFS(COUNTIF(보류목록!$B$3:$B$1000, B408)&gt;0, "-",COUNTIF(독서목록!$C$2:$C$1099, B408)=0, , COUNTIF(독서목록!$C$2:$C$1099, B408)&gt;0, COUNTIF(독서목록!$C$2:$C$1099, B408))</f>
        <v/>
      </c>
      <c r="F408" s="12">
        <f>_xludf.IFS(COUNTIF(보류목록!$C$3:$C$1000, B408)&gt;0, "-",COUNTIF(독서목록!$D$2:$D$1099, B408)=0, , COUNTIF(독서목록!$D$2:$D$1099, B408)&gt;0, COUNTIF(독서목록!$D$2:$D$1099, B408))</f>
        <v/>
      </c>
      <c r="G408" s="12" t="n"/>
      <c r="H408" s="12" t="inlineStr">
        <is>
          <t>기부</t>
        </is>
      </c>
      <c r="I408" s="12" t="inlineStr">
        <is>
          <t>기부</t>
        </is>
      </c>
      <c r="J408" s="16" t="inlineStr">
        <is>
          <t>8932910413 9788932910413</t>
        </is>
      </c>
      <c r="K408" s="17" t="inlineStr">
        <is>
          <t>https://search1.kakaocdn.net/thumb/R120x174.q85/?fname=http%3A%2F%2Ft1.daumcdn.net%2Flbook%2Fimage%2F507108%3Ftimestamp%3D20230728213919</t>
        </is>
      </c>
    </row>
    <row r="409" ht="12.75" customHeight="1" s="118">
      <c r="A409" s="9" t="n"/>
      <c r="B409" s="10" t="inlineStr">
        <is>
          <t>마미야 형제</t>
        </is>
      </c>
      <c r="C409" s="10" t="inlineStr">
        <is>
          <t>에쿠니 가오리</t>
        </is>
      </c>
      <c r="D409" s="11" t="inlineStr">
        <is>
          <t>소담출판사</t>
        </is>
      </c>
      <c r="E409" s="12">
        <f>_xludf.IFS(COUNTIF(보류목록!$B$3:$B$1000, B409)&gt;0, "-",COUNTIF(독서목록!$C$2:$C$1099, B409)=0, , COUNTIF(독서목록!$C$2:$C$1099, B409)&gt;0, COUNTIF(독서목록!$C$2:$C$1099, B409))</f>
        <v/>
      </c>
      <c r="F409" s="12">
        <f>_xludf.IFS(COUNTIF(보류목록!$C$3:$C$1000, B409)&gt;0, "-",COUNTIF(독서목록!$D$2:$D$1099, B409)=0, , COUNTIF(독서목록!$D$2:$D$1099, B409)&gt;0, COUNTIF(독서목록!$D$2:$D$1099, B409))</f>
        <v/>
      </c>
      <c r="G409" s="12" t="n"/>
      <c r="H409" s="12" t="inlineStr">
        <is>
          <t>기부</t>
        </is>
      </c>
      <c r="I409" s="12" t="inlineStr">
        <is>
          <t>기부</t>
        </is>
      </c>
      <c r="J409" s="16" t="inlineStr">
        <is>
          <t>8973818996 9788973818990</t>
        </is>
      </c>
      <c r="K409" s="17" t="inlineStr">
        <is>
          <t>https://search1.kakaocdn.net/thumb/R120x174.q85/?fname=http%3A%2F%2Ft1.daumcdn.net%2Flbook%2Fimage%2F1027510%3Ftimestamp%3D20240724112424</t>
        </is>
      </c>
    </row>
    <row r="410" ht="12.75" customHeight="1" s="118">
      <c r="A410" s="9" t="n"/>
      <c r="B410" s="10" t="inlineStr">
        <is>
          <t>빨간장화</t>
        </is>
      </c>
      <c r="C410" s="10" t="inlineStr">
        <is>
          <t>에쿠니 가오리</t>
        </is>
      </c>
      <c r="D410" s="11" t="inlineStr">
        <is>
          <t>소담출판사</t>
        </is>
      </c>
      <c r="E410" s="12">
        <f>_xludf.IFS(COUNTIF(보류목록!$B$3:$B$1000, B410)&gt;0, "-",COUNTIF(독서목록!$C$2:$C$1099, B410)=0, , COUNTIF(독서목록!$C$2:$C$1099, B410)&gt;0, COUNTIF(독서목록!$C$2:$C$1099, B410))</f>
        <v/>
      </c>
      <c r="F410" s="12">
        <f>_xludf.IFS(COUNTIF(보류목록!$C$3:$C$1000, B410)&gt;0, "-",COUNTIF(독서목록!$D$2:$D$1099, B410)=0, , COUNTIF(독서목록!$D$2:$D$1099, B410)&gt;0, COUNTIF(독서목록!$D$2:$D$1099, B410))</f>
        <v/>
      </c>
      <c r="G410" s="12" t="n"/>
      <c r="H410" s="12" t="inlineStr">
        <is>
          <t>기부</t>
        </is>
      </c>
      <c r="I410" s="12" t="inlineStr">
        <is>
          <t>기부</t>
        </is>
      </c>
      <c r="J410" s="16" t="inlineStr">
        <is>
          <t>8973815776 9788973815777</t>
        </is>
      </c>
      <c r="K410" s="17" t="inlineStr">
        <is>
          <t>https://search1.kakaocdn.net/thumb/R120x174.q85/?fname=http%3A%2F%2Ft1.daumcdn.net%2Flbook%2Fimage%2F1027035%3Ftimestamp%3D20240217173540</t>
        </is>
      </c>
    </row>
    <row r="411" ht="12.75" customHeight="1" s="118">
      <c r="A411" s="9" t="n"/>
      <c r="B411" s="10" t="inlineStr">
        <is>
          <t>공중그네</t>
        </is>
      </c>
      <c r="C411" s="34" t="inlineStr">
        <is>
          <t>오쿠다 히데오</t>
        </is>
      </c>
      <c r="D411" s="10" t="inlineStr">
        <is>
          <t>은행나무</t>
        </is>
      </c>
      <c r="E411" s="12">
        <f>_xludf.IFS(COUNTIF(보류목록!$B$3:$B$1000, B411)&gt;0, "-",COUNTIF(독서목록!$C$2:$C$1099, B411)=0, , COUNTIF(독서목록!$C$2:$C$1099, B411)&gt;0, COUNTIF(독서목록!$C$2:$C$1099, B411))</f>
        <v/>
      </c>
      <c r="F411" s="12">
        <f>_xludf.IFS(COUNTIF(보류목록!$C$3:$C$1000, B411)&gt;0, "-",COUNTIF(독서목록!$D$2:$D$1099, B411)=0, , COUNTIF(독서목록!$D$2:$D$1099, B411)&gt;0, COUNTIF(독서목록!$D$2:$D$1099, B411))</f>
        <v/>
      </c>
      <c r="G411" s="12" t="n"/>
      <c r="H411" s="12" t="inlineStr">
        <is>
          <t>기부</t>
        </is>
      </c>
      <c r="I411" s="12" t="inlineStr">
        <is>
          <t>기부</t>
        </is>
      </c>
      <c r="J411" s="16" t="inlineStr">
        <is>
          <t>895660102X 9788956601021</t>
        </is>
      </c>
      <c r="K411" s="17" t="inlineStr">
        <is>
          <t>https://search1.kakaocdn.net/thumb/R120x174.q85/?fname=http%3A%2F%2Ft1.daumcdn.net%2Flbook%2Fimage%2F737627%3Ftimestamp%3D20250828110243</t>
        </is>
      </c>
    </row>
    <row r="412" ht="12.75" customHeight="1" s="118">
      <c r="A412" s="9" t="n"/>
      <c r="B412" s="10" t="inlineStr">
        <is>
          <t>모방범 - 3</t>
        </is>
      </c>
      <c r="C412" s="10" t="inlineStr">
        <is>
          <t>미야베 미유키</t>
        </is>
      </c>
      <c r="D412" s="10" t="inlineStr">
        <is>
          <t>문학동네</t>
        </is>
      </c>
      <c r="E412" s="12">
        <f>_xludf.IFS(COUNTIF(보류목록!$B$3:$B$1000, B412)&gt;0, "-",COUNTIF(독서목록!$C$2:$C$1099, B412)=0, , COUNTIF(독서목록!$C$2:$C$1099, B412)&gt;0, COUNTIF(독서목록!$C$2:$C$1099, B412))</f>
        <v/>
      </c>
      <c r="F412" s="12">
        <f>_xludf.IFS(COUNTIF(보류목록!$C$3:$C$1000, B412)&gt;0, "-",COUNTIF(독서목록!$D$2:$D$1099, B412)=0, , COUNTIF(독서목록!$D$2:$D$1099, B412)&gt;0, COUNTIF(독서목록!$D$2:$D$1099, B412))</f>
        <v/>
      </c>
      <c r="G412" s="12" t="n"/>
      <c r="H412" s="12" t="inlineStr">
        <is>
          <t>기부</t>
        </is>
      </c>
      <c r="I412" s="12" t="inlineStr">
        <is>
          <t>기부</t>
        </is>
      </c>
      <c r="J412" s="16" t="inlineStr">
        <is>
          <t>8954617735 9788954617734</t>
        </is>
      </c>
      <c r="K412" s="17" t="inlineStr">
        <is>
          <t>https://search1.kakaocdn.net/thumb/R120x174.q85/?fname=http%3A%2F%2Ft1.daumcdn.net%2Flbook%2Fimage%2F691053%3Ftimestamp%3D20260307110855</t>
        </is>
      </c>
    </row>
    <row r="413" ht="12.75" customHeight="1" s="118">
      <c r="A413" s="9" t="n"/>
      <c r="B413" s="10" t="inlineStr">
        <is>
          <t>모방범 - 2</t>
        </is>
      </c>
      <c r="C413" s="10" t="inlineStr">
        <is>
          <t>미야베 미유키</t>
        </is>
      </c>
      <c r="D413" s="10" t="inlineStr">
        <is>
          <t>문학동네</t>
        </is>
      </c>
      <c r="E413" s="12">
        <f>_xludf.IFS(COUNTIF(보류목록!$B$3:$B$1000, B413)&gt;0, "-",COUNTIF(독서목록!$C$2:$C$1099, B413)=0, , COUNTIF(독서목록!$C$2:$C$1099, B413)&gt;0, COUNTIF(독서목록!$C$2:$C$1099, B413))</f>
        <v/>
      </c>
      <c r="F413" s="12">
        <f>_xludf.IFS(COUNTIF(보류목록!$C$3:$C$1000, B413)&gt;0, "-",COUNTIF(독서목록!$D$2:$D$1099, B413)=0, , COUNTIF(독서목록!$D$2:$D$1099, B413)&gt;0, COUNTIF(독서목록!$D$2:$D$1099, B413))</f>
        <v/>
      </c>
      <c r="G413" s="12" t="n"/>
      <c r="H413" s="12" t="inlineStr">
        <is>
          <t>기부</t>
        </is>
      </c>
      <c r="I413" s="12" t="inlineStr">
        <is>
          <t>기부</t>
        </is>
      </c>
      <c r="J413" s="16" t="inlineStr">
        <is>
          <t>8954617727 9788954617727</t>
        </is>
      </c>
      <c r="K413" s="17" t="inlineStr">
        <is>
          <t>https://search1.kakaocdn.net/thumb/R120x174.q85/?fname=http%3A%2F%2Ft1.daumcdn.net%2Flbook%2Fimage%2F691386%3Ftimestamp%3D20260305110847</t>
        </is>
      </c>
    </row>
    <row r="414" ht="12.75" customHeight="1" s="118">
      <c r="A414" s="9" t="n"/>
      <c r="B414" s="10" t="inlineStr">
        <is>
          <t>모방범 - 1</t>
        </is>
      </c>
      <c r="C414" s="10" t="inlineStr">
        <is>
          <t>미야베 미유키</t>
        </is>
      </c>
      <c r="D414" s="10" t="inlineStr">
        <is>
          <t>문학동네</t>
        </is>
      </c>
      <c r="E414" s="12">
        <f>_xludf.IFS(COUNTIF(보류목록!$B$3:$B$1000, B414)&gt;0, "-",COUNTIF(독서목록!$C$2:$C$1099, B414)=0, , COUNTIF(독서목록!$C$2:$C$1099, B414)&gt;0, COUNTIF(독서목록!$C$2:$C$1099, B414))</f>
        <v/>
      </c>
      <c r="F414" s="12">
        <f>_xludf.IFS(COUNTIF(보류목록!$C$3:$C$1000, B414)&gt;0, "-",COUNTIF(독서목록!$D$2:$D$1099, B414)=0, , COUNTIF(독서목록!$D$2:$D$1099, B414)&gt;0, COUNTIF(독서목록!$D$2:$D$1099, B414))</f>
        <v/>
      </c>
      <c r="G414" s="12" t="n"/>
      <c r="H414" s="12" t="inlineStr">
        <is>
          <t>기부</t>
        </is>
      </c>
      <c r="I414" s="12" t="inlineStr">
        <is>
          <t>기부</t>
        </is>
      </c>
      <c r="J414" s="16" t="inlineStr">
        <is>
          <t>8954617719 9788954617710</t>
        </is>
      </c>
      <c r="K414" s="17" t="inlineStr">
        <is>
          <t>https://search1.kakaocdn.net/thumb/R120x174.q85/?fname=http%3A%2F%2Ft1.daumcdn.net%2Flbook%2Fimage%2F691050%3Ftimestamp%3D20260409110634</t>
        </is>
      </c>
    </row>
    <row r="415" ht="12.75" customHeight="1" s="118">
      <c r="A415" s="9" t="n"/>
      <c r="B415" s="10" t="inlineStr">
        <is>
          <t>1Q84-3</t>
        </is>
      </c>
      <c r="C415" s="10" t="inlineStr">
        <is>
          <t>무라카미 하루키</t>
        </is>
      </c>
      <c r="D415" s="10" t="inlineStr">
        <is>
          <t>문학동네</t>
        </is>
      </c>
      <c r="E415" s="12">
        <f>_xludf.IFS(COUNTIF(보류목록!$B$3:$B$1000, B415)&gt;0, "-",COUNTIF(독서목록!$C$2:$C$1099, B415)=0, , COUNTIF(독서목록!$C$2:$C$1099, B415)&gt;0, COUNTIF(독서목록!$C$2:$C$1099, B415))</f>
        <v/>
      </c>
      <c r="F415" s="12">
        <f>_xludf.IFS(COUNTIF(보류목록!$C$3:$C$1000, B415)&gt;0, "-",COUNTIF(독서목록!$D$2:$D$1099, B415)=0, , COUNTIF(독서목록!$D$2:$D$1099, B415)&gt;0, COUNTIF(독서목록!$D$2:$D$1099, B415))</f>
        <v/>
      </c>
      <c r="G415" s="12" t="n"/>
      <c r="H415" s="12" t="inlineStr">
        <is>
          <t>기부</t>
        </is>
      </c>
      <c r="I415" s="12" t="inlineStr">
        <is>
          <t>기부</t>
        </is>
      </c>
      <c r="J415" s="16" t="inlineStr">
        <is>
          <t>895461180X 9788954611800</t>
        </is>
      </c>
      <c r="K415" s="17" t="inlineStr">
        <is>
          <t>https://search1.kakaocdn.net/thumb/R120x174.q85/?fname=http%3A%2F%2Ft1.daumcdn.net%2Flbook%2Fimage%2F690663%3Ftimestamp%3D20260226110853</t>
        </is>
      </c>
    </row>
    <row r="416" ht="12.75" customHeight="1" s="118">
      <c r="A416" s="9" t="n"/>
      <c r="B416" s="10" t="inlineStr">
        <is>
          <t>1Q84-2</t>
        </is>
      </c>
      <c r="C416" s="10" t="inlineStr">
        <is>
          <t>무라카미 하루키</t>
        </is>
      </c>
      <c r="D416" s="10" t="inlineStr">
        <is>
          <t>문학동네</t>
        </is>
      </c>
      <c r="E416" s="12">
        <f>_xludf.IFS(COUNTIF(보류목록!$B$3:$B$1000, B416)&gt;0, "-",COUNTIF(독서목록!$C$2:$C$1099, B416)=0, , COUNTIF(독서목록!$C$2:$C$1099, B416)&gt;0, COUNTIF(독서목록!$C$2:$C$1099, B416))</f>
        <v/>
      </c>
      <c r="F416" s="12">
        <f>_xludf.IFS(COUNTIF(보류목록!$C$3:$C$1000, B416)&gt;0, "-",COUNTIF(독서목록!$D$2:$D$1099, B416)=0, , COUNTIF(독서목록!$D$2:$D$1099, B416)&gt;0, COUNTIF(독서목록!$D$2:$D$1099, B416))</f>
        <v/>
      </c>
      <c r="G416" s="12" t="n"/>
      <c r="H416" s="12" t="inlineStr">
        <is>
          <t>기부</t>
        </is>
      </c>
      <c r="I416" s="12" t="inlineStr">
        <is>
          <t>기부</t>
        </is>
      </c>
      <c r="J416" s="16" t="inlineStr">
        <is>
          <t>8954608655 9788954608657</t>
        </is>
      </c>
      <c r="K416" s="17" t="inlineStr">
        <is>
          <t>https://search1.kakaocdn.net/thumb/R120x174.q85/?fname=http%3A%2F%2Ft1.daumcdn.net%2Flbook%2Fimage%2F690448%3Ftimestamp%3D20251226110641</t>
        </is>
      </c>
    </row>
    <row r="417" ht="12.75" customHeight="1" s="118">
      <c r="A417" s="9" t="n"/>
      <c r="B417" s="10" t="inlineStr">
        <is>
          <t>1Q84-1</t>
        </is>
      </c>
      <c r="C417" s="10" t="inlineStr">
        <is>
          <t>무라카미 하루키</t>
        </is>
      </c>
      <c r="D417" s="10" t="inlineStr">
        <is>
          <t>문학동네</t>
        </is>
      </c>
      <c r="E417" s="12">
        <f>_xludf.IFS(COUNTIF(보류목록!$B$3:$B$1000, B417)&gt;0, "-",COUNTIF(독서목록!$C$2:$C$1099, B417)=0, , COUNTIF(독서목록!$C$2:$C$1099, B417)&gt;0, COUNTIF(독서목록!$C$2:$C$1099, B417))</f>
        <v/>
      </c>
      <c r="F417" s="12">
        <f>_xludf.IFS(COUNTIF(보류목록!$C$3:$C$1000, B417)&gt;0, "-",COUNTIF(독서목록!$D$2:$D$1099, B417)=0, , COUNTIF(독서목록!$D$2:$D$1099, B417)&gt;0, COUNTIF(독서목록!$D$2:$D$1099, B417))</f>
        <v/>
      </c>
      <c r="G417" s="12" t="n"/>
      <c r="H417" s="12" t="inlineStr">
        <is>
          <t>기부</t>
        </is>
      </c>
      <c r="I417" s="12" t="inlineStr">
        <is>
          <t>기부</t>
        </is>
      </c>
      <c r="J417" s="16" t="inlineStr">
        <is>
          <t>8954608647 9788954608640</t>
        </is>
      </c>
      <c r="K417" s="17" t="inlineStr">
        <is>
          <t>https://search1.kakaocdn.net/thumb/R120x174.q85/?fname=http%3A%2F%2Ft1.daumcdn.net%2Flbook%2Fimage%2F690267%3Ftimestamp%3D20260204111051</t>
        </is>
      </c>
    </row>
    <row r="418" ht="12.75" customHeight="1" s="118">
      <c r="A418" s="9" t="n"/>
      <c r="B418" s="10" t="inlineStr">
        <is>
          <t>모모</t>
        </is>
      </c>
      <c r="C418" s="10" t="inlineStr">
        <is>
          <t>미하엘 엔데</t>
        </is>
      </c>
      <c r="D418" s="10" t="inlineStr">
        <is>
          <t>비룡소</t>
        </is>
      </c>
      <c r="E418" s="12">
        <f>_xludf.IFS(COUNTIF(보류목록!$B$3:$B$1000, B418)&gt;0, "-",COUNTIF(독서목록!$C$2:$C$1099, B418)=0, , COUNTIF(독서목록!$C$2:$C$1099, B418)&gt;0, COUNTIF(독서목록!$C$2:$C$1099, B418))</f>
        <v/>
      </c>
      <c r="F418" s="12">
        <f>_xludf.IFS(COUNTIF(보류목록!$C$3:$C$1000, B418)&gt;0, "-",COUNTIF(독서목록!$D$2:$D$1099, B418)=0, , COUNTIF(독서목록!$D$2:$D$1099, B418)&gt;0, COUNTIF(독서목록!$D$2:$D$1099, B418))</f>
        <v/>
      </c>
      <c r="G418" s="12" t="n"/>
      <c r="H418" s="12" t="inlineStr">
        <is>
          <t>기부</t>
        </is>
      </c>
      <c r="I418" s="12" t="inlineStr">
        <is>
          <t>기부</t>
        </is>
      </c>
      <c r="J418" s="16" t="inlineStr">
        <is>
          <t>8949190028 9788949190020</t>
        </is>
      </c>
      <c r="K418" s="17" t="inlineStr">
        <is>
          <t>https://search1.kakaocdn.net/thumb/R120x174.q85/?fname=http%3A%2F%2Ft1.daumcdn.net%2Flbook%2Fimage%2F616146%3Ftimestamp%3D20241221113358</t>
        </is>
      </c>
    </row>
    <row r="419" ht="12.75" customHeight="1" s="118">
      <c r="A419" s="9" t="n"/>
      <c r="B419" s="10" t="inlineStr">
        <is>
          <t>스피드 당구</t>
        </is>
      </c>
      <c r="C419" s="11" t="inlineStr">
        <is>
          <t>유효식</t>
        </is>
      </c>
      <c r="D419" s="11" t="inlineStr">
        <is>
          <t>일신미디어</t>
        </is>
      </c>
      <c r="E419" s="12">
        <f>_xludf.IFS(COUNTIF(보류목록!$B$3:$B$1000, B419)&gt;0, "-",COUNTIF(독서목록!$C$2:$C$1099, B419)=0, , COUNTIF(독서목록!$C$2:$C$1099, B419)&gt;0, COUNTIF(독서목록!$C$2:$C$1099, B419))</f>
        <v/>
      </c>
      <c r="F419" s="12">
        <f>_xludf.IFS(COUNTIF(보류목록!$C$3:$C$1000, B419)&gt;0, "-",COUNTIF(독서목록!$D$2:$D$1099, B419)=0, , COUNTIF(독서목록!$D$2:$D$1099, B419)&gt;0, COUNTIF(독서목록!$D$2:$D$1099, B419))</f>
        <v/>
      </c>
      <c r="G419" s="13" t="inlineStr">
        <is>
          <t>2018.05.00</t>
        </is>
      </c>
      <c r="H419" s="13" t="inlineStr">
        <is>
          <t>판매</t>
        </is>
      </c>
      <c r="I419" s="13" t="inlineStr">
        <is>
          <t>판매</t>
        </is>
      </c>
      <c r="J419" s="16" t="inlineStr">
        <is>
          <t>8965901278 9788965901273</t>
        </is>
      </c>
      <c r="K419" s="17" t="inlineStr">
        <is>
          <t>https://search1.kakaocdn.net/thumb/R120x174.q85/?fname=http%3A%2F%2Ft1.daumcdn.net%2Flbook%2Fimage%2F919893%3Ftimestamp%3D20240911113425</t>
        </is>
      </c>
    </row>
    <row r="420" ht="12.75" customHeight="1" s="118">
      <c r="A420" s="9" t="n"/>
      <c r="B420" s="10" t="inlineStr">
        <is>
          <t>한국 미술</t>
        </is>
      </c>
      <c r="C420" s="11" t="inlineStr">
        <is>
          <t>샬롯 홀릭</t>
        </is>
      </c>
      <c r="D420" s="11" t="inlineStr">
        <is>
          <t>재승출판</t>
        </is>
      </c>
      <c r="E420" s="12">
        <f>_xludf.IFS(COUNTIF(보류목록!$B$3:$B$1000, B420)&gt;0, "-",COUNTIF(독서목록!$C$2:$C$1099, B420)=0, , COUNTIF(독서목록!$C$2:$C$1099, B420)&gt;0, COUNTIF(독서목록!$C$2:$C$1099, B420))</f>
        <v/>
      </c>
      <c r="F420" s="12">
        <f>_xludf.IFS(COUNTIF(보류목록!$C$3:$C$1000, B420)&gt;0, "-",COUNTIF(독서목록!$D$2:$D$1099, B420)=0, , COUNTIF(독서목록!$D$2:$D$1099, B420)&gt;0, COUNTIF(독서목록!$D$2:$D$1099, B420))</f>
        <v/>
      </c>
      <c r="G420" s="13" t="inlineStr">
        <is>
          <t>2020.10.12</t>
        </is>
      </c>
      <c r="H420" s="13" t="inlineStr">
        <is>
          <t>판매</t>
        </is>
      </c>
      <c r="I420" s="13" t="inlineStr">
        <is>
          <t>판매</t>
        </is>
      </c>
      <c r="J420" s="16" t="inlineStr">
        <is>
          <t>1188352318 9791188352319</t>
        </is>
      </c>
      <c r="K420" s="17" t="inlineStr">
        <is>
          <t>https://search1.kakaocdn.net/thumb/R120x174.q85/?fname=http%3A%2F%2Ft1.daumcdn.net%2Flbook%2Fimage%2F5369591%3Ftimestamp%3D20231124151242</t>
        </is>
      </c>
    </row>
    <row r="421" ht="12.75" customHeight="1" s="118">
      <c r="A421" s="9" t="n"/>
      <c r="B421" s="10" t="inlineStr">
        <is>
          <t>제이나 프라우드무어 : 전쟁의 물결</t>
        </is>
      </c>
      <c r="C421" s="11" t="inlineStr">
        <is>
          <t>크리스티 골든</t>
        </is>
      </c>
      <c r="D421" s="11" t="inlineStr">
        <is>
          <t>제우미디어</t>
        </is>
      </c>
      <c r="E421" s="12">
        <f>_xludf.IFS(COUNTIF(보류목록!$B$3:$B$1000, B421)&gt;0, "-",COUNTIF(독서목록!$C$2:$C$1099, B421)=0, , COUNTIF(독서목록!$C$2:$C$1099, B421)&gt;0, COUNTIF(독서목록!$C$2:$C$1099, B421))</f>
        <v/>
      </c>
      <c r="F421" s="12">
        <f>_xludf.IFS(COUNTIF(보류목록!$C$3:$C$1000, B421)&gt;0, "-",COUNTIF(독서목록!$D$2:$D$1099, B421)=0, , COUNTIF(독서목록!$D$2:$D$1099, B421)&gt;0, COUNTIF(독서목록!$D$2:$D$1099, B421))</f>
        <v/>
      </c>
      <c r="G421" s="13" t="inlineStr">
        <is>
          <t>2018.10.21</t>
        </is>
      </c>
      <c r="H421" s="13" t="inlineStr">
        <is>
          <t>판매</t>
        </is>
      </c>
      <c r="I421" s="13" t="inlineStr">
        <is>
          <t>판매</t>
        </is>
      </c>
      <c r="J421" s="16" t="inlineStr">
        <is>
          <t>8959522686 9788959522682</t>
        </is>
      </c>
      <c r="K421" s="17" t="inlineStr">
        <is>
          <t>https://search1.kakaocdn.net/thumb/R120x174.q85/?fname=http%3A%2F%2Ft1.daumcdn.net%2Flbook%2Fimage%2F804987%3Ftimestamp%3D20240925114608</t>
        </is>
      </c>
    </row>
    <row r="422" ht="12.75" customHeight="1" s="118">
      <c r="A422" s="9" t="n"/>
      <c r="B422" s="10" t="inlineStr">
        <is>
          <t>월드오브워크래프트 볼진: 호드의 그림자</t>
        </is>
      </c>
      <c r="C422" s="11" t="inlineStr">
        <is>
          <t>마이클 A. 스텍폴</t>
        </is>
      </c>
      <c r="D422" s="11" t="inlineStr">
        <is>
          <t>제우미디어</t>
        </is>
      </c>
      <c r="E422" s="12">
        <f>_xludf.IFS(COUNTIF(보류목록!$B$3:$B$1000, B422)&gt;0, "-",COUNTIF(독서목록!$C$2:$C$1099, B422)=0, , COUNTIF(독서목록!$C$2:$C$1099, B422)&gt;0, COUNTIF(독서목록!$C$2:$C$1099, B422))</f>
        <v/>
      </c>
      <c r="F422" s="12">
        <f>_xludf.IFS(COUNTIF(보류목록!$C$3:$C$1000, B422)&gt;0, "-",COUNTIF(독서목록!$D$2:$D$1099, B422)=0, , COUNTIF(독서목록!$D$2:$D$1099, B422)&gt;0, COUNTIF(독서목록!$D$2:$D$1099, B422))</f>
        <v/>
      </c>
      <c r="G422" s="13" t="inlineStr">
        <is>
          <t>2018.04.14</t>
        </is>
      </c>
      <c r="H422" s="13" t="inlineStr">
        <is>
          <t>판매</t>
        </is>
      </c>
      <c r="I422" s="13" t="inlineStr">
        <is>
          <t>판매</t>
        </is>
      </c>
      <c r="J422" s="16" t="inlineStr">
        <is>
          <t>8959523607 9788959523603</t>
        </is>
      </c>
      <c r="K422" s="17" t="inlineStr">
        <is>
          <t>https://search1.kakaocdn.net/thumb/R120x174.q85/?fname=http%3A%2F%2Ft1.daumcdn.net%2Flbook%2Fimage%2F805582%3Ftimestamp%3D20190125035532</t>
        </is>
      </c>
    </row>
    <row r="423" ht="12.75" customHeight="1" s="118">
      <c r="A423" s="9" t="n"/>
      <c r="B423" s="10" t="inlineStr">
        <is>
          <t>월드오브워크래프트 - 호드의 탄생</t>
        </is>
      </c>
      <c r="C423" s="11" t="inlineStr">
        <is>
          <t>크리스티 골든</t>
        </is>
      </c>
      <c r="D423" s="11" t="inlineStr">
        <is>
          <t>제우미디어</t>
        </is>
      </c>
      <c r="E423" s="12">
        <f>_xludf.IFS(COUNTIF(보류목록!$B$3:$B$1000, B423)&gt;0, "-",COUNTIF(독서목록!$C$2:$C$1099, B423)=0, , COUNTIF(독서목록!$C$2:$C$1099, B423)&gt;0, COUNTIF(독서목록!$C$2:$C$1099, B423))</f>
        <v/>
      </c>
      <c r="F423" s="12">
        <f>_xludf.IFS(COUNTIF(보류목록!$C$3:$C$1000, B423)&gt;0, "-",COUNTIF(독서목록!$D$2:$D$1099, B423)=0, , COUNTIF(독서목록!$D$2:$D$1099, B423)&gt;0, COUNTIF(독서목록!$D$2:$D$1099, B423))</f>
        <v/>
      </c>
      <c r="G423" s="13" t="inlineStr">
        <is>
          <t>2016.12.19</t>
        </is>
      </c>
      <c r="H423" s="13" t="inlineStr">
        <is>
          <t>판매</t>
        </is>
      </c>
      <c r="I423" s="13" t="inlineStr">
        <is>
          <t>판매</t>
        </is>
      </c>
      <c r="J423" s="16" t="inlineStr">
        <is>
          <t>8959525197 9788959525195</t>
        </is>
      </c>
      <c r="K423" s="17" t="inlineStr">
        <is>
          <t>https://search1.kakaocdn.net/thumb/R120x174.q85/?fname=http%3A%2F%2Ft1.daumcdn.net%2Flbook%2Fimage%2F805838%3Ftimestamp%3D20230713172720</t>
        </is>
      </c>
    </row>
    <row r="424" ht="12.75" customHeight="1" s="118">
      <c r="A424" s="9" t="n"/>
      <c r="B424" s="10" t="inlineStr">
        <is>
          <t>월드오브워크래프트 - 아서스</t>
        </is>
      </c>
      <c r="C424" s="11" t="inlineStr">
        <is>
          <t>크리스티 골든</t>
        </is>
      </c>
      <c r="D424" s="11" t="inlineStr">
        <is>
          <t>제우미디어</t>
        </is>
      </c>
      <c r="E424" s="12">
        <f>_xludf.IFS(COUNTIF(보류목록!$B$3:$B$1000, B424)&gt;0, "-",COUNTIF(독서목록!$C$2:$C$1099, B424)=0, , COUNTIF(독서목록!$C$2:$C$1099, B424)&gt;0, COUNTIF(독서목록!$C$2:$C$1099, B424))</f>
        <v/>
      </c>
      <c r="F424" s="12">
        <f>_xludf.IFS(COUNTIF(보류목록!$C$3:$C$1000, B424)&gt;0, "-",COUNTIF(독서목록!$D$2:$D$1099, B424)=0, , COUNTIF(독서목록!$D$2:$D$1099, B424)&gt;0, COUNTIF(독서목록!$D$2:$D$1099, B424))</f>
        <v/>
      </c>
      <c r="G424" s="13" t="inlineStr">
        <is>
          <t>2016.12.17</t>
        </is>
      </c>
      <c r="H424" s="13" t="inlineStr">
        <is>
          <t>판매</t>
        </is>
      </c>
      <c r="I424" s="13" t="inlineStr">
        <is>
          <t>판매</t>
        </is>
      </c>
      <c r="J424" s="16" t="inlineStr">
        <is>
          <t>8959522058 9788959522057</t>
        </is>
      </c>
      <c r="K424" s="17" t="inlineStr">
        <is>
          <t>https://search1.kakaocdn.net/thumb/R120x174.q85/?fname=http%3A%2F%2Ft1.daumcdn.net%2Flbook%2Fimage%2F805444%3Ftimestamp%3D20221011174803</t>
        </is>
      </c>
    </row>
    <row r="425" ht="12.75" customHeight="1" s="118">
      <c r="A425" s="35" t="n"/>
      <c r="B425" s="11" t="inlineStr">
        <is>
          <t>프로파간다</t>
        </is>
      </c>
      <c r="C425" s="10" t="inlineStr">
        <is>
          <t>에드워드 버네이스</t>
        </is>
      </c>
      <c r="D425" s="11" t="inlineStr">
        <is>
          <t>공존</t>
        </is>
      </c>
      <c r="E425" s="12">
        <f>_xludf.IFS(COUNTIF(보류목록!$B$3:$B$1000, B425)&gt;0, "-",COUNTIF(독서목록!$C$2:$C$1099, B425)=0, , COUNTIF(독서목록!$C$2:$C$1099, B425)&gt;0, COUNTIF(독서목록!$C$2:$C$1099, B425))</f>
        <v/>
      </c>
      <c r="F425" s="12">
        <f>_xludf.IFS(COUNTIF(보류목록!$C$3:$C$1000, B425)&gt;0, "-",COUNTIF(독서목록!$D$2:$D$1099, B425)=0, , COUNTIF(독서목록!$D$2:$D$1099, B425)&gt;0, COUNTIF(독서목록!$D$2:$D$1099, B425))</f>
        <v/>
      </c>
      <c r="G425" s="13" t="inlineStr">
        <is>
          <t>2015.04.03</t>
        </is>
      </c>
      <c r="H425" s="13" t="inlineStr">
        <is>
          <t>판매</t>
        </is>
      </c>
      <c r="I425" s="13" t="inlineStr">
        <is>
          <t>판매</t>
        </is>
      </c>
      <c r="J425" s="16" t="inlineStr">
        <is>
          <t>8995894571 9788995894576</t>
        </is>
      </c>
      <c r="K425" s="17" t="inlineStr">
        <is>
          <t>https://search1.kakaocdn.net/thumb/R120x174.q85/?fname=http%3A%2F%2Ft1.daumcdn.net%2Flbook%2Fimage%2F1460668%3Ftimestamp%3D20260220110843</t>
        </is>
      </c>
    </row>
    <row r="426" ht="12.75" customHeight="1" s="118">
      <c r="A426" s="9" t="n"/>
      <c r="B426" s="10" t="inlineStr">
        <is>
          <t>나이트런 파더스데이(상, 하)</t>
        </is>
      </c>
      <c r="C426" s="10" t="inlineStr">
        <is>
          <t>김성민</t>
        </is>
      </c>
      <c r="D426" s="10" t="inlineStr">
        <is>
          <t>길찾기</t>
        </is>
      </c>
      <c r="E426" s="12">
        <f>_xludf.IFS(COUNTIF(보류목록!$B$3:$B$1000, B426)&gt;0, "-",COUNTIF(독서목록!$C$2:$C$1099, B426)=0, , COUNTIF(독서목록!$C$2:$C$1099, B426)&gt;0, COUNTIF(독서목록!$C$2:$C$1099, B426))</f>
        <v/>
      </c>
      <c r="F426" s="12">
        <f>_xludf.IFS(COUNTIF(보류목록!$C$3:$C$1000, B426)&gt;0, "-",COUNTIF(독서목록!$D$2:$D$1099, B426)=0, , COUNTIF(독서목록!$D$2:$D$1099, B426)&gt;0, COUNTIF(독서목록!$D$2:$D$1099, B426))</f>
        <v/>
      </c>
      <c r="G426" s="12" t="inlineStr">
        <is>
          <t>2013.06.25</t>
        </is>
      </c>
      <c r="H426" s="13" t="inlineStr">
        <is>
          <t>판매</t>
        </is>
      </c>
      <c r="I426" s="13" t="inlineStr">
        <is>
          <t>판매</t>
        </is>
      </c>
      <c r="J426" s="16" t="inlineStr">
        <is>
          <t>8960521663 9788960521667</t>
        </is>
      </c>
      <c r="K426" s="17" t="inlineStr">
        <is>
          <t>https://search1.kakaocdn.net/thumb/R120x174.q85/?fname=http%3A%2F%2Ft1.daumcdn.net%2Flbook%2Fimage%2F832266%3Ftimestamp%3D20260211111058</t>
        </is>
      </c>
    </row>
    <row r="427" ht="12.75" customHeight="1" s="118">
      <c r="A427" s="9" t="n"/>
      <c r="B427" s="10" t="inlineStr">
        <is>
          <t>걱정이 많아서 걱정인 당신에게</t>
        </is>
      </c>
      <c r="C427" s="11" t="inlineStr">
        <is>
          <t>한창욱</t>
        </is>
      </c>
      <c r="D427" s="11" t="inlineStr">
        <is>
          <t>정민미디어</t>
        </is>
      </c>
      <c r="E427" s="12">
        <f>_xludf.IFS(COUNTIF(보류목록!$B$3:$B$1000, B427)&gt;0, "-",COUNTIF(독서목록!$C$2:$C$1099, B427)=0, , COUNTIF(독서목록!$C$2:$C$1099, B427)&gt;0, COUNTIF(독서목록!$C$2:$C$1099, B427))</f>
        <v/>
      </c>
      <c r="F427" s="12">
        <f>_xludf.IFS(COUNTIF(보류목록!$C$3:$C$1000, B427)&gt;0, "-",COUNTIF(독서목록!$D$2:$D$1099, B427)=0, , COUNTIF(독서목록!$D$2:$D$1099, B427)&gt;0, COUNTIF(독서목록!$D$2:$D$1099, B427))</f>
        <v/>
      </c>
      <c r="G427" s="13" t="inlineStr">
        <is>
          <t>2019.07.06</t>
        </is>
      </c>
      <c r="H427" s="13" t="inlineStr">
        <is>
          <t>판매</t>
        </is>
      </c>
      <c r="I427" s="13" t="inlineStr">
        <is>
          <t>판매</t>
        </is>
      </c>
      <c r="J427" s="16" t="inlineStr">
        <is>
          <t>1191669734 9791191669732</t>
        </is>
      </c>
      <c r="K427" s="17" t="inlineStr">
        <is>
          <t>https://search1.kakaocdn.net/thumb/R120x174.q85/?fname=http%3A%2F%2Ft1.daumcdn.net%2Flbook%2Fimage%2F6692143%3Ftimestamp%3D20250905142846</t>
        </is>
      </c>
    </row>
    <row r="428" ht="12.75" customHeight="1" s="118">
      <c r="A428" s="9" t="n"/>
      <c r="B428" s="10" t="inlineStr">
        <is>
          <t>밥 먹는 술집을 차렸습니다</t>
        </is>
      </c>
      <c r="C428" s="11" t="inlineStr">
        <is>
          <t>김광연</t>
        </is>
      </c>
      <c r="D428" s="11" t="inlineStr">
        <is>
          <t>지콜론북</t>
        </is>
      </c>
      <c r="E428" s="12">
        <f>_xludf.IFS(COUNTIF(보류목록!$B$3:$B$1000, B428)&gt;0, "-",COUNTIF(독서목록!$C$2:$C$1099, B428)=0, , COUNTIF(독서목록!$C$2:$C$1099, B428)&gt;0, COUNTIF(독서목록!$C$2:$C$1099, B428))</f>
        <v/>
      </c>
      <c r="F428" s="12">
        <f>_xludf.IFS(COUNTIF(보류목록!$C$3:$C$1000, B428)&gt;0, "-",COUNTIF(독서목록!$D$2:$D$1099, B428)=0, , COUNTIF(독서목록!$D$2:$D$1099, B428)&gt;0, COUNTIF(독서목록!$D$2:$D$1099, B428))</f>
        <v/>
      </c>
      <c r="G428" s="13" t="inlineStr">
        <is>
          <t>2019.08.22</t>
        </is>
      </c>
      <c r="H428" s="13" t="inlineStr">
        <is>
          <t>판매</t>
        </is>
      </c>
      <c r="I428" s="13" t="inlineStr">
        <is>
          <t>판매</t>
        </is>
      </c>
      <c r="J428" s="16" t="inlineStr">
        <is>
          <t>8998656876 9788998656874</t>
        </is>
      </c>
      <c r="K428" s="17" t="inlineStr">
        <is>
          <t>https://search1.kakaocdn.net/thumb/R120x174.q85/?fname=http%3A%2F%2Ft1.daumcdn.net%2Flbook%2Fimage%2F4998957%3Ftimestamp%3D20220820184300</t>
        </is>
      </c>
    </row>
    <row r="429" ht="12.75" customHeight="1" s="118">
      <c r="A429" s="9" t="n"/>
      <c r="B429" s="10" t="inlineStr">
        <is>
          <t>삼귀</t>
        </is>
      </c>
      <c r="C429" s="11" t="inlineStr">
        <is>
          <t>미야베 미유키</t>
        </is>
      </c>
      <c r="D429" s="11" t="inlineStr">
        <is>
          <t>북스피어</t>
        </is>
      </c>
      <c r="E429" s="12">
        <f>_xludf.IFS(COUNTIF(보류목록!$B$3:$B$1000, B429)&gt;0, "-",COUNTIF(독서목록!$C$2:$C$1099, B429)=0, , COUNTIF(독서목록!$C$2:$C$1099, B429)&gt;0, COUNTIF(독서목록!$C$2:$C$1099, B429))</f>
        <v/>
      </c>
      <c r="F429" s="12">
        <f>_xludf.IFS(COUNTIF(보류목록!$C$3:$C$1000, B429)&gt;0, "-",COUNTIF(독서목록!$D$2:$D$1099, B429)=0, , COUNTIF(독서목록!$D$2:$D$1099, B429)&gt;0, COUNTIF(독서목록!$D$2:$D$1099, B429))</f>
        <v/>
      </c>
      <c r="G429" s="13" t="inlineStr">
        <is>
          <t>2018.06.21</t>
        </is>
      </c>
      <c r="H429" s="13" t="inlineStr">
        <is>
          <t>판매</t>
        </is>
      </c>
      <c r="I429" s="13" t="inlineStr">
        <is>
          <t>판매</t>
        </is>
      </c>
      <c r="J429" s="16" t="inlineStr">
        <is>
          <t>8998791765 9788998791766</t>
        </is>
      </c>
      <c r="K429" s="17" t="inlineStr">
        <is>
          <t>https://search1.kakaocdn.net/thumb/R120x174.q85/?fname=http%3A%2F%2Ft1.daumcdn.net%2Flbook%2Fimage%2F1500798%3Ftimestamp%3D20221001182102</t>
        </is>
      </c>
    </row>
    <row r="430" ht="12.75" customHeight="1" s="118">
      <c r="A430" s="9" t="n"/>
      <c r="B430" s="10" t="inlineStr">
        <is>
          <t>이야기 파라독스</t>
        </is>
      </c>
      <c r="C430" s="11" t="inlineStr">
        <is>
          <t>마틴 가드너</t>
        </is>
      </c>
      <c r="D430" s="11" t="inlineStr">
        <is>
          <t>사계절</t>
        </is>
      </c>
      <c r="E430" s="12">
        <f>_xludf.IFS(COUNTIF(보류목록!$B$3:$B$1000, B430)&gt;0, "-",COUNTIF(독서목록!$C$2:$C$1099, B430)=0, , COUNTIF(독서목록!$C$2:$C$1099, B430)&gt;0, COUNTIF(독서목록!$C$2:$C$1099, B430))</f>
        <v/>
      </c>
      <c r="F430" s="12">
        <f>_xludf.IFS(COUNTIF(보류목록!$C$3:$C$1000, B430)&gt;0, "-",COUNTIF(독서목록!$D$2:$D$1099, B430)=0, , COUNTIF(독서목록!$D$2:$D$1099, B430)&gt;0, COUNTIF(독서목록!$D$2:$D$1099, B430))</f>
        <v/>
      </c>
      <c r="G430" s="13" t="inlineStr">
        <is>
          <t>2018.05.02</t>
        </is>
      </c>
      <c r="H430" s="13" t="inlineStr">
        <is>
          <t>판매</t>
        </is>
      </c>
      <c r="I430" s="13" t="inlineStr">
        <is>
          <t>판매</t>
        </is>
      </c>
      <c r="J430" s="16" t="inlineStr">
        <is>
          <t>8971969725 9788971969724</t>
        </is>
      </c>
      <c r="K430" s="17" t="inlineStr">
        <is>
          <t>https://search1.kakaocdn.net/thumb/R120x174.q85/?fname=http%3A%2F%2Ft1.daumcdn.net%2Flbook%2Fimage%2F993433%3Ftimestamp%3D20241213113830</t>
        </is>
      </c>
    </row>
    <row r="431" ht="12.75" customHeight="1" s="118">
      <c r="A431" s="9" t="n"/>
      <c r="B431" s="10" t="inlineStr">
        <is>
          <t>기억력의 비밀</t>
        </is>
      </c>
      <c r="C431" s="11" t="inlineStr">
        <is>
          <t>EBS</t>
        </is>
      </c>
      <c r="D431" s="11" t="inlineStr">
        <is>
          <t>북폴리오</t>
        </is>
      </c>
      <c r="E431" s="12">
        <f>_xludf.IFS(COUNTIF(보류목록!$B$3:$B$1000, B431)&gt;0, "-",COUNTIF(독서목록!$C$2:$C$1099, B431)=0, , COUNTIF(독서목록!$C$2:$C$1099, B431)&gt;0, COUNTIF(독서목록!$C$2:$C$1099, B431))</f>
        <v/>
      </c>
      <c r="F431" s="12">
        <f>_xludf.IFS(COUNTIF(보류목록!$C$3:$C$1000, B431)&gt;0, "-",COUNTIF(독서목록!$D$2:$D$1099, B431)=0, , COUNTIF(독서목록!$D$2:$D$1099, B431)&gt;0, COUNTIF(독서목록!$D$2:$D$1099, B431))</f>
        <v/>
      </c>
      <c r="G431" s="13" t="inlineStr">
        <is>
          <t>2018.03.14</t>
        </is>
      </c>
      <c r="H431" s="13" t="inlineStr">
        <is>
          <t>판매</t>
        </is>
      </c>
      <c r="I431" s="13" t="inlineStr">
        <is>
          <t>판매</t>
        </is>
      </c>
      <c r="J431" s="16" t="inlineStr">
        <is>
          <t>8937833204 9788937833205</t>
        </is>
      </c>
      <c r="K431" s="17" t="inlineStr">
        <is>
          <t>https://search1.kakaocdn.net/thumb/R120x174.q85/?fname=http%3A%2F%2Ft1.daumcdn.net%2Flbook%2Fimage%2F545707%3Ftimestamp%3D20240727112911</t>
        </is>
      </c>
    </row>
    <row r="432" ht="12.75" customHeight="1" s="118">
      <c r="A432" s="9" t="n"/>
      <c r="B432" s="10" t="inlineStr">
        <is>
          <t>적의 화장법</t>
        </is>
      </c>
      <c r="C432" s="11" t="inlineStr">
        <is>
          <t>아멜리 노통브</t>
        </is>
      </c>
      <c r="D432" s="11" t="inlineStr">
        <is>
          <t>문학세계사</t>
        </is>
      </c>
      <c r="E432" s="12">
        <f>_xludf.IFS(COUNTIF(보류목록!$B$3:$B$1000, B432)&gt;0, "-",COUNTIF(독서목록!$C$2:$C$1099, B432)=0, , COUNTIF(독서목록!$C$2:$C$1099, B432)&gt;0, COUNTIF(독서목록!$C$2:$C$1099, B432))</f>
        <v/>
      </c>
      <c r="F432" s="12">
        <f>_xludf.IFS(COUNTIF(보류목록!$C$3:$C$1000, B432)&gt;0, "-",COUNTIF(독서목록!$D$2:$D$1099, B432)=0, , COUNTIF(독서목록!$D$2:$D$1099, B432)&gt;0, COUNTIF(독서목록!$D$2:$D$1099, B432))</f>
        <v/>
      </c>
      <c r="G432" s="13" t="inlineStr">
        <is>
          <t>2017.07.30</t>
        </is>
      </c>
      <c r="H432" s="13" t="inlineStr">
        <is>
          <t>판매</t>
        </is>
      </c>
      <c r="I432" s="13" t="inlineStr">
        <is>
          <t>판매</t>
        </is>
      </c>
      <c r="J432" s="16" t="inlineStr">
        <is>
          <t>8970753117 9788970753119</t>
        </is>
      </c>
      <c r="K432" s="17" t="inlineStr">
        <is>
          <t>https://search1.kakaocdn.net/thumb/R120x174.q85/?fname=http%3A%2F%2Ft1.daumcdn.net%2Flbook%2Fimage%2F968212%3Ftimestamp%3D20220925172302</t>
        </is>
      </c>
    </row>
    <row r="433" ht="12.75" customHeight="1" s="118">
      <c r="A433" s="9" t="n"/>
      <c r="B433" s="10" t="inlineStr">
        <is>
          <t>me Before you</t>
        </is>
      </c>
      <c r="C433" s="11" t="inlineStr">
        <is>
          <t>조조 모예스</t>
        </is>
      </c>
      <c r="D433" s="11" t="inlineStr">
        <is>
          <t>살림</t>
        </is>
      </c>
      <c r="E433" s="12">
        <f>_xludf.IFS(COUNTIF(보류목록!$B$3:$B$1000, B433)&gt;0, "-",COUNTIF(독서목록!$C$2:$C$1099, B433)=0, , COUNTIF(독서목록!$C$2:$C$1099, B433)&gt;0, COUNTIF(독서목록!$C$2:$C$1099, B433))</f>
        <v/>
      </c>
      <c r="F433" s="12">
        <f>_xludf.IFS(COUNTIF(보류목록!$C$3:$C$1000, B433)&gt;0, "-",COUNTIF(독서목록!$D$2:$D$1099, B433)=0, , COUNTIF(독서목록!$D$2:$D$1099, B433)&gt;0, COUNTIF(독서목록!$D$2:$D$1099, B433))</f>
        <v/>
      </c>
      <c r="G433" s="13" t="inlineStr">
        <is>
          <t>2017.05.27</t>
        </is>
      </c>
      <c r="H433" s="13" t="inlineStr">
        <is>
          <t>판매</t>
        </is>
      </c>
      <c r="I433" s="13" t="inlineStr">
        <is>
          <t>판매</t>
        </is>
      </c>
      <c r="J433" s="16" t="inlineStr">
        <is>
          <t>8952227824 9788952227829</t>
        </is>
      </c>
      <c r="K433" s="17" t="inlineStr">
        <is>
          <t>https://search1.kakaocdn.net/thumb/R120x174.q85/?fname=http%3A%2F%2Ft1.daumcdn.net%2Flbook%2Fimage%2F635299%3Ftimestamp%3D20260201110637</t>
        </is>
      </c>
    </row>
    <row r="434" ht="12.75" customHeight="1" s="118">
      <c r="A434" s="9" t="n"/>
      <c r="B434" s="10" t="inlineStr">
        <is>
          <t>할머니가 미안하다고 전해달랬어요</t>
        </is>
      </c>
      <c r="C434" s="11" t="inlineStr">
        <is>
          <t>프레드릭 배크만</t>
        </is>
      </c>
      <c r="D434" s="11" t="inlineStr">
        <is>
          <t>다산책방</t>
        </is>
      </c>
      <c r="E434" s="12">
        <f>_xludf.IFS(COUNTIF(보류목록!$B$3:$B$1000, B434)&gt;0, "-",COUNTIF(독서목록!$C$2:$C$1099, B434)=0, , COUNTIF(독서목록!$C$2:$C$1099, B434)&gt;0, COUNTIF(독서목록!$C$2:$C$1099, B434))</f>
        <v/>
      </c>
      <c r="F434" s="12">
        <f>_xludf.IFS(COUNTIF(보류목록!$C$3:$C$1000, B434)&gt;0, "-",COUNTIF(독서목록!$D$2:$D$1099, B434)=0, , COUNTIF(독서목록!$D$2:$D$1099, B434)&gt;0, COUNTIF(독서목록!$D$2:$D$1099, B434))</f>
        <v/>
      </c>
      <c r="G434" s="13" t="inlineStr">
        <is>
          <t>2017.04.16</t>
        </is>
      </c>
      <c r="H434" s="13" t="inlineStr">
        <is>
          <t>판매</t>
        </is>
      </c>
      <c r="I434" s="13" t="inlineStr">
        <is>
          <t>판매</t>
        </is>
      </c>
      <c r="J434" s="16" t="inlineStr">
        <is>
          <t>1130607887 9791130607887</t>
        </is>
      </c>
      <c r="K434" s="17" t="inlineStr">
        <is>
          <t>https://search1.kakaocdn.net/thumb/R120x174.q85/?fname=http%3A%2F%2Ft1.daumcdn.net%2Flbook%2Fimage%2F1537106%3Ftimestamp%3D20251203110955</t>
        </is>
      </c>
    </row>
    <row r="435" ht="12.75" customHeight="1" s="118">
      <c r="A435" s="9" t="n"/>
      <c r="B435" s="10" t="inlineStr">
        <is>
          <t>박사가 사랑한 수식</t>
        </is>
      </c>
      <c r="C435" s="11" t="inlineStr">
        <is>
          <t>오가와 요코</t>
        </is>
      </c>
      <c r="D435" s="11" t="inlineStr">
        <is>
          <t>이레</t>
        </is>
      </c>
      <c r="E435" s="12">
        <f>_xludf.IFS(COUNTIF(보류목록!$B$3:$B$1000, B435)&gt;0, "-",COUNTIF(독서목록!$C$2:$C$1099, B435)=0, , COUNTIF(독서목록!$C$2:$C$1099, B435)&gt;0, COUNTIF(독서목록!$C$2:$C$1099, B435))</f>
        <v/>
      </c>
      <c r="F435" s="12">
        <f>_xludf.IFS(COUNTIF(보류목록!$C$3:$C$1000, B435)&gt;0, "-",COUNTIF(독서목록!$D$2:$D$1099, B435)=0, , COUNTIF(독서목록!$D$2:$D$1099, B435)&gt;0, COUNTIF(독서목록!$D$2:$D$1099, B435))</f>
        <v/>
      </c>
      <c r="G435" s="13" t="inlineStr">
        <is>
          <t>2017.01.25</t>
        </is>
      </c>
      <c r="H435" s="13" t="inlineStr">
        <is>
          <t>판매</t>
        </is>
      </c>
      <c r="I435" s="13" t="inlineStr">
        <is>
          <t>판매</t>
        </is>
      </c>
      <c r="J435" s="16" t="inlineStr">
        <is>
          <t>8957090258 9788957090251</t>
        </is>
      </c>
      <c r="K435" s="19" t="inlineStr">
        <is>
          <t>https://search1.kakaocdn.net/thumb/R120x174.q85/?fname=http%3A%2F%2Ft1.daumcdn.net%2Flbook%2Fimage%2F751308%3Ftimestamp%3D20220403180714</t>
        </is>
      </c>
    </row>
    <row r="436" ht="12.75" customHeight="1" s="118">
      <c r="A436" s="9" t="n"/>
      <c r="B436" s="10" t="inlineStr">
        <is>
          <t>살인자의 건강법</t>
        </is>
      </c>
      <c r="C436" s="11" t="inlineStr">
        <is>
          <t>아멜리 노통브</t>
        </is>
      </c>
      <c r="D436" s="11" t="inlineStr">
        <is>
          <t>문학세계사</t>
        </is>
      </c>
      <c r="E436" s="12">
        <f>_xludf.IFS(COUNTIF(보류목록!$B$3:$B$1000, B436)&gt;0, "-",COUNTIF(독서목록!$C$2:$C$1099, B436)=0, , COUNTIF(독서목록!$C$2:$C$1099, B436)&gt;0, COUNTIF(독서목록!$C$2:$C$1099, B436))</f>
        <v/>
      </c>
      <c r="F436" s="12">
        <f>_xludf.IFS(COUNTIF(보류목록!$C$3:$C$1000, B436)&gt;0, "-",COUNTIF(독서목록!$D$2:$D$1099, B436)=0, , COUNTIF(독서목록!$D$2:$D$1099, B436)&gt;0, COUNTIF(독서목록!$D$2:$D$1099, B436))</f>
        <v/>
      </c>
      <c r="G436" s="13" t="inlineStr">
        <is>
          <t>2017.01.25</t>
        </is>
      </c>
      <c r="H436" s="13" t="inlineStr">
        <is>
          <t>판매</t>
        </is>
      </c>
      <c r="I436" s="13" t="inlineStr">
        <is>
          <t>판매</t>
        </is>
      </c>
      <c r="J436" s="16" t="inlineStr">
        <is>
          <t>8970753044 9788970753041</t>
        </is>
      </c>
      <c r="K436" s="17" t="inlineStr">
        <is>
          <t>https://search1.kakaocdn.net/thumb/R120x174.q85/?fname=http%3A%2F%2Ft1.daumcdn.net%2Flbook%2Fimage%2F968095%3Ftimestamp%3D20220903164442</t>
        </is>
      </c>
    </row>
    <row r="437" ht="12.75" customHeight="1" s="118">
      <c r="A437" s="9" t="n"/>
      <c r="B437" s="10" t="inlineStr">
        <is>
          <t>배고픔의 자서전</t>
        </is>
      </c>
      <c r="C437" s="11" t="inlineStr">
        <is>
          <t>아멜리 노통브</t>
        </is>
      </c>
      <c r="D437" s="11" t="inlineStr">
        <is>
          <t>열린책들</t>
        </is>
      </c>
      <c r="E437" s="12">
        <f>_xludf.IFS(COUNTIF(보류목록!$B$3:$B$1000, B437)&gt;0, "-",COUNTIF(독서목록!$C$2:$C$1099, B437)=0, , COUNTIF(독서목록!$C$2:$C$1099, B437)&gt;0, COUNTIF(독서목록!$C$2:$C$1099, B437))</f>
        <v/>
      </c>
      <c r="F437" s="12">
        <f>_xludf.IFS(COUNTIF(보류목록!$C$3:$C$1000, B437)&gt;0, "-",COUNTIF(독서목록!$D$2:$D$1099, B437)=0, , COUNTIF(독서목록!$D$2:$D$1099, B437)&gt;0, COUNTIF(독서목록!$D$2:$D$1099, B437))</f>
        <v/>
      </c>
      <c r="G437" s="13" t="inlineStr">
        <is>
          <t>2017.01.25</t>
        </is>
      </c>
      <c r="H437" s="13" t="inlineStr">
        <is>
          <t>판매</t>
        </is>
      </c>
      <c r="I437" s="13" t="inlineStr">
        <is>
          <t>판매</t>
        </is>
      </c>
      <c r="J437" s="16" t="inlineStr">
        <is>
          <t>8932916764 9788932916767</t>
        </is>
      </c>
      <c r="K437" s="19" t="inlineStr">
        <is>
          <t>https://search1.kakaocdn.net/thumb/R120x174.q85/?fname=http%3A%2F%2Ft1.daumcdn.net%2Flbook%2Fimage%2F507398%3Ftimestamp%3D20240119172858</t>
        </is>
      </c>
    </row>
    <row r="438" ht="12.75" customHeight="1" s="118">
      <c r="A438" s="9" t="n"/>
      <c r="B438" s="10" t="inlineStr">
        <is>
          <t>프랑스 여자는 늙지 않는다</t>
        </is>
      </c>
      <c r="C438" s="11" t="inlineStr">
        <is>
          <t>미레유 길리아노</t>
        </is>
      </c>
      <c r="D438" s="11" t="inlineStr">
        <is>
          <t>흐름출판</t>
        </is>
      </c>
      <c r="E438" s="12">
        <f>_xludf.IFS(COUNTIF(보류목록!$B$3:$B$1000, B438)&gt;0, "-",COUNTIF(독서목록!$C$2:$C$1099, B438)=0, , COUNTIF(독서목록!$C$2:$C$1099, B438)&gt;0, COUNTIF(독서목록!$C$2:$C$1099, B438))</f>
        <v/>
      </c>
      <c r="F438" s="12">
        <f>_xludf.IFS(COUNTIF(보류목록!$C$3:$C$1000, B438)&gt;0, "-",COUNTIF(독서목록!$D$2:$D$1099, B438)=0, , COUNTIF(독서목록!$D$2:$D$1099, B438)&gt;0, COUNTIF(독서목록!$D$2:$D$1099, B438))</f>
        <v/>
      </c>
      <c r="G438" s="13" t="inlineStr">
        <is>
          <t>2016.11.22</t>
        </is>
      </c>
      <c r="H438" s="13" t="inlineStr">
        <is>
          <t>판매</t>
        </is>
      </c>
      <c r="I438" s="13" t="inlineStr">
        <is>
          <t>판매</t>
        </is>
      </c>
      <c r="J438" s="16" t="inlineStr">
        <is>
          <t>8965961777 9788965961772</t>
        </is>
      </c>
      <c r="K438" s="17" t="inlineStr">
        <is>
          <t>https://search1.kakaocdn.net/thumb/R120x174.q85/?fname=http%3A%2F%2Ft1.daumcdn.net%2Flbook%2Fimage%2F921076%3Ftimestamp%3D20260325110900</t>
        </is>
      </c>
    </row>
    <row r="439" ht="12.75" customHeight="1" s="118">
      <c r="A439" s="9" t="n"/>
      <c r="B439" s="10" t="inlineStr">
        <is>
          <t>내마음 다치지 않게</t>
        </is>
      </c>
      <c r="C439" s="11" t="inlineStr">
        <is>
          <t>설레다</t>
        </is>
      </c>
      <c r="D439" s="11" t="inlineStr">
        <is>
          <t>알에이치코리아</t>
        </is>
      </c>
      <c r="E439" s="12">
        <f>_xludf.IFS(COUNTIF(보류목록!$B$3:$B$1000, B439)&gt;0, "-",COUNTIF(독서목록!$C$2:$C$1099, B439)=0, , COUNTIF(독서목록!$C$2:$C$1099, B439)&gt;0, COUNTIF(독서목록!$C$2:$C$1099, B439))</f>
        <v/>
      </c>
      <c r="F439" s="12">
        <f>_xludf.IFS(COUNTIF(보류목록!$C$3:$C$1000, B439)&gt;0, "-",COUNTIF(독서목록!$D$2:$D$1099, B439)=0, , COUNTIF(독서목록!$D$2:$D$1099, B439)&gt;0, COUNTIF(독서목록!$D$2:$D$1099, B439))</f>
        <v/>
      </c>
      <c r="G439" s="13" t="inlineStr">
        <is>
          <t>2016.01.13</t>
        </is>
      </c>
      <c r="H439" s="13" t="inlineStr">
        <is>
          <t>판매</t>
        </is>
      </c>
      <c r="I439" s="13" t="inlineStr">
        <is>
          <t>판매</t>
        </is>
      </c>
      <c r="J439" s="16" t="inlineStr">
        <is>
          <t>8925554860 9788925554860</t>
        </is>
      </c>
      <c r="K439" s="17" t="inlineStr">
        <is>
          <t>https://search1.kakaocdn.net/thumb/R120x174.q85/?fname=http%3A%2F%2Ft1.daumcdn.net%2Flbook%2Fimage%2F415397%3Ftimestamp%3D20221011173649</t>
        </is>
      </c>
    </row>
    <row r="440" ht="12.75" customHeight="1" s="118">
      <c r="A440" s="9" t="n"/>
      <c r="B440" s="10" t="inlineStr">
        <is>
          <t>오베라는 남자</t>
        </is>
      </c>
      <c r="C440" s="11" t="inlineStr">
        <is>
          <t>프레드릭 배크만</t>
        </is>
      </c>
      <c r="D440" s="11" t="inlineStr">
        <is>
          <t>다산책방</t>
        </is>
      </c>
      <c r="E440" s="12">
        <f>_xludf.IFS(COUNTIF(보류목록!$B$3:$B$1000, B440)&gt;0, "-",COUNTIF(독서목록!$C$2:$C$1099, B440)=0, , COUNTIF(독서목록!$C$2:$C$1099, B440)&gt;0, COUNTIF(독서목록!$C$2:$C$1099, B440))</f>
        <v/>
      </c>
      <c r="F440" s="12">
        <f>_xludf.IFS(COUNTIF(보류목록!$C$3:$C$1000, B440)&gt;0, "-",COUNTIF(독서목록!$D$2:$D$1099, B440)=0, , COUNTIF(독서목록!$D$2:$D$1099, B440)&gt;0, COUNTIF(독서목록!$D$2:$D$1099, B440))</f>
        <v/>
      </c>
      <c r="G440" s="13" t="inlineStr">
        <is>
          <t>2016.01.13</t>
        </is>
      </c>
      <c r="H440" s="13" t="inlineStr">
        <is>
          <t>판매</t>
        </is>
      </c>
      <c r="I440" s="13" t="inlineStr">
        <is>
          <t>판매</t>
        </is>
      </c>
      <c r="J440" s="16" t="inlineStr">
        <is>
          <t>1130605213 9791130605210</t>
        </is>
      </c>
      <c r="K440" s="17" t="inlineStr">
        <is>
          <t>https://search1.kakaocdn.net/thumb/R120x174.q85/?fname=http%3A%2F%2Ft1.daumcdn.net%2Flbook%2Fimage%2F1535924%3Ftimestamp%3D20260326110759</t>
        </is>
      </c>
    </row>
    <row r="441" ht="12.75" customHeight="1" s="118">
      <c r="A441" s="9" t="n"/>
      <c r="B441" s="10" t="inlineStr">
        <is>
          <t>나는 단순하게 살기로 했다</t>
        </is>
      </c>
      <c r="C441" s="11" t="inlineStr">
        <is>
          <t>사사키 후미오</t>
        </is>
      </c>
      <c r="D441" s="11" t="inlineStr">
        <is>
          <t>비즈니스북스</t>
        </is>
      </c>
      <c r="E441" s="12">
        <f>_xludf.IFS(COUNTIF(보류목록!$B$3:$B$1000, B441)&gt;0, "-",COUNTIF(독서목록!$C$2:$C$1099, B441)=0, , COUNTIF(독서목록!$C$2:$C$1099, B441)&gt;0, COUNTIF(독서목록!$C$2:$C$1099, B441))</f>
        <v/>
      </c>
      <c r="F441" s="12">
        <f>_xludf.IFS(COUNTIF(보류목록!$C$3:$C$1000, B441)&gt;0, "-",COUNTIF(독서목록!$D$2:$D$1099, B441)=0, , COUNTIF(독서목록!$D$2:$D$1099, B441)&gt;0, COUNTIF(독서목록!$D$2:$D$1099, B441))</f>
        <v/>
      </c>
      <c r="G441" s="13" t="inlineStr">
        <is>
          <t>2016.01.13</t>
        </is>
      </c>
      <c r="H441" s="13" t="inlineStr">
        <is>
          <t>판매</t>
        </is>
      </c>
      <c r="I441" s="13" t="inlineStr">
        <is>
          <t>판매</t>
        </is>
      </c>
      <c r="J441" s="16" t="inlineStr">
        <is>
          <t>1186805110 9791186805114</t>
        </is>
      </c>
      <c r="K441" s="17" t="inlineStr">
        <is>
          <t>https://search1.kakaocdn.net/thumb/R120x174.q85/?fname=http%3A%2F%2Ft1.daumcdn.net%2Flbook%2Fimage%2F1636930%3Ftimestamp%3D20260227110912</t>
        </is>
      </c>
    </row>
    <row r="442" ht="12.75" customHeight="1" s="118">
      <c r="A442" s="9" t="n"/>
      <c r="B442" s="10" t="inlineStr">
        <is>
          <t>생각 버리기 연습2</t>
        </is>
      </c>
      <c r="C442" s="11" t="inlineStr">
        <is>
          <t>코이케 류노스케</t>
        </is>
      </c>
      <c r="D442" s="11" t="inlineStr">
        <is>
          <t>21세기북스</t>
        </is>
      </c>
      <c r="E442" s="12">
        <f>_xludf.IFS(COUNTIF(보류목록!$B$3:$B$1000, B442)&gt;0, "-",COUNTIF(독서목록!$C$2:$C$1099, B442)=0, , COUNTIF(독서목록!$C$2:$C$1099, B442)&gt;0, COUNTIF(독서목록!$C$2:$C$1099, B442))</f>
        <v/>
      </c>
      <c r="F442" s="12">
        <f>_xludf.IFS(COUNTIF(보류목록!$C$3:$C$1000, B442)&gt;0, "-",COUNTIF(독서목록!$D$2:$D$1099, B442)=0, , COUNTIF(독서목록!$D$2:$D$1099, B442)&gt;0, COUNTIF(독서목록!$D$2:$D$1099, B442))</f>
        <v/>
      </c>
      <c r="G442" s="13" t="inlineStr">
        <is>
          <t>2016.01.02</t>
        </is>
      </c>
      <c r="H442" s="13" t="inlineStr">
        <is>
          <t>판매</t>
        </is>
      </c>
      <c r="I442" s="13" t="inlineStr">
        <is>
          <t>판매</t>
        </is>
      </c>
      <c r="J442" s="16" t="inlineStr">
        <is>
          <t>8950936658 9788950936655</t>
        </is>
      </c>
      <c r="K442" s="17" t="inlineStr">
        <is>
          <t>https://search1.kakaocdn.net/thumb/R120x174.q85/?fname=http%3A%2F%2Ft1.daumcdn.net%2Flbook%2Fimage%2F624070%3Ftimestamp%3D20250411113454</t>
        </is>
      </c>
    </row>
    <row r="443" ht="12.75" customHeight="1" s="118">
      <c r="A443" s="9" t="n"/>
      <c r="B443" s="10" t="inlineStr">
        <is>
          <t>생각 버리기 연습</t>
        </is>
      </c>
      <c r="C443" s="11" t="inlineStr">
        <is>
          <t>코이케 류노스케</t>
        </is>
      </c>
      <c r="D443" s="11" t="inlineStr">
        <is>
          <t>21세기북스</t>
        </is>
      </c>
      <c r="E443" s="12">
        <f>_xludf.IFS(COUNTIF(보류목록!$B$3:$B$1000, B443)&gt;0, "-",COUNTIF(독서목록!$C$2:$C$1099, B443)=0, , COUNTIF(독서목록!$C$2:$C$1099, B443)&gt;0, COUNTIF(독서목록!$C$2:$C$1099, B443))</f>
        <v/>
      </c>
      <c r="F443" s="12">
        <f>_xludf.IFS(COUNTIF(보류목록!$C$3:$C$1000, B443)&gt;0, "-",COUNTIF(독서목록!$D$2:$D$1099, B443)=0, , COUNTIF(독서목록!$D$2:$D$1099, B443)&gt;0, COUNTIF(독서목록!$D$2:$D$1099, B443))</f>
        <v/>
      </c>
      <c r="G443" s="13" t="inlineStr">
        <is>
          <t>2016.01.02</t>
        </is>
      </c>
      <c r="H443" s="13" t="inlineStr">
        <is>
          <t>판매</t>
        </is>
      </c>
      <c r="I443" s="13" t="inlineStr">
        <is>
          <t>판매</t>
        </is>
      </c>
      <c r="J443" s="16" t="inlineStr">
        <is>
          <t>8950926296 9788950926298</t>
        </is>
      </c>
      <c r="K443" s="17" t="inlineStr">
        <is>
          <t>https://search1.kakaocdn.net/thumb/R120x174.q85/?fname=http%3A%2F%2Ft1.daumcdn.net%2Flbook%2Fimage%2F623237%3Ftimestamp%3D20240117184243</t>
        </is>
      </c>
    </row>
    <row r="444" ht="13.5" customHeight="1" s="118">
      <c r="A444" s="9" t="n"/>
      <c r="B444" s="10" t="inlineStr">
        <is>
          <t>마션</t>
        </is>
      </c>
      <c r="C444" s="11" t="inlineStr">
        <is>
          <t>앤디 위어</t>
        </is>
      </c>
      <c r="D444" s="11" t="inlineStr">
        <is>
          <t>알에이치코리아</t>
        </is>
      </c>
      <c r="E444" s="12">
        <f>_xludf.IFS(COUNTIF(보류목록!$B$3:$B$1000, B444)&gt;0, "-",COUNTIF(독서목록!$C$2:$C$1099, B444)=0, , COUNTIF(독서목록!$C$2:$C$1099, B444)&gt;0, COUNTIF(독서목록!$C$2:$C$1099, B444))</f>
        <v/>
      </c>
      <c r="F444" s="12">
        <f>_xludf.IFS(COUNTIF(보류목록!$C$3:$C$1000, B444)&gt;0, "-",COUNTIF(독서목록!$D$2:$D$1099, B444)=0, , COUNTIF(독서목록!$D$2:$D$1099, B444)&gt;0, COUNTIF(독서목록!$D$2:$D$1099, B444))</f>
        <v/>
      </c>
      <c r="G444" s="13" t="inlineStr">
        <is>
          <t>2015.10.02</t>
        </is>
      </c>
      <c r="H444" s="13" t="inlineStr">
        <is>
          <t>판매</t>
        </is>
      </c>
      <c r="I444" s="13" t="inlineStr">
        <is>
          <t>판매</t>
        </is>
      </c>
      <c r="J444" s="16" t="inlineStr">
        <is>
          <t>892558865X 9788925588650</t>
        </is>
      </c>
      <c r="K444" s="17" t="inlineStr">
        <is>
          <t>https://search1.kakaocdn.net/thumb/R120x174.q85/?fname=http%3A%2F%2Ft1.daumcdn.net%2Flbook%2Fimage%2F5663709%3Ftimestamp%3D20260401122747</t>
        </is>
      </c>
    </row>
    <row r="445" ht="13.5" customHeight="1" s="118">
      <c r="A445" s="9" t="n"/>
      <c r="B445" s="10" t="inlineStr">
        <is>
          <t>미움받을 용기</t>
        </is>
      </c>
      <c r="C445" s="10" t="inlineStr">
        <is>
          <t>기시미 이치로, 고가 후미타케</t>
        </is>
      </c>
      <c r="D445" s="25" t="inlineStr">
        <is>
          <t>인플루엔셜</t>
        </is>
      </c>
      <c r="E445" s="12">
        <f>_xludf.IFS(COUNTIF(보류목록!$B$3:$B$1000, B445)&gt;0, "-",COUNTIF(독서목록!$C$2:$C$1099, B445)=0, , COUNTIF(독서목록!$C$2:$C$1099, B445)&gt;0, COUNTIF(독서목록!$C$2:$C$1099, B445))</f>
        <v/>
      </c>
      <c r="F445" s="12">
        <f>_xludf.IFS(COUNTIF(보류목록!$C$3:$C$1000, B445)&gt;0, "-",COUNTIF(독서목록!$D$2:$D$1099, B445)=0, , COUNTIF(독서목록!$D$2:$D$1099, B445)&gt;0, COUNTIF(독서목록!$D$2:$D$1099, B445))</f>
        <v/>
      </c>
      <c r="G445" s="27" t="inlineStr">
        <is>
          <t>2015.04.03</t>
        </is>
      </c>
      <c r="H445" s="13" t="inlineStr">
        <is>
          <t>판매</t>
        </is>
      </c>
      <c r="I445" s="13" t="inlineStr">
        <is>
          <t>판매</t>
        </is>
      </c>
      <c r="J445" s="16" t="inlineStr">
        <is>
          <t>1168340772 9791168340770</t>
        </is>
      </c>
      <c r="K445" s="17" t="inlineStr">
        <is>
          <t>https://search1.kakaocdn.net/thumb/R120x174.q85/?fname=http%3A%2F%2Ft1.daumcdn.net%2Flbook%2Fimage%2F6253040%3Ftimestamp%3D20260115151223</t>
        </is>
      </c>
    </row>
    <row r="446" ht="12.75" customHeight="1" s="118">
      <c r="A446" s="9" t="n"/>
      <c r="B446" s="10" t="inlineStr">
        <is>
          <t>설득의 심리학</t>
        </is>
      </c>
      <c r="C446" s="10" t="inlineStr">
        <is>
          <t>로버트 치알디니</t>
        </is>
      </c>
      <c r="D446" s="11" t="inlineStr">
        <is>
          <t>21세기북스</t>
        </is>
      </c>
      <c r="E446" s="12">
        <f>_xludf.IFS(COUNTIF(보류목록!$B$3:$B$1000, B446)&gt;0, "-",COUNTIF(독서목록!$C$2:$C$1099, B446)=0, , COUNTIF(독서목록!$C$2:$C$1099, B446)&gt;0, COUNTIF(독서목록!$C$2:$C$1099, B446))</f>
        <v/>
      </c>
      <c r="F446" s="12">
        <f>_xludf.IFS(COUNTIF(보류목록!$C$3:$C$1000, B446)&gt;0, "-",COUNTIF(독서목록!$D$2:$D$1099, B446)=0, , COUNTIF(독서목록!$D$2:$D$1099, B446)&gt;0, COUNTIF(독서목록!$D$2:$D$1099, B446))</f>
        <v/>
      </c>
      <c r="G446" s="13" t="inlineStr">
        <is>
          <t>2014.11.18</t>
        </is>
      </c>
      <c r="H446" s="13" t="inlineStr">
        <is>
          <t>판매</t>
        </is>
      </c>
      <c r="I446" s="13" t="inlineStr">
        <is>
          <t>판매</t>
        </is>
      </c>
      <c r="J446" s="16" t="inlineStr">
        <is>
          <t>8950950006 9788950950002</t>
        </is>
      </c>
      <c r="K446" s="17" t="inlineStr">
        <is>
          <t>https://search1.kakaocdn.net/thumb/R120x174.q85/?fname=http%3A%2F%2Ft1.daumcdn.net%2Flbook%2Fimage%2F6334139%3Ftimestamp%3D20230905173843</t>
        </is>
      </c>
    </row>
    <row r="447" ht="12.75" customHeight="1" s="118">
      <c r="A447" s="9" t="n"/>
      <c r="B447" s="10" t="inlineStr">
        <is>
          <t>스마트한 심리학 사용법</t>
        </is>
      </c>
      <c r="C447" s="10" t="inlineStr">
        <is>
          <t>폴커 키츠, 마누엘 투쉬</t>
        </is>
      </c>
      <c r="D447" s="11" t="inlineStr">
        <is>
          <t>갤리온</t>
        </is>
      </c>
      <c r="E447" s="12">
        <f>_xludf.IFS(COUNTIF(보류목록!$B$3:$B$1000, B447)&gt;0, "-",COUNTIF(독서목록!$C$2:$C$1099, B447)=0, , COUNTIF(독서목록!$C$2:$C$1099, B447)&gt;0, COUNTIF(독서목록!$C$2:$C$1099, B447))</f>
        <v/>
      </c>
      <c r="F447" s="12">
        <f>_xludf.IFS(COUNTIF(보류목록!$C$3:$C$1000, B447)&gt;0, "-",COUNTIF(독서목록!$D$2:$D$1099, B447)=0, , COUNTIF(독서목록!$D$2:$D$1099, B447)&gt;0, COUNTIF(독서목록!$D$2:$D$1099, B447))</f>
        <v/>
      </c>
      <c r="G447" s="13" t="inlineStr">
        <is>
          <t>2014.09.26</t>
        </is>
      </c>
      <c r="H447" s="13" t="inlineStr">
        <is>
          <t>판매</t>
        </is>
      </c>
      <c r="I447" s="13" t="inlineStr">
        <is>
          <t>판매</t>
        </is>
      </c>
      <c r="J447" s="16" t="inlineStr">
        <is>
          <t>8901165511 9788901165516</t>
        </is>
      </c>
      <c r="K447" s="17" t="inlineStr">
        <is>
          <t>https://search1.kakaocdn.net/thumb/R120x174.q85/?fname=http%3A%2F%2Ft1.daumcdn.net%2Flbook%2Fimage%2F351617%3Ftimestamp%3D20220504032700</t>
        </is>
      </c>
    </row>
    <row r="448" ht="12.75" customHeight="1" s="118">
      <c r="A448" s="9" t="n"/>
      <c r="B448" s="10" t="inlineStr">
        <is>
          <t>내 심장을 쏴라</t>
        </is>
      </c>
      <c r="C448" s="10" t="inlineStr">
        <is>
          <t>정유정</t>
        </is>
      </c>
      <c r="D448" s="10" t="inlineStr">
        <is>
          <t>은행나무</t>
        </is>
      </c>
      <c r="E448" s="12">
        <f>_xludf.IFS(COUNTIF(보류목록!$B$3:$B$1000, B448)&gt;0, "-",COUNTIF(독서목록!$C$2:$C$1099, B448)=0, , COUNTIF(독서목록!$C$2:$C$1099, B448)&gt;0, COUNTIF(독서목록!$C$2:$C$1099, B448))</f>
        <v/>
      </c>
      <c r="F448" s="12">
        <f>_xludf.IFS(COUNTIF(보류목록!$C$3:$C$1000, B448)&gt;0, "-",COUNTIF(독서목록!$D$2:$D$1099, B448)=0, , COUNTIF(독서목록!$D$2:$D$1099, B448)&gt;0, COUNTIF(독서목록!$D$2:$D$1099, B448))</f>
        <v/>
      </c>
      <c r="G448" s="12" t="inlineStr">
        <is>
          <t>2014.05.16</t>
        </is>
      </c>
      <c r="H448" s="13" t="inlineStr">
        <is>
          <t>판매</t>
        </is>
      </c>
      <c r="I448" s="13" t="inlineStr">
        <is>
          <t>판매</t>
        </is>
      </c>
      <c r="J448" s="16" t="inlineStr">
        <is>
          <t>1167376277 9791167376275</t>
        </is>
      </c>
      <c r="K448" s="17" t="inlineStr">
        <is>
          <t>https://search1.kakaocdn.net/thumb/R120x174.q85/?fname=http%3A%2F%2Ft1.daumcdn.net%2Flbook%2Fimage%2F7144376%3Ftimestamp%3D20260301121313</t>
        </is>
      </c>
    </row>
    <row r="449" ht="12.75" customHeight="1" s="118">
      <c r="A449" s="9" t="n"/>
      <c r="B449" s="10" t="inlineStr">
        <is>
          <t>시골의사의 아름다운 동행</t>
        </is>
      </c>
      <c r="C449" s="10" t="inlineStr">
        <is>
          <t>박경철</t>
        </is>
      </c>
      <c r="D449" s="10" t="inlineStr">
        <is>
          <t>리더스북</t>
        </is>
      </c>
      <c r="E449" s="12">
        <f>_xludf.IFS(COUNTIF(보류목록!$B$3:$B$1000, B449)&gt;0, "-",COUNTIF(독서목록!$C$2:$C$1099, B449)=0, , COUNTIF(독서목록!$C$2:$C$1099, B449)&gt;0, COUNTIF(독서목록!$C$2:$C$1099, B449))</f>
        <v/>
      </c>
      <c r="F449" s="12">
        <f>_xludf.IFS(COUNTIF(보류목록!$C$3:$C$1000, B449)&gt;0, "-",COUNTIF(독서목록!$D$2:$D$1099, B449)=0, , COUNTIF(독서목록!$D$2:$D$1099, B449)&gt;0, COUNTIF(독서목록!$D$2:$D$1099, B449))</f>
        <v/>
      </c>
      <c r="G449" s="12" t="inlineStr">
        <is>
          <t>2014.05.16</t>
        </is>
      </c>
      <c r="H449" s="13" t="inlineStr">
        <is>
          <t>판매</t>
        </is>
      </c>
      <c r="I449" s="13" t="inlineStr">
        <is>
          <t>판매</t>
        </is>
      </c>
      <c r="J449" s="16" t="inlineStr">
        <is>
          <t>8901049201 9788901049205</t>
        </is>
      </c>
      <c r="K449" s="17" t="inlineStr">
        <is>
          <t>https://search1.kakaocdn.net/thumb/R120x174.q85/?fname=http%3A%2F%2Ft1.daumcdn.net%2Flbook%2Fimage%2F345239%3Ftimestamp%3D20221003231209</t>
        </is>
      </c>
    </row>
    <row r="450" ht="12.75" customHeight="1" s="118">
      <c r="A450" s="9" t="n"/>
      <c r="B450" s="10" t="inlineStr">
        <is>
          <t>제노사이드</t>
        </is>
      </c>
      <c r="C450" s="10" t="inlineStr">
        <is>
          <t>다카노 가즈아키</t>
        </is>
      </c>
      <c r="D450" s="10" t="inlineStr">
        <is>
          <t>황금가지</t>
        </is>
      </c>
      <c r="E450" s="12">
        <f>_xludf.IFS(COUNTIF(보류목록!$B$3:$B$1000, B450)&gt;0, "-",COUNTIF(독서목록!$C$2:$C$1099, B450)=0, , COUNTIF(독서목록!$C$2:$C$1099, B450)&gt;0, COUNTIF(독서목록!$C$2:$C$1099, B450))</f>
        <v/>
      </c>
      <c r="F450" s="12">
        <f>_xludf.IFS(COUNTIF(보류목록!$C$3:$C$1000, B450)&gt;0, "-",COUNTIF(독서목록!$D$2:$D$1099, B450)=0, , COUNTIF(독서목록!$D$2:$D$1099, B450)&gt;0, COUNTIF(독서목록!$D$2:$D$1099, B450))</f>
        <v/>
      </c>
      <c r="G450" s="12" t="inlineStr">
        <is>
          <t>2014.05.16</t>
        </is>
      </c>
      <c r="H450" s="13" t="inlineStr">
        <is>
          <t>판매</t>
        </is>
      </c>
      <c r="I450" s="13" t="inlineStr">
        <is>
          <t>판매</t>
        </is>
      </c>
      <c r="J450" s="16" t="inlineStr">
        <is>
          <t>896017419X 9788960174191</t>
        </is>
      </c>
      <c r="K450" s="17" t="inlineStr">
        <is>
          <t>https://search1.kakaocdn.net/thumb/R120x174.q85/?fname=http%3A%2F%2Ft1.daumcdn.net%2Flbook%2Fimage%2F822984%3Ftimestamp%3D20240201194830</t>
        </is>
      </c>
    </row>
    <row r="451" ht="12.75" customHeight="1" s="118">
      <c r="A451" s="9" t="n"/>
      <c r="B451" s="10" t="inlineStr">
        <is>
          <t>드라큘라</t>
        </is>
      </c>
      <c r="C451" s="10" t="inlineStr">
        <is>
          <t>브램 스토커</t>
        </is>
      </c>
      <c r="D451" s="10" t="inlineStr">
        <is>
          <t>열린책들</t>
        </is>
      </c>
      <c r="E451" s="12">
        <f>_xludf.IFS(COUNTIF(보류목록!$B$3:$B$1000, B451)&gt;0, "-",COUNTIF(독서목록!$C$2:$C$1099, B451)=0, , COUNTIF(독서목록!$C$2:$C$1099, B451)&gt;0, COUNTIF(독서목록!$C$2:$C$1099, B451))</f>
        <v/>
      </c>
      <c r="F451" s="12">
        <f>_xludf.IFS(COUNTIF(보류목록!$C$3:$C$1000, B451)&gt;0, "-",COUNTIF(독서목록!$D$2:$D$1099, B451)=0, , COUNTIF(독서목록!$D$2:$D$1099, B451)&gt;0, COUNTIF(독서목록!$D$2:$D$1099, B451))</f>
        <v/>
      </c>
      <c r="G451" s="12" t="inlineStr">
        <is>
          <t>2013.12.08</t>
        </is>
      </c>
      <c r="H451" s="13" t="inlineStr">
        <is>
          <t>판매</t>
        </is>
      </c>
      <c r="I451" s="13" t="inlineStr">
        <is>
          <t>판매</t>
        </is>
      </c>
      <c r="J451" s="16" t="inlineStr">
        <is>
          <t>893292290X 9788932922904</t>
        </is>
      </c>
      <c r="K451" s="17" t="inlineStr">
        <is>
          <t>https://search1.kakaocdn.net/thumb/R120x174.q85/?fname=http%3A%2F%2Ft1.daumcdn.net%2Flbook%2Fimage%2F6162621%3Ftimestamp%3D20251125150343</t>
        </is>
      </c>
    </row>
    <row r="452" ht="12.75" customHeight="1" s="118">
      <c r="A452" s="9" t="n"/>
      <c r="B452" s="10" t="inlineStr">
        <is>
          <t>키친</t>
        </is>
      </c>
      <c r="C452" s="10" t="inlineStr">
        <is>
          <t>요시모토 바나나</t>
        </is>
      </c>
      <c r="D452" s="10" t="inlineStr">
        <is>
          <t>민음사</t>
        </is>
      </c>
      <c r="E452" s="12">
        <f>_xludf.IFS(COUNTIF(보류목록!$B$3:$B$1000, B452)&gt;0, "-",COUNTIF(독서목록!$C$2:$C$1099, B452)=0, , COUNTIF(독서목록!$C$2:$C$1099, B452)&gt;0, COUNTIF(독서목록!$C$2:$C$1099, B452))</f>
        <v/>
      </c>
      <c r="F452" s="12">
        <f>_xludf.IFS(COUNTIF(보류목록!$C$3:$C$1000, B452)&gt;0, "-",COUNTIF(독서목록!$D$2:$D$1099, B452)=0, , COUNTIF(독서목록!$D$2:$D$1099, B452)&gt;0, COUNTIF(독서목록!$D$2:$D$1099, B452))</f>
        <v/>
      </c>
      <c r="G452" s="12" t="inlineStr">
        <is>
          <t>2013.11.13</t>
        </is>
      </c>
      <c r="H452" s="13" t="inlineStr">
        <is>
          <t>판매</t>
        </is>
      </c>
      <c r="I452" s="13" t="inlineStr">
        <is>
          <t>판매</t>
        </is>
      </c>
      <c r="J452" s="16" t="inlineStr">
        <is>
          <t>893740317X 9788937403170</t>
        </is>
      </c>
      <c r="K452" s="17" t="inlineStr">
        <is>
          <t>https://search1.kakaocdn.net/thumb/R120x174.q85/?fname=http%3A%2F%2Ft1.daumcdn.net%2Flbook%2Fimage%2F539834%3Ftimestamp%3D20251216110717</t>
        </is>
      </c>
    </row>
    <row r="453" ht="12.75" customHeight="1" s="118">
      <c r="A453" s="9" t="n"/>
      <c r="B453" s="10" t="inlineStr">
        <is>
          <t>시가 내게로 왔다</t>
        </is>
      </c>
      <c r="C453" s="10" t="inlineStr">
        <is>
          <t>김용택</t>
        </is>
      </c>
      <c r="D453" s="10" t="inlineStr">
        <is>
          <t>마음산책</t>
        </is>
      </c>
      <c r="E453" s="12">
        <f>_xludf.IFS(COUNTIF(보류목록!$B$3:$B$1000, B453)&gt;0, "-",COUNTIF(독서목록!$C$2:$C$1099, B453)=0, , COUNTIF(독서목록!$C$2:$C$1099, B453)&gt;0, COUNTIF(독서목록!$C$2:$C$1099, B453))</f>
        <v/>
      </c>
      <c r="F453" s="12">
        <f>_xludf.IFS(COUNTIF(보류목록!$C$3:$C$1000, B453)&gt;0, "-",COUNTIF(독서목록!$D$2:$D$1099, B453)=0, , COUNTIF(독서목록!$D$2:$D$1099, B453)&gt;0, COUNTIF(독서목록!$D$2:$D$1099, B453))</f>
        <v/>
      </c>
      <c r="G453" s="12" t="inlineStr">
        <is>
          <t>2013.10.09</t>
        </is>
      </c>
      <c r="H453" s="13" t="inlineStr">
        <is>
          <t>판매</t>
        </is>
      </c>
      <c r="I453" s="13" t="inlineStr">
        <is>
          <t>판매</t>
        </is>
      </c>
      <c r="J453" s="16" t="inlineStr">
        <is>
          <t>8989351537 9788989351535</t>
        </is>
      </c>
      <c r="K453" s="17" t="inlineStr">
        <is>
          <t>https://search1.kakaocdn.net/thumb/R120x174.q85/?fname=http%3A%2F%2Ft1.daumcdn.net%2Flbook%2Fimage%2F1291319%3Ftimestamp%3D20221025125348</t>
        </is>
      </c>
    </row>
    <row r="454" ht="12.75" customHeight="1" s="118">
      <c r="A454" s="9" t="n"/>
      <c r="B454" s="10" t="inlineStr">
        <is>
          <t>도쿄타워</t>
        </is>
      </c>
      <c r="C454" s="10" t="inlineStr">
        <is>
          <t>에쿠니 가오리</t>
        </is>
      </c>
      <c r="D454" s="10" t="inlineStr">
        <is>
          <t>소담출판사</t>
        </is>
      </c>
      <c r="E454" s="12">
        <f>_xludf.IFS(COUNTIF(보류목록!$B$3:$B$1000, B454)&gt;0, "-",COUNTIF(독서목록!$C$2:$C$1099, B454)=0, , COUNTIF(독서목록!$C$2:$C$1099, B454)&gt;0, COUNTIF(독서목록!$C$2:$C$1099, B454))</f>
        <v/>
      </c>
      <c r="F454" s="12">
        <f>_xludf.IFS(COUNTIF(보류목록!$C$3:$C$1000, B454)&gt;0, "-",COUNTIF(독서목록!$D$2:$D$1099, B454)=0, , COUNTIF(독서목록!$D$2:$D$1099, B454)&gt;0, COUNTIF(독서목록!$D$2:$D$1099, B454))</f>
        <v/>
      </c>
      <c r="G454" s="12" t="inlineStr">
        <is>
          <t>2013.10.09</t>
        </is>
      </c>
      <c r="H454" s="13" t="inlineStr">
        <is>
          <t>판매</t>
        </is>
      </c>
      <c r="I454" s="13" t="inlineStr">
        <is>
          <t>판매</t>
        </is>
      </c>
      <c r="J454" s="16" t="inlineStr">
        <is>
          <t>8973818597 9788973818594</t>
        </is>
      </c>
      <c r="K454" s="17" t="inlineStr">
        <is>
          <t>https://search1.kakaocdn.net/thumb/R120x174.q85/?fname=http%3A%2F%2Ft1.daumcdn.net%2Flbook%2Fimage%2F1027465%3Ftimestamp%3D20220812221035</t>
        </is>
      </c>
    </row>
    <row r="455" ht="12.75" customHeight="1" s="118">
      <c r="A455" s="9" t="n"/>
      <c r="B455" s="10" t="inlineStr">
        <is>
          <t>꿈꾸는 책들의 도시 - 2</t>
        </is>
      </c>
      <c r="C455" s="10" t="inlineStr">
        <is>
          <t>발터 뫼르스</t>
        </is>
      </c>
      <c r="D455" s="10" t="inlineStr">
        <is>
          <t>들녘</t>
        </is>
      </c>
      <c r="E455" s="12">
        <f>_xludf.IFS(COUNTIF(보류목록!$B$3:$B$1000, B455)&gt;0, "-",COUNTIF(독서목록!$C$2:$C$1099, B455)=0, , COUNTIF(독서목록!$C$2:$C$1099, B455)&gt;0, COUNTIF(독서목록!$C$2:$C$1099, B455))</f>
        <v/>
      </c>
      <c r="F455" s="12">
        <f>_xludf.IFS(COUNTIF(보류목록!$C$3:$C$1000, B455)&gt;0, "-",COUNTIF(독서목록!$D$2:$D$1099, B455)=0, , COUNTIF(독서목록!$D$2:$D$1099, B455)&gt;0, COUNTIF(독서목록!$D$2:$D$1099, B455))</f>
        <v/>
      </c>
      <c r="G455" s="12" t="inlineStr">
        <is>
          <t>2013.08.09</t>
        </is>
      </c>
      <c r="H455" s="13" t="inlineStr">
        <is>
          <t>판매</t>
        </is>
      </c>
      <c r="I455" s="13" t="inlineStr">
        <is>
          <t>판매</t>
        </is>
      </c>
      <c r="J455" s="16" t="inlineStr">
        <is>
          <t>8975274861 9788975274862</t>
        </is>
      </c>
      <c r="K455" s="17" t="inlineStr">
        <is>
          <t>https://search1.kakaocdn.net/thumb/R120x174.q85/?fname=http%3A%2F%2Ft1.daumcdn.net%2Flbook%2Fimage%2F1055074%3Ftimestamp%3D20220817143715</t>
        </is>
      </c>
    </row>
    <row r="456" ht="12.75" customHeight="1" s="118">
      <c r="A456" s="9" t="n"/>
      <c r="B456" s="10" t="inlineStr">
        <is>
          <t>꿈꾸는 책들의 도시 - 1</t>
        </is>
      </c>
      <c r="C456" s="10" t="inlineStr">
        <is>
          <t>발터 뫼르스</t>
        </is>
      </c>
      <c r="D456" s="10" t="inlineStr">
        <is>
          <t>들녘</t>
        </is>
      </c>
      <c r="E456" s="12">
        <f>_xludf.IFS(COUNTIF(보류목록!$B$3:$B$1000, B456)&gt;0, "-",COUNTIF(독서목록!$C$2:$C$1099, B456)=0, , COUNTIF(독서목록!$C$2:$C$1099, B456)&gt;0, COUNTIF(독서목록!$C$2:$C$1099, B456))</f>
        <v/>
      </c>
      <c r="F456" s="12">
        <f>_xludf.IFS(COUNTIF(보류목록!$C$3:$C$1000, B456)&gt;0, "-",COUNTIF(독서목록!$D$2:$D$1099, B456)=0, , COUNTIF(독서목록!$D$2:$D$1099, B456)&gt;0, COUNTIF(독서목록!$D$2:$D$1099, B456))</f>
        <v/>
      </c>
      <c r="G456" s="12" t="inlineStr">
        <is>
          <t>2013.08.09</t>
        </is>
      </c>
      <c r="H456" s="13" t="inlineStr">
        <is>
          <t>판매</t>
        </is>
      </c>
      <c r="I456" s="13" t="inlineStr">
        <is>
          <t>판매</t>
        </is>
      </c>
      <c r="J456" s="16" t="inlineStr">
        <is>
          <t>897527487X 9788975274879</t>
        </is>
      </c>
      <c r="K456" s="17" t="inlineStr">
        <is>
          <t>https://search1.kakaocdn.net/thumb/R120x174.q85/?fname=http%3A%2F%2Ft1.daumcdn.net%2Flbook%2Fimage%2F1051913%3Ftimestamp%3D20220704155939</t>
        </is>
      </c>
    </row>
    <row r="457" ht="12.75" customHeight="1" s="118">
      <c r="A457" s="9" t="n"/>
      <c r="B457" s="10" t="inlineStr">
        <is>
          <t>노란 코끼리</t>
        </is>
      </c>
      <c r="C457" s="10" t="inlineStr">
        <is>
          <t>스에요시 아키코</t>
        </is>
      </c>
      <c r="D457" s="10" t="inlineStr">
        <is>
          <t>이가서</t>
        </is>
      </c>
      <c r="E457" s="12">
        <f>_xludf.IFS(COUNTIF(보류목록!$B$3:$B$1000, B457)&gt;0, "-",COUNTIF(독서목록!$C$2:$C$1099, B457)=0, , COUNTIF(독서목록!$C$2:$C$1099, B457)&gt;0, COUNTIF(독서목록!$C$2:$C$1099, B457))</f>
        <v/>
      </c>
      <c r="F457" s="12">
        <f>_xludf.IFS(COUNTIF(보류목록!$C$3:$C$1000, B457)&gt;0, "-",COUNTIF(독서목록!$D$2:$D$1099, B457)=0, , COUNTIF(독서목록!$D$2:$D$1099, B457)&gt;0, COUNTIF(독서목록!$D$2:$D$1099, B457))</f>
        <v/>
      </c>
      <c r="G457" s="12" t="inlineStr">
        <is>
          <t>2013.07.30</t>
        </is>
      </c>
      <c r="H457" s="13" t="inlineStr">
        <is>
          <t>판매</t>
        </is>
      </c>
      <c r="I457" s="13" t="inlineStr">
        <is>
          <t>판매</t>
        </is>
      </c>
      <c r="J457" s="16" t="inlineStr">
        <is>
          <t>8958642556 9788958642558</t>
        </is>
      </c>
      <c r="K457" s="17" t="inlineStr">
        <is>
          <t>https://search1.kakaocdn.net/thumb/R120x174.q85/?fname=http%3A%2F%2Ft1.daumcdn.net%2Flbook%2Fimage%2F786515%3Ftimestamp%3D20241110114124</t>
        </is>
      </c>
    </row>
    <row r="458" ht="12.75" customHeight="1" s="118">
      <c r="A458" s="9" t="n"/>
      <c r="B458" s="10" t="inlineStr">
        <is>
          <t>용의자 X의 헌신</t>
        </is>
      </c>
      <c r="C458" s="10" t="inlineStr">
        <is>
          <t>히가시노 게이고</t>
        </is>
      </c>
      <c r="D458" s="10" t="inlineStr">
        <is>
          <t>현대문학</t>
        </is>
      </c>
      <c r="E458" s="12">
        <f>_xludf.IFS(COUNTIF(보류목록!$B$3:$B$1000, B458)&gt;0, "-",COUNTIF(독서목록!$C$2:$C$1099, B458)=0, , COUNTIF(독서목록!$C$2:$C$1099, B458)&gt;0, COUNTIF(독서목록!$C$2:$C$1099, B458))</f>
        <v/>
      </c>
      <c r="F458" s="12">
        <f>_xludf.IFS(COUNTIF(보류목록!$C$3:$C$1000, B458)&gt;0, "-",COUNTIF(독서목록!$D$2:$D$1099, B458)=0, , COUNTIF(독서목록!$D$2:$D$1099, B458)&gt;0, COUNTIF(독서목록!$D$2:$D$1099, B458))</f>
        <v/>
      </c>
      <c r="G458" s="12" t="inlineStr">
        <is>
          <t>2013.07.30</t>
        </is>
      </c>
      <c r="H458" s="13" t="inlineStr">
        <is>
          <t>판매</t>
        </is>
      </c>
      <c r="I458" s="13" t="inlineStr">
        <is>
          <t>판매</t>
        </is>
      </c>
      <c r="J458" s="16" t="inlineStr">
        <is>
          <t>8972753696 9788972753698</t>
        </is>
      </c>
      <c r="K458" s="17" t="inlineStr">
        <is>
          <t>https://search1.kakaocdn.net/thumb/R120x174.q85/?fname=http%3A%2F%2Ft1.daumcdn.net%2Flbook%2Fimage%2F1005428%3Ftimestamp%3D20250410114034</t>
        </is>
      </c>
    </row>
    <row r="459" ht="12.75" customHeight="1" s="118">
      <c r="A459" s="9" t="n"/>
      <c r="B459" s="10" t="inlineStr">
        <is>
          <t>꼬마 니콜라 - 나 홀로 기차 여행</t>
        </is>
      </c>
      <c r="C459" s="10" t="inlineStr">
        <is>
          <t>르네 고시니</t>
        </is>
      </c>
      <c r="D459" s="10" t="inlineStr">
        <is>
          <t>문학동네</t>
        </is>
      </c>
      <c r="E459" s="12">
        <f>_xludf.IFS(COUNTIF(보류목록!$B$3:$B$1000, B459)&gt;0, "-",COUNTIF(독서목록!$C$2:$C$1099, B459)=0, , COUNTIF(독서목록!$C$2:$C$1099, B459)&gt;0, COUNTIF(독서목록!$C$2:$C$1099, B459))</f>
        <v/>
      </c>
      <c r="F459" s="12">
        <f>_xludf.IFS(COUNTIF(보류목록!$C$3:$C$1000, B459)&gt;0, "-",COUNTIF(독서목록!$D$2:$D$1099, B459)=0, , COUNTIF(독서목록!$D$2:$D$1099, B459)&gt;0, COUNTIF(독서목록!$D$2:$D$1099, B459))</f>
        <v/>
      </c>
      <c r="G459" s="12" t="inlineStr">
        <is>
          <t>2013.07.15</t>
        </is>
      </c>
      <c r="H459" s="13" t="inlineStr">
        <is>
          <t>판매</t>
        </is>
      </c>
      <c r="I459" s="13" t="inlineStr">
        <is>
          <t>판매</t>
        </is>
      </c>
      <c r="J459" s="16" t="inlineStr">
        <is>
          <t>8954605303 9788954605304</t>
        </is>
      </c>
      <c r="K459" s="19" t="inlineStr">
        <is>
          <t>https://search1.kakaocdn.net/thumb/R120x174.q85/?fname=http%3A%2F%2Ft1.daumcdn.net%2Flbook%2Fimage%2F689962%3Ftimestamp%3D20250316113449</t>
        </is>
      </c>
    </row>
    <row r="460" ht="12.75" customHeight="1" s="118">
      <c r="A460" s="9" t="n"/>
      <c r="B460" s="10" t="inlineStr">
        <is>
          <t>꼬마 니콜라 - 공동 꼴찌</t>
        </is>
      </c>
      <c r="C460" s="10" t="inlineStr">
        <is>
          <t>르네 고시니</t>
        </is>
      </c>
      <c r="D460" s="10" t="inlineStr">
        <is>
          <t>문학동네</t>
        </is>
      </c>
      <c r="E460" s="12">
        <f>_xludf.IFS(COUNTIF(보류목록!$B$3:$B$1000, B460)&gt;0, "-",COUNTIF(독서목록!$C$2:$C$1099, B460)=0, , COUNTIF(독서목록!$C$2:$C$1099, B460)&gt;0, COUNTIF(독서목록!$C$2:$C$1099, B460))</f>
        <v/>
      </c>
      <c r="F460" s="12">
        <f>_xludf.IFS(COUNTIF(보류목록!$C$3:$C$1000, B460)&gt;0, "-",COUNTIF(독서목록!$D$2:$D$1099, B460)=0, , COUNTIF(독서목록!$D$2:$D$1099, B460)&gt;0, COUNTIF(독서목록!$D$2:$D$1099, B460))</f>
        <v/>
      </c>
      <c r="G460" s="12" t="inlineStr">
        <is>
          <t>2013.07.15</t>
        </is>
      </c>
      <c r="H460" s="13" t="inlineStr">
        <is>
          <t>판매</t>
        </is>
      </c>
      <c r="I460" s="13" t="inlineStr">
        <is>
          <t>판매</t>
        </is>
      </c>
      <c r="J460" s="16" t="inlineStr">
        <is>
          <t>8954605281 9788954605281</t>
        </is>
      </c>
      <c r="K460" s="17" t="inlineStr">
        <is>
          <t>https://search1.kakaocdn.net/thumb/R120x174.q85/?fname=http%3A%2F%2Ft1.daumcdn.net%2Flbook%2Fimage%2F690088%3Ftimestamp%3D20220617011501</t>
        </is>
      </c>
    </row>
    <row r="461" ht="12.75" customHeight="1" s="118">
      <c r="A461" s="9" t="n"/>
      <c r="B461" s="10" t="inlineStr">
        <is>
          <t>꼬마 니콜라 - 초콜릿 공장 소동</t>
        </is>
      </c>
      <c r="C461" s="10" t="inlineStr">
        <is>
          <t>르네 고시니</t>
        </is>
      </c>
      <c r="D461" s="10" t="inlineStr">
        <is>
          <t>문학동네</t>
        </is>
      </c>
      <c r="E461" s="12">
        <f>_xludf.IFS(COUNTIF(보류목록!$B$3:$B$1000, B461)&gt;0, "-",COUNTIF(독서목록!$C$2:$C$1099, B461)=0, , COUNTIF(독서목록!$C$2:$C$1099, B461)&gt;0, COUNTIF(독서목록!$C$2:$C$1099, B461))</f>
        <v/>
      </c>
      <c r="F461" s="12">
        <f>_xludf.IFS(COUNTIF(보류목록!$C$3:$C$1000, B461)&gt;0, "-",COUNTIF(독서목록!$D$2:$D$1099, B461)=0, , COUNTIF(독서목록!$D$2:$D$1099, B461)&gt;0, COUNTIF(독서목록!$D$2:$D$1099, B461))</f>
        <v/>
      </c>
      <c r="G461" s="12" t="inlineStr">
        <is>
          <t>2013.07.15</t>
        </is>
      </c>
      <c r="H461" s="13" t="inlineStr">
        <is>
          <t>판매</t>
        </is>
      </c>
      <c r="I461" s="13" t="inlineStr">
        <is>
          <t>판매</t>
        </is>
      </c>
      <c r="J461" s="16" t="inlineStr">
        <is>
          <t>895460529X 9788954605298</t>
        </is>
      </c>
      <c r="K461" s="19" t="inlineStr">
        <is>
          <t>https://search1.kakaocdn.net/thumb/R120x174.q85/?fname=http%3A%2F%2Ft1.daumcdn.net%2Flbook%2Fimage%2F690094%3Ftimestamp%3D20220814004346</t>
        </is>
      </c>
    </row>
    <row r="462" ht="12.75" customHeight="1" s="118">
      <c r="A462" s="9" t="n"/>
      <c r="B462" s="10" t="inlineStr">
        <is>
          <t>꼬마 니콜라의 골칫거리</t>
        </is>
      </c>
      <c r="C462" s="10" t="inlineStr">
        <is>
          <t>르네 고시니</t>
        </is>
      </c>
      <c r="D462" s="10" t="inlineStr">
        <is>
          <t>문학동네</t>
        </is>
      </c>
      <c r="E462" s="12">
        <f>_xludf.IFS(COUNTIF(보류목록!$B$3:$B$1000, B462)&gt;0, "-",COUNTIF(독서목록!$C$2:$C$1099, B462)=0, , COUNTIF(독서목록!$C$2:$C$1099, B462)&gt;0, COUNTIF(독서목록!$C$2:$C$1099, B462))</f>
        <v/>
      </c>
      <c r="F462" s="12">
        <f>_xludf.IFS(COUNTIF(보류목록!$C$3:$C$1000, B462)&gt;0, "-",COUNTIF(독서목록!$D$2:$D$1099, B462)=0, , COUNTIF(독서목록!$D$2:$D$1099, B462)&gt;0, COUNTIF(독서목록!$D$2:$D$1099, B462))</f>
        <v/>
      </c>
      <c r="G462" s="12" t="inlineStr">
        <is>
          <t>2013.07.15</t>
        </is>
      </c>
      <c r="H462" s="13" t="inlineStr">
        <is>
          <t>판매</t>
        </is>
      </c>
      <c r="I462" s="13" t="inlineStr">
        <is>
          <t>판매</t>
        </is>
      </c>
      <c r="J462" s="16" t="inlineStr">
        <is>
          <t>898281244X 9788982812446</t>
        </is>
      </c>
      <c r="K462" s="19" t="inlineStr">
        <is>
          <t>https://search1.kakaocdn.net/thumb/R120x174.q85/?fname=http%3A%2F%2Ft1.daumcdn.net%2Flbook%2Fimage%2F1157154%3Ftimestamp%3D20220915004828</t>
        </is>
      </c>
    </row>
    <row r="463" ht="12.75" customHeight="1" s="118">
      <c r="A463" s="9" t="n"/>
      <c r="B463" s="10" t="inlineStr">
        <is>
          <t>꼬마 니콜라와 친구들</t>
        </is>
      </c>
      <c r="C463" s="10" t="inlineStr">
        <is>
          <t>르네 고시니</t>
        </is>
      </c>
      <c r="D463" s="10" t="inlineStr">
        <is>
          <t>문학동네</t>
        </is>
      </c>
      <c r="E463" s="12">
        <f>_xludf.IFS(COUNTIF(보류목록!$B$3:$B$1000, B463)&gt;0, "-",COUNTIF(독서목록!$C$2:$C$1099, B463)=0, , COUNTIF(독서목록!$C$2:$C$1099, B463)&gt;0, COUNTIF(독서목록!$C$2:$C$1099, B463))</f>
        <v/>
      </c>
      <c r="F463" s="12">
        <f>_xludf.IFS(COUNTIF(보류목록!$C$3:$C$1000, B463)&gt;0, "-",COUNTIF(독서목록!$D$2:$D$1099, B463)=0, , COUNTIF(독서목록!$D$2:$D$1099, B463)&gt;0, COUNTIF(독서목록!$D$2:$D$1099, B463))</f>
        <v/>
      </c>
      <c r="G463" s="12" t="inlineStr">
        <is>
          <t>2013.07.15</t>
        </is>
      </c>
      <c r="H463" s="13" t="inlineStr">
        <is>
          <t>판매</t>
        </is>
      </c>
      <c r="I463" s="13" t="inlineStr">
        <is>
          <t>판매</t>
        </is>
      </c>
      <c r="J463" s="16" t="inlineStr">
        <is>
          <t>8982812431 9788982812439</t>
        </is>
      </c>
      <c r="K463" s="17" t="inlineStr">
        <is>
          <t>https://search1.kakaocdn.net/thumb/R120x174.q85/?fname=http%3A%2F%2Ft1.daumcdn.net%2Flbook%2Fimage%2F1155790%3Ftimestamp%3D20220915011121</t>
        </is>
      </c>
    </row>
    <row r="464" ht="12.75" customHeight="1" s="118">
      <c r="A464" s="9" t="n"/>
      <c r="B464" s="10" t="inlineStr">
        <is>
          <t>꼬마 니콜라의 여름방학</t>
        </is>
      </c>
      <c r="C464" s="10" t="inlineStr">
        <is>
          <t>르네 고시니</t>
        </is>
      </c>
      <c r="D464" s="10" t="inlineStr">
        <is>
          <t>문학동네</t>
        </is>
      </c>
      <c r="E464" s="12">
        <f>_xludf.IFS(COUNTIF(보류목록!$B$3:$B$1000, B464)&gt;0, "-",COUNTIF(독서목록!$C$2:$C$1099, B464)=0, , COUNTIF(독서목록!$C$2:$C$1099, B464)&gt;0, COUNTIF(독서목록!$C$2:$C$1099, B464))</f>
        <v/>
      </c>
      <c r="F464" s="12">
        <f>_xludf.IFS(COUNTIF(보류목록!$C$3:$C$1000, B464)&gt;0, "-",COUNTIF(독서목록!$D$2:$D$1099, B464)=0, , COUNTIF(독서목록!$D$2:$D$1099, B464)&gt;0, COUNTIF(독서목록!$D$2:$D$1099, B464))</f>
        <v/>
      </c>
      <c r="G464" s="12" t="inlineStr">
        <is>
          <t>2013.07.15</t>
        </is>
      </c>
      <c r="H464" s="13" t="inlineStr">
        <is>
          <t>판매</t>
        </is>
      </c>
      <c r="I464" s="13" t="inlineStr">
        <is>
          <t>판매</t>
        </is>
      </c>
      <c r="J464" s="16" t="inlineStr">
        <is>
          <t>8982812423 9788982812422</t>
        </is>
      </c>
      <c r="K464" s="19" t="inlineStr">
        <is>
          <t>https://search1.kakaocdn.net/thumb/R120x174.q85/?fname=http%3A%2F%2Ft1.daumcdn.net%2Flbook%2Fimage%2F1155811%3Ftimestamp%3D20230614173828</t>
        </is>
      </c>
    </row>
    <row r="465" ht="12.75" customHeight="1" s="118">
      <c r="A465" s="9" t="n"/>
      <c r="B465" s="10" t="inlineStr">
        <is>
          <t>꼬마 니콜라의 쉬는시간</t>
        </is>
      </c>
      <c r="C465" s="10" t="inlineStr">
        <is>
          <t>르네 고시니</t>
        </is>
      </c>
      <c r="D465" s="10" t="inlineStr">
        <is>
          <t>문학동네</t>
        </is>
      </c>
      <c r="E465" s="12">
        <f>_xludf.IFS(COUNTIF(보류목록!$B$3:$B$1000, B465)&gt;0, "-",COUNTIF(독서목록!$C$2:$C$1099, B465)=0, , COUNTIF(독서목록!$C$2:$C$1099, B465)&gt;0, COUNTIF(독서목록!$C$2:$C$1099, B465))</f>
        <v/>
      </c>
      <c r="F465" s="12">
        <f>_xludf.IFS(COUNTIF(보류목록!$C$3:$C$1000, B465)&gt;0, "-",COUNTIF(독서목록!$D$2:$D$1099, B465)=0, , COUNTIF(독서목록!$D$2:$D$1099, B465)&gt;0, COUNTIF(독서목록!$D$2:$D$1099, B465))</f>
        <v/>
      </c>
      <c r="G465" s="12" t="inlineStr">
        <is>
          <t>2013.07.15</t>
        </is>
      </c>
      <c r="H465" s="13" t="inlineStr">
        <is>
          <t>판매</t>
        </is>
      </c>
      <c r="I465" s="13" t="inlineStr">
        <is>
          <t>판매</t>
        </is>
      </c>
      <c r="J465" s="16" t="inlineStr">
        <is>
          <t>8982812415 9788982812415</t>
        </is>
      </c>
      <c r="K465" s="19" t="inlineStr">
        <is>
          <t>https://search1.kakaocdn.net/thumb/R120x174.q85/?fname=http%3A%2F%2Ft1.daumcdn.net%2Flbook%2Fimage%2F1159429%3Ftimestamp%3D20220915005417</t>
        </is>
      </c>
    </row>
    <row r="466" ht="12.75" customHeight="1" s="118">
      <c r="A466" s="9" t="n"/>
      <c r="B466" s="10" t="inlineStr">
        <is>
          <t>꼬마 니콜라</t>
        </is>
      </c>
      <c r="C466" s="10" t="inlineStr">
        <is>
          <t>르네 고시니</t>
        </is>
      </c>
      <c r="D466" s="10" t="inlineStr">
        <is>
          <t>문학동네</t>
        </is>
      </c>
      <c r="E466" s="12">
        <f>_xludf.IFS(COUNTIF(보류목록!$B$3:$B$1000, B466)&gt;0, "-",COUNTIF(독서목록!$C$2:$C$1099, B466)=0, , COUNTIF(독서목록!$C$2:$C$1099, B466)&gt;0, COUNTIF(독서목록!$C$2:$C$1099, B466))</f>
        <v/>
      </c>
      <c r="F466" s="12">
        <f>_xludf.IFS(COUNTIF(보류목록!$C$3:$C$1000, B466)&gt;0, "-",COUNTIF(독서목록!$D$2:$D$1099, B466)=0, , COUNTIF(독서목록!$D$2:$D$1099, B466)&gt;0, COUNTIF(독서목록!$D$2:$D$1099, B466))</f>
        <v/>
      </c>
      <c r="G466" s="12" t="inlineStr">
        <is>
          <t>2013.07.15</t>
        </is>
      </c>
      <c r="H466" s="13" t="inlineStr">
        <is>
          <t>판매</t>
        </is>
      </c>
      <c r="I466" s="13" t="inlineStr">
        <is>
          <t>판매</t>
        </is>
      </c>
      <c r="J466" s="16" t="inlineStr">
        <is>
          <t>8954623611 9788954623612</t>
        </is>
      </c>
      <c r="K466" s="17" t="inlineStr">
        <is>
          <t>https://search1.kakaocdn.net/thumb/R120x174.q85/?fname=http%3A%2F%2Ft1.daumcdn.net%2Flbook%2Fimage%2F691381%3Ftimestamp%3D20241023114150</t>
        </is>
      </c>
    </row>
    <row r="467" ht="12.75" customHeight="1" s="118">
      <c r="A467" s="9" t="n"/>
      <c r="B467" s="10" t="inlineStr">
        <is>
          <t>스텝 파더 스텝</t>
        </is>
      </c>
      <c r="C467" s="10" t="inlineStr">
        <is>
          <t>미야베 미유키</t>
        </is>
      </c>
      <c r="D467" s="10" t="inlineStr">
        <is>
          <t>작가정신</t>
        </is>
      </c>
      <c r="E467" s="12">
        <f>_xludf.IFS(COUNTIF(보류목록!$B$3:$B$1000, B467)&gt;0, "-",COUNTIF(독서목록!$C$2:$C$1099, B467)=0, , COUNTIF(독서목록!$C$2:$C$1099, B467)&gt;0, COUNTIF(독서목록!$C$2:$C$1099, B467))</f>
        <v/>
      </c>
      <c r="F467" s="12">
        <f>_xludf.IFS(COUNTIF(보류목록!$C$3:$C$1000, B467)&gt;0, "-",COUNTIF(독서목록!$D$2:$D$1099, B467)=0, , COUNTIF(독서목록!$D$2:$D$1099, B467)&gt;0, COUNTIF(독서목록!$D$2:$D$1099, B467))</f>
        <v/>
      </c>
      <c r="G467" s="12" t="inlineStr">
        <is>
          <t>2013.03.30</t>
        </is>
      </c>
      <c r="H467" s="13" t="inlineStr">
        <is>
          <t>판매</t>
        </is>
      </c>
      <c r="I467" s="13" t="inlineStr">
        <is>
          <t>판매</t>
        </is>
      </c>
      <c r="J467" s="16" t="inlineStr">
        <is>
          <t>8972882879 9788972882879</t>
        </is>
      </c>
      <c r="K467" s="17" t="inlineStr">
        <is>
          <t>https://search1.kakaocdn.net/thumb/R120x174.q85/?fname=http%3A%2F%2Ft1.daumcdn.net%2Flbook%2Fimage%2F1010644%3Ftimestamp%3D20220927170904</t>
        </is>
      </c>
    </row>
    <row r="468" ht="12.75" customHeight="1" s="118">
      <c r="A468" s="9" t="n"/>
      <c r="B468" s="10" t="inlineStr">
        <is>
          <t>눈의 아이</t>
        </is>
      </c>
      <c r="C468" s="10" t="inlineStr">
        <is>
          <t>미야베 미유키</t>
        </is>
      </c>
      <c r="D468" s="10" t="inlineStr">
        <is>
          <t>북스피어</t>
        </is>
      </c>
      <c r="E468" s="12">
        <f>_xludf.IFS(COUNTIF(보류목록!$B$3:$B$1000, B468)&gt;0, "-",COUNTIF(독서목록!$C$2:$C$1099, B468)=0, , COUNTIF(독서목록!$C$2:$C$1099, B468)&gt;0, COUNTIF(독서목록!$C$2:$C$1099, B468))</f>
        <v/>
      </c>
      <c r="F468" s="12">
        <f>_xludf.IFS(COUNTIF(보류목록!$C$3:$C$1000, B468)&gt;0, "-",COUNTIF(독서목록!$D$2:$D$1099, B468)=0, , COUNTIF(독서목록!$D$2:$D$1099, B468)&gt;0, COUNTIF(독서목록!$D$2:$D$1099, B468))</f>
        <v/>
      </c>
      <c r="G468" s="12" t="inlineStr">
        <is>
          <t>2013.03.30</t>
        </is>
      </c>
      <c r="H468" s="13" t="inlineStr">
        <is>
          <t>판매</t>
        </is>
      </c>
      <c r="I468" s="13" t="inlineStr">
        <is>
          <t>판매</t>
        </is>
      </c>
      <c r="J468" s="16" t="inlineStr">
        <is>
          <t>8998791005 9788998791001</t>
        </is>
      </c>
      <c r="K468" s="17" t="inlineStr">
        <is>
          <t>https://search1.kakaocdn.net/thumb/R120x174.q85/?fname=http%3A%2F%2Ft1.daumcdn.net%2Flbook%2Fimage%2F1502323%3Ftimestamp%3D20220922042007</t>
        </is>
      </c>
    </row>
    <row r="469" ht="12.75" customHeight="1" s="118">
      <c r="A469" s="9" t="n"/>
      <c r="B469" s="10" t="inlineStr">
        <is>
          <t>경청</t>
        </is>
      </c>
      <c r="C469" s="10" t="inlineStr">
        <is>
          <t>조신영, 박현찬</t>
        </is>
      </c>
      <c r="D469" s="10" t="inlineStr">
        <is>
          <t>위즈덤하우스</t>
        </is>
      </c>
      <c r="E469" s="12">
        <f>_xludf.IFS(COUNTIF(보류목록!$B$3:$B$1000, B469)&gt;0, "-",COUNTIF(독서목록!$C$2:$C$1099, B469)=0, , COUNTIF(독서목록!$C$2:$C$1099, B469)&gt;0, COUNTIF(독서목록!$C$2:$C$1099, B469))</f>
        <v/>
      </c>
      <c r="F469" s="12">
        <f>_xludf.IFS(COUNTIF(보류목록!$C$3:$C$1000, B469)&gt;0, "-",COUNTIF(독서목록!$D$2:$D$1099, B469)=0, , COUNTIF(독서목록!$D$2:$D$1099, B469)&gt;0, COUNTIF(독서목록!$D$2:$D$1099, B469))</f>
        <v/>
      </c>
      <c r="G469" s="12" t="inlineStr">
        <is>
          <t>2013.02.12</t>
        </is>
      </c>
      <c r="H469" s="13" t="inlineStr">
        <is>
          <t>판매</t>
        </is>
      </c>
      <c r="I469" s="13" t="inlineStr">
        <is>
          <t>판매</t>
        </is>
      </c>
      <c r="J469" s="16" t="inlineStr">
        <is>
          <t>8960860190 9788960860193</t>
        </is>
      </c>
      <c r="K469" s="17" t="inlineStr">
        <is>
          <t>https://search1.kakaocdn.net/thumb/R120x174.q85/?fname=http%3A%2F%2Ft1.daumcdn.net%2Flbook%2Fimage%2F840800%3Ftimestamp%3D20260120110951</t>
        </is>
      </c>
    </row>
    <row r="470" ht="12.75" customHeight="1" s="118">
      <c r="A470" s="9" t="n"/>
      <c r="B470" s="10" t="inlineStr">
        <is>
          <t>이집트, 고대 문명의 역사와 보물</t>
        </is>
      </c>
      <c r="C470" s="10" t="inlineStr">
        <is>
          <t>조르조 페레오</t>
        </is>
      </c>
      <c r="D470" s="10" t="inlineStr">
        <is>
          <t>생각의나무</t>
        </is>
      </c>
      <c r="E470" s="12">
        <f>_xludf.IFS(COUNTIF(보류목록!$B$3:$B$1000, B470)&gt;0, "-",COUNTIF(독서목록!$C$2:$C$1099, B470)=0, , COUNTIF(독서목록!$C$2:$C$1099, B470)&gt;0, COUNTIF(독서목록!$C$2:$C$1099, B470))</f>
        <v/>
      </c>
      <c r="F470" s="12">
        <f>_xludf.IFS(COUNTIF(보류목록!$C$3:$C$1000, B470)&gt;0, "-",COUNTIF(독서목록!$D$2:$D$1099, B470)=0, , COUNTIF(독서목록!$D$2:$D$1099, B470)&gt;0, COUNTIF(독서목록!$D$2:$D$1099, B470))</f>
        <v/>
      </c>
      <c r="G470" s="12" t="inlineStr">
        <is>
          <t>2013.02.12</t>
        </is>
      </c>
      <c r="H470" s="13" t="inlineStr">
        <is>
          <t>판매</t>
        </is>
      </c>
      <c r="I470" s="13" t="inlineStr">
        <is>
          <t>판매</t>
        </is>
      </c>
      <c r="J470" s="16" t="inlineStr">
        <is>
          <t>8984987115 9788984987111</t>
        </is>
      </c>
      <c r="K470" s="17" t="inlineStr">
        <is>
          <t>https://search1.kakaocdn.net/thumb/R120x174.q85/?fname=http%3A%2F%2Ft1.daumcdn.net%2Flbook%2Fimage%2F1208352%3Ftimestamp%3D20221107235719</t>
        </is>
      </c>
    </row>
    <row r="471" ht="12.75" customHeight="1" s="118">
      <c r="A471" s="9" t="n"/>
      <c r="B471" s="10" t="inlineStr">
        <is>
          <t>나미야 잡화점의 기적</t>
        </is>
      </c>
      <c r="C471" s="10" t="inlineStr">
        <is>
          <t>히가시노 게이고</t>
        </is>
      </c>
      <c r="D471" s="10" t="inlineStr">
        <is>
          <t>현대문학</t>
        </is>
      </c>
      <c r="E471" s="12">
        <f>_xludf.IFS(COUNTIF(보류목록!$B$3:$B$1000, B471)&gt;0, "-",COUNTIF(독서목록!$C$2:$C$1099, B471)=0, , COUNTIF(독서목록!$C$2:$C$1099, B471)&gt;0, COUNTIF(독서목록!$C$2:$C$1099, B471))</f>
        <v/>
      </c>
      <c r="F471" s="12">
        <f>_xludf.IFS(COUNTIF(보류목록!$C$3:$C$1000, B471)&gt;0, "-",COUNTIF(독서목록!$D$2:$D$1099, B471)=0, , COUNTIF(독서목록!$D$2:$D$1099, B471)&gt;0, COUNTIF(독서목록!$D$2:$D$1099, B471))</f>
        <v/>
      </c>
      <c r="G471" s="12" t="inlineStr">
        <is>
          <t>2013.02.12</t>
        </is>
      </c>
      <c r="H471" s="13" t="inlineStr">
        <is>
          <t>판매</t>
        </is>
      </c>
      <c r="I471" s="13" t="inlineStr">
        <is>
          <t>판매</t>
        </is>
      </c>
      <c r="J471" s="16" t="inlineStr">
        <is>
          <t>8972756199 9788972756194</t>
        </is>
      </c>
      <c r="K471" s="17" t="inlineStr">
        <is>
          <t>https://search1.kakaocdn.net/thumb/R120x174.q85/?fname=http%3A%2F%2Ft1.daumcdn.net%2Flbook%2Fimage%2F1006628%3Ftimestamp%3D20251205142742</t>
        </is>
      </c>
    </row>
    <row r="472" ht="12.75" customHeight="1" s="118">
      <c r="A472" s="9" t="n"/>
      <c r="B472" s="10" t="inlineStr">
        <is>
          <t>템테이션</t>
        </is>
      </c>
      <c r="C472" s="10" t="inlineStr">
        <is>
          <t>더글라스 케네디</t>
        </is>
      </c>
      <c r="D472" s="10" t="inlineStr">
        <is>
          <t>밝은세상</t>
        </is>
      </c>
      <c r="E472" s="12">
        <f>_xludf.IFS(COUNTIF(보류목록!$B$3:$B$1000, B472)&gt;0, "-",COUNTIF(독서목록!$C$2:$C$1099, B472)=0, , COUNTIF(독서목록!$C$2:$C$1099, B472)&gt;0, COUNTIF(독서목록!$C$2:$C$1099, B472))</f>
        <v/>
      </c>
      <c r="F472" s="12">
        <f>_xludf.IFS(COUNTIF(보류목록!$C$3:$C$1000, B472)&gt;0, "-",COUNTIF(독서목록!$D$2:$D$1099, B472)=0, , COUNTIF(독서목록!$D$2:$D$1099, B472)&gt;0, COUNTIF(독서목록!$D$2:$D$1099, B472))</f>
        <v/>
      </c>
      <c r="G472" s="12" t="inlineStr">
        <is>
          <t>2012.12.08</t>
        </is>
      </c>
      <c r="H472" s="13" t="inlineStr">
        <is>
          <t>판매</t>
        </is>
      </c>
      <c r="I472" s="13" t="inlineStr">
        <is>
          <t>판매</t>
        </is>
      </c>
      <c r="J472" s="16" t="inlineStr">
        <is>
          <t>8984371173 9788984371170</t>
        </is>
      </c>
      <c r="K472" s="17" t="inlineStr">
        <is>
          <t>https://search1.kakaocdn.net/thumb/R120x174.q85/?fname=http%3A%2F%2Ft1.daumcdn.net%2Flbook%2Fimage%2F1183539%3Ftimestamp%3D20221011190148</t>
        </is>
      </c>
    </row>
    <row r="473" ht="24" customHeight="1" s="118">
      <c r="A473" s="9" t="n"/>
      <c r="B473" s="10" t="inlineStr">
        <is>
          <t>상식으로 꼭 알아야 할 최고의 명품 최고의 디자이너</t>
        </is>
      </c>
      <c r="C473" s="10" t="inlineStr">
        <is>
          <t>명수진</t>
        </is>
      </c>
      <c r="D473" s="10" t="inlineStr">
        <is>
          <t>삼양미디어</t>
        </is>
      </c>
      <c r="E473" s="12">
        <f>_xludf.IFS(COUNTIF(보류목록!$B$3:$B$1000, B473)&gt;0, "-",COUNTIF(독서목록!$C$2:$C$1099, B473)=0, , COUNTIF(독서목록!$C$2:$C$1099, B473)&gt;0, COUNTIF(독서목록!$C$2:$C$1099, B473))</f>
        <v/>
      </c>
      <c r="F473" s="12">
        <f>_xludf.IFS(COUNTIF(보류목록!$C$3:$C$1000, B473)&gt;0, "-",COUNTIF(독서목록!$D$2:$D$1099, B473)=0, , COUNTIF(독서목록!$D$2:$D$1099, B473)&gt;0, COUNTIF(독서목록!$D$2:$D$1099, B473))</f>
        <v/>
      </c>
      <c r="G473" s="12" t="inlineStr">
        <is>
          <t>2012.10.29</t>
        </is>
      </c>
      <c r="H473" s="13" t="inlineStr">
        <is>
          <t>판매</t>
        </is>
      </c>
      <c r="I473" s="13" t="inlineStr">
        <is>
          <t>판매</t>
        </is>
      </c>
      <c r="J473" s="16" t="inlineStr">
        <is>
          <t>8958972394 9788958972396</t>
        </is>
      </c>
      <c r="K473" s="17" t="inlineStr">
        <is>
          <t>https://search1.kakaocdn.net/thumb/R120x174.q85/?fname=http%3A%2F%2Ft1.daumcdn.net%2Flbook%2Fimage%2F791540%3Ftimestamp%3D20220930221642</t>
        </is>
      </c>
    </row>
    <row r="474" ht="12.75" customHeight="1" s="118">
      <c r="A474" s="9" t="n"/>
      <c r="B474" s="10" t="inlineStr">
        <is>
          <t>환상동화</t>
        </is>
      </c>
      <c r="C474" s="10" t="inlineStr">
        <is>
          <t>프란츠 카프카</t>
        </is>
      </c>
      <c r="D474" s="10" t="inlineStr">
        <is>
          <t>하늘연못</t>
        </is>
      </c>
      <c r="E474" s="12">
        <f>_xludf.IFS(COUNTIF(보류목록!$B$3:$B$1000, B474)&gt;0, "-",COUNTIF(독서목록!$C$2:$C$1099, B474)=0, , COUNTIF(독서목록!$C$2:$C$1099, B474)&gt;0, COUNTIF(독서목록!$C$2:$C$1099, B474))</f>
        <v/>
      </c>
      <c r="F474" s="12">
        <f>_xludf.IFS(COUNTIF(보류목록!$C$3:$C$1000, B474)&gt;0, "-",COUNTIF(독서목록!$D$2:$D$1099, B474)=0, , COUNTIF(독서목록!$D$2:$D$1099, B474)&gt;0, COUNTIF(독서목록!$D$2:$D$1099, B474))</f>
        <v/>
      </c>
      <c r="G474" s="12" t="inlineStr">
        <is>
          <t>2012.10.29</t>
        </is>
      </c>
      <c r="H474" s="13" t="inlineStr">
        <is>
          <t>판매</t>
        </is>
      </c>
      <c r="I474" s="13" t="inlineStr">
        <is>
          <t>판매</t>
        </is>
      </c>
      <c r="J474" s="16" t="inlineStr">
        <is>
          <t>8959020192 9788959020195</t>
        </is>
      </c>
      <c r="K474" s="17" t="inlineStr">
        <is>
          <t>https://search1.kakaocdn.net/thumb/R120x174.q85/?fname=http%3A%2F%2Ft1.daumcdn.net%2Flbook%2Fimage%2F791959%3Ftimestamp%3D20220901161146</t>
        </is>
      </c>
    </row>
    <row r="475" ht="12.75" customHeight="1" s="118">
      <c r="A475" s="9" t="n"/>
      <c r="B475" s="10" t="inlineStr">
        <is>
          <t>육식의 종말</t>
        </is>
      </c>
      <c r="C475" s="10" t="inlineStr">
        <is>
          <t>제레미리프킨</t>
        </is>
      </c>
      <c r="D475" s="10" t="inlineStr">
        <is>
          <t>시공사</t>
        </is>
      </c>
      <c r="E475" s="12">
        <f>_xludf.IFS(COUNTIF(보류목록!$B$3:$B$1000, B475)&gt;0, "-",COUNTIF(독서목록!$C$2:$C$1099, B475)=0, , COUNTIF(독서목록!$C$2:$C$1099, B475)&gt;0, COUNTIF(독서목록!$C$2:$C$1099, B475))</f>
        <v/>
      </c>
      <c r="F475" s="12">
        <f>_xludf.IFS(COUNTIF(보류목록!$C$3:$C$1000, B475)&gt;0, "-",COUNTIF(독서목록!$D$2:$D$1099, B475)=0, , COUNTIF(독서목록!$D$2:$D$1099, B475)&gt;0, COUNTIF(독서목록!$D$2:$D$1099, B475))</f>
        <v/>
      </c>
      <c r="G475" s="12" t="inlineStr">
        <is>
          <t>2012.10.29</t>
        </is>
      </c>
      <c r="H475" s="13" t="inlineStr">
        <is>
          <t>판매</t>
        </is>
      </c>
      <c r="I475" s="13" t="inlineStr">
        <is>
          <t>판매</t>
        </is>
      </c>
      <c r="J475" s="16" t="inlineStr">
        <is>
          <t>8952717570 9788952717573</t>
        </is>
      </c>
      <c r="K475" s="17" t="inlineStr">
        <is>
          <t>https://search1.kakaocdn.net/thumb/R120x174.q85/?fname=http%3A%2F%2Ft1.daumcdn.net%2Flbook%2Fimage%2F641174%3Ftimestamp%3D20260411110646</t>
        </is>
      </c>
    </row>
    <row r="476" ht="24" customHeight="1" s="118">
      <c r="A476" s="9" t="n"/>
      <c r="B476" s="10" t="inlineStr">
        <is>
          <t>과학의 책</t>
        </is>
      </c>
      <c r="C476" s="10" t="inlineStr">
        <is>
          <t>내셔널지오그래픽</t>
        </is>
      </c>
      <c r="D476" s="10" t="inlineStr">
        <is>
          <t>내셔널지오그래픽</t>
        </is>
      </c>
      <c r="E476" s="12">
        <f>_xludf.IFS(COUNTIF(보류목록!$B$3:$B$1000, B476)&gt;0, "-",COUNTIF(독서목록!$C$2:$C$1099, B476)=0, , COUNTIF(독서목록!$C$2:$C$1099, B476)&gt;0, COUNTIF(독서목록!$C$2:$C$1099, B476))</f>
        <v/>
      </c>
      <c r="F476" s="12">
        <f>_xludf.IFS(COUNTIF(보류목록!$C$3:$C$1000, B476)&gt;0, "-",COUNTIF(독서목록!$D$2:$D$1099, B476)=0, , COUNTIF(독서목록!$D$2:$D$1099, B476)&gt;0, COUNTIF(독서목록!$D$2:$D$1099, B476))</f>
        <v/>
      </c>
      <c r="G476" s="12" t="inlineStr">
        <is>
          <t>2012.06.30</t>
        </is>
      </c>
      <c r="H476" s="13" t="inlineStr">
        <is>
          <t>판매</t>
        </is>
      </c>
      <c r="I476" s="13" t="inlineStr">
        <is>
          <t>판매</t>
        </is>
      </c>
      <c r="J476" s="16" t="inlineStr">
        <is>
          <t>896260258X 9788962602586</t>
        </is>
      </c>
      <c r="K476" s="17" t="inlineStr">
        <is>
          <t>https://search1.kakaocdn.net/thumb/R120x174.q85/?fname=http%3A%2F%2Ft1.daumcdn.net%2Flbook%2Fimage%2F869787%3Ftimestamp%3D20220704170700</t>
        </is>
      </c>
    </row>
    <row r="477" ht="24" customHeight="1" s="118">
      <c r="A477" s="9" t="n"/>
      <c r="B477" s="10" t="inlineStr">
        <is>
          <t>지식의 책</t>
        </is>
      </c>
      <c r="C477" s="10" t="inlineStr">
        <is>
          <t>내셔널지오그래픽</t>
        </is>
      </c>
      <c r="D477" s="10" t="inlineStr">
        <is>
          <t>내셔널지오그래픽</t>
        </is>
      </c>
      <c r="E477" s="12">
        <f>_xludf.IFS(COUNTIF(보류목록!$B$3:$B$1000, B477)&gt;0, "-",COUNTIF(독서목록!$C$2:$C$1099, B477)=0, , COUNTIF(독서목록!$C$2:$C$1099, B477)&gt;0, COUNTIF(독서목록!$C$2:$C$1099, B477))</f>
        <v/>
      </c>
      <c r="F477" s="12">
        <f>_xludf.IFS(COUNTIF(보류목록!$C$3:$C$1000, B477)&gt;0, "-",COUNTIF(독서목록!$D$2:$D$1099, B477)=0, , COUNTIF(독서목록!$D$2:$D$1099, B477)&gt;0, COUNTIF(독서목록!$D$2:$D$1099, B477))</f>
        <v/>
      </c>
      <c r="G477" s="12" t="inlineStr">
        <is>
          <t>2012.06.30</t>
        </is>
      </c>
      <c r="H477" s="13" t="inlineStr">
        <is>
          <t>판매</t>
        </is>
      </c>
      <c r="I477" s="13" t="inlineStr">
        <is>
          <t>판매</t>
        </is>
      </c>
      <c r="J477" s="16" t="inlineStr">
        <is>
          <t>8994258566 9788994258560</t>
        </is>
      </c>
      <c r="K477" s="17" t="inlineStr">
        <is>
          <t>https://search1.kakaocdn.net/thumb/R120x174.q85/?fname=http%3A%2F%2Ft1.daumcdn.net%2Flbook%2Fimage%2F1417168%3Ftimestamp%3D20221025165930</t>
        </is>
      </c>
    </row>
    <row r="478" ht="24" customHeight="1" s="118">
      <c r="A478" s="9" t="n"/>
      <c r="B478" s="10" t="inlineStr">
        <is>
          <t>세계의 역사를 뒤바꾼 1000가지 사건</t>
        </is>
      </c>
      <c r="C478" s="10" t="inlineStr">
        <is>
          <t>내셔널지오그래픽</t>
        </is>
      </c>
      <c r="D478" s="10" t="inlineStr">
        <is>
          <t>내셔널지오그래픽</t>
        </is>
      </c>
      <c r="E478" s="12">
        <f>_xludf.IFS(COUNTIF(보류목록!$B$3:$B$1000, B478)&gt;0, "-",COUNTIF(독서목록!$C$2:$C$1099, B478)=0, , COUNTIF(독서목록!$C$2:$C$1099, B478)&gt;0, COUNTIF(독서목록!$C$2:$C$1099, B478))</f>
        <v/>
      </c>
      <c r="F478" s="12">
        <f>_xludf.IFS(COUNTIF(보류목록!$C$3:$C$1000, B478)&gt;0, "-",COUNTIF(독서목록!$D$2:$D$1099, B478)=0, , COUNTIF(독서목록!$D$2:$D$1099, B478)&gt;0, COUNTIF(독서목록!$D$2:$D$1099, B478))</f>
        <v/>
      </c>
      <c r="G478" s="12" t="inlineStr">
        <is>
          <t>2012.06.30</t>
        </is>
      </c>
      <c r="H478" s="13" t="inlineStr">
        <is>
          <t>판매</t>
        </is>
      </c>
      <c r="I478" s="13" t="inlineStr">
        <is>
          <t>판매</t>
        </is>
      </c>
      <c r="J478" s="16" t="inlineStr">
        <is>
          <t>8962602059 9788962602050</t>
        </is>
      </c>
      <c r="K478" s="17" t="inlineStr">
        <is>
          <t>https://search1.kakaocdn.net/thumb/R120x174.q85/?fname=http%3A%2F%2Ft1.daumcdn.net%2Flbook%2Fimage%2F872592%3Ftimestamp%3D20200419122355</t>
        </is>
      </c>
    </row>
    <row r="479" ht="12.75" customHeight="1" s="118">
      <c r="A479" s="9" t="n"/>
      <c r="B479" s="10" t="inlineStr">
        <is>
          <t>위험한 관계</t>
        </is>
      </c>
      <c r="C479" s="10" t="inlineStr">
        <is>
          <t>더글라스 케네디</t>
        </is>
      </c>
      <c r="D479" s="10" t="inlineStr">
        <is>
          <t>밝은세상</t>
        </is>
      </c>
      <c r="E479" s="12">
        <f>_xludf.IFS(COUNTIF(보류목록!$B$3:$B$1000, B479)&gt;0, "-",COUNTIF(독서목록!$C$2:$C$1099, B479)=0, , COUNTIF(독서목록!$C$2:$C$1099, B479)&gt;0, COUNTIF(독서목록!$C$2:$C$1099, B479))</f>
        <v/>
      </c>
      <c r="F479" s="12">
        <f>_xludf.IFS(COUNTIF(보류목록!$C$3:$C$1000, B479)&gt;0, "-",COUNTIF(독서목록!$D$2:$D$1099, B479)=0, , COUNTIF(독서목록!$D$2:$D$1099, B479)&gt;0, COUNTIF(독서목록!$D$2:$D$1099, B479))</f>
        <v/>
      </c>
      <c r="G479" s="12" t="inlineStr">
        <is>
          <t>2012.05.11</t>
        </is>
      </c>
      <c r="H479" s="13" t="inlineStr">
        <is>
          <t>판매</t>
        </is>
      </c>
      <c r="I479" s="13" t="inlineStr">
        <is>
          <t>판매</t>
        </is>
      </c>
      <c r="J479" s="16" t="inlineStr">
        <is>
          <t>8984371092 9788984371095</t>
        </is>
      </c>
      <c r="K479" s="17" t="inlineStr">
        <is>
          <t>https://search1.kakaocdn.net/thumb/R120x174.q85/?fname=http%3A%2F%2Ft1.daumcdn.net%2Flbook%2Fimage%2F1183525%3Ftimestamp%3D20220728203833</t>
        </is>
      </c>
    </row>
    <row r="480" ht="12.75" customHeight="1" s="118">
      <c r="A480" s="9" t="n"/>
      <c r="B480" s="10" t="inlineStr">
        <is>
          <t>화차</t>
        </is>
      </c>
      <c r="C480" s="10" t="inlineStr">
        <is>
          <t>미야베 미유키</t>
        </is>
      </c>
      <c r="D480" s="10" t="inlineStr">
        <is>
          <t>문학동네</t>
        </is>
      </c>
      <c r="E480" s="12">
        <f>_xludf.IFS(COUNTIF(보류목록!$B$3:$B$1000, B480)&gt;0, "-",COUNTIF(독서목록!$C$2:$C$1099, B480)=0, , COUNTIF(독서목록!$C$2:$C$1099, B480)&gt;0, COUNTIF(독서목록!$C$2:$C$1099, B480))</f>
        <v/>
      </c>
      <c r="F480" s="12">
        <f>_xludf.IFS(COUNTIF(보류목록!$C$3:$C$1000, B480)&gt;0, "-",COUNTIF(독서목록!$D$2:$D$1099, B480)=0, , COUNTIF(독서목록!$D$2:$D$1099, B480)&gt;0, COUNTIF(독서목록!$D$2:$D$1099, B480))</f>
        <v/>
      </c>
      <c r="G480" s="12" t="inlineStr">
        <is>
          <t>2012.05.11</t>
        </is>
      </c>
      <c r="H480" s="13" t="inlineStr">
        <is>
          <t>판매</t>
        </is>
      </c>
      <c r="I480" s="13" t="inlineStr">
        <is>
          <t>판매</t>
        </is>
      </c>
      <c r="J480" s="16" t="inlineStr">
        <is>
          <t>8954617433 9788954617437</t>
        </is>
      </c>
      <c r="K480" s="17" t="inlineStr">
        <is>
          <t>https://search1.kakaocdn.net/thumb/R120x174.q85/?fname=http%3A%2F%2Ft1.daumcdn.net%2Flbook%2Fimage%2F691000%3Ftimestamp%3D20250116113627</t>
        </is>
      </c>
    </row>
    <row r="481" ht="12.75" customHeight="1" s="118">
      <c r="A481" s="9" t="n"/>
      <c r="B481" s="10" t="inlineStr">
        <is>
          <t>시간을 달리는 소녀</t>
        </is>
      </c>
      <c r="C481" s="10" t="inlineStr">
        <is>
          <t>츠츠이 야스타카</t>
        </is>
      </c>
      <c r="D481" s="10" t="inlineStr">
        <is>
          <t>북스토리</t>
        </is>
      </c>
      <c r="E481" s="12">
        <f>_xludf.IFS(COUNTIF(보류목록!$B$3:$B$1000, B481)&gt;0, "-",COUNTIF(독서목록!$C$2:$C$1099, B481)=0, , COUNTIF(독서목록!$C$2:$C$1099, B481)&gt;0, COUNTIF(독서목록!$C$2:$C$1099, B481))</f>
        <v/>
      </c>
      <c r="F481" s="12">
        <f>_xludf.IFS(COUNTIF(보류목록!$C$3:$C$1000, B481)&gt;0, "-",COUNTIF(독서목록!$D$2:$D$1099, B481)=0, , COUNTIF(독서목록!$D$2:$D$1099, B481)&gt;0, COUNTIF(독서목록!$D$2:$D$1099, B481))</f>
        <v/>
      </c>
      <c r="G481" s="12" t="inlineStr">
        <is>
          <t>2012.05.11</t>
        </is>
      </c>
      <c r="H481" s="13" t="inlineStr">
        <is>
          <t>판매</t>
        </is>
      </c>
      <c r="I481" s="13" t="inlineStr">
        <is>
          <t>판매</t>
        </is>
      </c>
      <c r="J481" s="16" t="inlineStr">
        <is>
          <t>1155640284 9791155640289</t>
        </is>
      </c>
      <c r="K481" s="17" t="inlineStr">
        <is>
          <t>https://search1.kakaocdn.net/thumb/R120x174.q85/?fname=http%3A%2F%2Ft1.daumcdn.net%2Flbook%2Fimage%2F1554957%3Ftimestamp%3D20230227051304</t>
        </is>
      </c>
    </row>
    <row r="482" ht="12.75" customHeight="1" s="118">
      <c r="A482" s="9" t="n"/>
      <c r="B482" s="10" t="inlineStr">
        <is>
          <t>고우영 삼국지 10</t>
        </is>
      </c>
      <c r="C482" s="10" t="inlineStr">
        <is>
          <t>고우영</t>
        </is>
      </c>
      <c r="D482" s="10" t="inlineStr">
        <is>
          <t>애니북스</t>
        </is>
      </c>
      <c r="E482" s="12">
        <f>_xludf.IFS(COUNTIF(보류목록!$B$3:$B$1000, B482)&gt;0, "-",COUNTIF(독서목록!$C$2:$C$1099, B482)=0, , COUNTIF(독서목록!$C$2:$C$1099, B482)&gt;0, COUNTIF(독서목록!$C$2:$C$1099, B482))</f>
        <v/>
      </c>
      <c r="F482" s="12">
        <f>_xludf.IFS(COUNTIF(보류목록!$C$3:$C$1000, B482)&gt;0, "-",COUNTIF(독서목록!$D$2:$D$1099, B482)=0, , COUNTIF(독서목록!$D$2:$D$1099, B482)&gt;0, COUNTIF(독서목록!$D$2:$D$1099, B482))</f>
        <v/>
      </c>
      <c r="G482" s="12" t="inlineStr">
        <is>
          <t>2012.03.09</t>
        </is>
      </c>
      <c r="H482" s="12" t="inlineStr">
        <is>
          <t>기부</t>
        </is>
      </c>
      <c r="I482" s="12" t="inlineStr">
        <is>
          <t>기부</t>
        </is>
      </c>
      <c r="J482" s="16" t="inlineStr">
        <is>
          <t>8959191280 9788959191284</t>
        </is>
      </c>
      <c r="K482" s="17" t="inlineStr">
        <is>
          <t>https://search1.kakaocdn.net/thumb/R120x174.q85/?fname=http%3A%2F%2Ft1.daumcdn.net%2Flbook%2Fimage%2F795816%3Ftimestamp%3D20251111110802</t>
        </is>
      </c>
    </row>
    <row r="483" ht="12.75" customHeight="1" s="118">
      <c r="A483" s="9" t="n"/>
      <c r="B483" s="10" t="inlineStr">
        <is>
          <t>고우영 삼국지 9</t>
        </is>
      </c>
      <c r="C483" s="10" t="inlineStr">
        <is>
          <t>고우영</t>
        </is>
      </c>
      <c r="D483" s="10" t="inlineStr">
        <is>
          <t>애니북스</t>
        </is>
      </c>
      <c r="E483" s="12">
        <f>_xludf.IFS(COUNTIF(보류목록!$B$3:$B$1000, B483)&gt;0, "-",COUNTIF(독서목록!$C$2:$C$1099, B483)=0, , COUNTIF(독서목록!$C$2:$C$1099, B483)&gt;0, COUNTIF(독서목록!$C$2:$C$1099, B483))</f>
        <v/>
      </c>
      <c r="F483" s="12">
        <f>_xludf.IFS(COUNTIF(보류목록!$C$3:$C$1000, B483)&gt;0, "-",COUNTIF(독서목록!$D$2:$D$1099, B483)=0, , COUNTIF(독서목록!$D$2:$D$1099, B483)&gt;0, COUNTIF(독서목록!$D$2:$D$1099, B483))</f>
        <v/>
      </c>
      <c r="G483" s="12" t="inlineStr">
        <is>
          <t>2012.03.09</t>
        </is>
      </c>
      <c r="H483" s="12" t="inlineStr">
        <is>
          <t>기부</t>
        </is>
      </c>
      <c r="I483" s="12" t="inlineStr">
        <is>
          <t>기부</t>
        </is>
      </c>
      <c r="J483" s="16" t="inlineStr">
        <is>
          <t>8959191272 9788959191277</t>
        </is>
      </c>
      <c r="K483" s="17" t="inlineStr">
        <is>
          <t>https://search1.kakaocdn.net/thumb/R120x174.q85/?fname=http%3A%2F%2Ft1.daumcdn.net%2Flbook%2Fimage%2F796053%3Ftimestamp%3D20240503113457</t>
        </is>
      </c>
    </row>
    <row r="484" ht="12.75" customHeight="1" s="118">
      <c r="A484" s="9" t="n"/>
      <c r="B484" s="10" t="inlineStr">
        <is>
          <t>고우영 삼국지 8</t>
        </is>
      </c>
      <c r="C484" s="10" t="inlineStr">
        <is>
          <t>고우영</t>
        </is>
      </c>
      <c r="D484" s="10" t="inlineStr">
        <is>
          <t>애니북스</t>
        </is>
      </c>
      <c r="E484" s="12">
        <f>_xludf.IFS(COUNTIF(보류목록!$B$3:$B$1000, B484)&gt;0, "-",COUNTIF(독서목록!$C$2:$C$1099, B484)=0, , COUNTIF(독서목록!$C$2:$C$1099, B484)&gt;0, COUNTIF(독서목록!$C$2:$C$1099, B484))</f>
        <v/>
      </c>
      <c r="F484" s="12">
        <f>_xludf.IFS(COUNTIF(보류목록!$C$3:$C$1000, B484)&gt;0, "-",COUNTIF(독서목록!$D$2:$D$1099, B484)=0, , COUNTIF(독서목록!$D$2:$D$1099, B484)&gt;0, COUNTIF(독서목록!$D$2:$D$1099, B484))</f>
        <v/>
      </c>
      <c r="G484" s="12" t="inlineStr">
        <is>
          <t>2012.03.09</t>
        </is>
      </c>
      <c r="H484" s="12" t="inlineStr">
        <is>
          <t>기부</t>
        </is>
      </c>
      <c r="I484" s="12" t="inlineStr">
        <is>
          <t>기부</t>
        </is>
      </c>
      <c r="J484" s="16" t="inlineStr">
        <is>
          <t>8959191264 9788959191260</t>
        </is>
      </c>
      <c r="K484" s="17" t="inlineStr">
        <is>
          <t>https://search1.kakaocdn.net/thumb/R120x174.q85/?fname=http%3A%2F%2Ft1.daumcdn.net%2Flbook%2Fimage%2F795777%3Ftimestamp%3D20240503113451</t>
        </is>
      </c>
    </row>
    <row r="485" ht="12.75" customHeight="1" s="118">
      <c r="A485" s="9" t="n"/>
      <c r="B485" s="10" t="inlineStr">
        <is>
          <t>고우영 삼국지 7</t>
        </is>
      </c>
      <c r="C485" s="10" t="inlineStr">
        <is>
          <t>고우영</t>
        </is>
      </c>
      <c r="D485" s="10" t="inlineStr">
        <is>
          <t>애니북스</t>
        </is>
      </c>
      <c r="E485" s="12">
        <f>_xludf.IFS(COUNTIF(보류목록!$B$3:$B$1000, B485)&gt;0, "-",COUNTIF(독서목록!$C$2:$C$1099, B485)=0, , COUNTIF(독서목록!$C$2:$C$1099, B485)&gt;0, COUNTIF(독서목록!$C$2:$C$1099, B485))</f>
        <v/>
      </c>
      <c r="F485" s="12">
        <f>_xludf.IFS(COUNTIF(보류목록!$C$3:$C$1000, B485)&gt;0, "-",COUNTIF(독서목록!$D$2:$D$1099, B485)=0, , COUNTIF(독서목록!$D$2:$D$1099, B485)&gt;0, COUNTIF(독서목록!$D$2:$D$1099, B485))</f>
        <v/>
      </c>
      <c r="G485" s="12" t="inlineStr">
        <is>
          <t>2012.03.09</t>
        </is>
      </c>
      <c r="H485" s="12" t="inlineStr">
        <is>
          <t>기부</t>
        </is>
      </c>
      <c r="I485" s="12" t="inlineStr">
        <is>
          <t>기부</t>
        </is>
      </c>
      <c r="J485" s="16" t="inlineStr">
        <is>
          <t>8959191256 9788959191253</t>
        </is>
      </c>
      <c r="K485" s="17" t="inlineStr">
        <is>
          <t>https://search1.kakaocdn.net/thumb/R120x174.q85/?fname=http%3A%2F%2Ft1.daumcdn.net%2Flbook%2Fimage%2F795920%3Ftimestamp%3D20240503113438</t>
        </is>
      </c>
    </row>
    <row r="486" ht="12.75" customHeight="1" s="118">
      <c r="A486" s="9" t="n"/>
      <c r="B486" s="10" t="inlineStr">
        <is>
          <t>고우영 삼국지 6</t>
        </is>
      </c>
      <c r="C486" s="10" t="inlineStr">
        <is>
          <t>고우영</t>
        </is>
      </c>
      <c r="D486" s="10" t="inlineStr">
        <is>
          <t>애니북스</t>
        </is>
      </c>
      <c r="E486" s="12">
        <f>_xludf.IFS(COUNTIF(보류목록!$B$3:$B$1000, B486)&gt;0, "-",COUNTIF(독서목록!$C$2:$C$1099, B486)=0, , COUNTIF(독서목록!$C$2:$C$1099, B486)&gt;0, COUNTIF(독서목록!$C$2:$C$1099, B486))</f>
        <v/>
      </c>
      <c r="F486" s="12">
        <f>_xludf.IFS(COUNTIF(보류목록!$C$3:$C$1000, B486)&gt;0, "-",COUNTIF(독서목록!$D$2:$D$1099, B486)=0, , COUNTIF(독서목록!$D$2:$D$1099, B486)&gt;0, COUNTIF(독서목록!$D$2:$D$1099, B486))</f>
        <v/>
      </c>
      <c r="G486" s="12" t="inlineStr">
        <is>
          <t>2012.03.09</t>
        </is>
      </c>
      <c r="H486" s="12" t="inlineStr">
        <is>
          <t>기부</t>
        </is>
      </c>
      <c r="I486" s="12" t="inlineStr">
        <is>
          <t>기부</t>
        </is>
      </c>
      <c r="J486" s="16" t="inlineStr">
        <is>
          <t>8959191248 9788959191246</t>
        </is>
      </c>
      <c r="K486" s="17" t="inlineStr">
        <is>
          <t>https://search1.kakaocdn.net/thumb/R120x174.q85/?fname=http%3A%2F%2Ft1.daumcdn.net%2Flbook%2Fimage%2F795300%3Ftimestamp%3D20240503113437</t>
        </is>
      </c>
    </row>
    <row r="487" ht="12.75" customHeight="1" s="118">
      <c r="A487" s="9" t="n"/>
      <c r="B487" s="10" t="inlineStr">
        <is>
          <t>고우영 삼국지 5</t>
        </is>
      </c>
      <c r="C487" s="10" t="inlineStr">
        <is>
          <t>고우영</t>
        </is>
      </c>
      <c r="D487" s="10" t="inlineStr">
        <is>
          <t>애니북스</t>
        </is>
      </c>
      <c r="E487" s="12">
        <f>_xludf.IFS(COUNTIF(보류목록!$B$3:$B$1000, B487)&gt;0, "-",COUNTIF(독서목록!$C$2:$C$1099, B487)=0, , COUNTIF(독서목록!$C$2:$C$1099, B487)&gt;0, COUNTIF(독서목록!$C$2:$C$1099, B487))</f>
        <v/>
      </c>
      <c r="F487" s="12">
        <f>_xludf.IFS(COUNTIF(보류목록!$C$3:$C$1000, B487)&gt;0, "-",COUNTIF(독서목록!$D$2:$D$1099, B487)=0, , COUNTIF(독서목록!$D$2:$D$1099, B487)&gt;0, COUNTIF(독서목록!$D$2:$D$1099, B487))</f>
        <v/>
      </c>
      <c r="G487" s="12" t="inlineStr">
        <is>
          <t>2012.03.09</t>
        </is>
      </c>
      <c r="H487" s="12" t="inlineStr">
        <is>
          <t>기부</t>
        </is>
      </c>
      <c r="I487" s="12" t="inlineStr">
        <is>
          <t>기부</t>
        </is>
      </c>
      <c r="J487" s="16" t="inlineStr">
        <is>
          <t>895919123X 9788959191239</t>
        </is>
      </c>
      <c r="K487" s="17" t="inlineStr">
        <is>
          <t>https://search1.kakaocdn.net/thumb/R120x174.q85/?fname=http%3A%2F%2Ft1.daumcdn.net%2Flbook%2Fimage%2F795811%3Ftimestamp%3D20240503113456</t>
        </is>
      </c>
    </row>
    <row r="488" ht="12.75" customHeight="1" s="118">
      <c r="A488" s="9" t="n"/>
      <c r="B488" s="10" t="inlineStr">
        <is>
          <t>고우영 삼국지 4</t>
        </is>
      </c>
      <c r="C488" s="10" t="inlineStr">
        <is>
          <t>고우영</t>
        </is>
      </c>
      <c r="D488" s="10" t="inlineStr">
        <is>
          <t>애니북스</t>
        </is>
      </c>
      <c r="E488" s="12">
        <f>_xludf.IFS(COUNTIF(보류목록!$B$3:$B$1000, B488)&gt;0, "-",COUNTIF(독서목록!$C$2:$C$1099, B488)=0, , COUNTIF(독서목록!$C$2:$C$1099, B488)&gt;0, COUNTIF(독서목록!$C$2:$C$1099, B488))</f>
        <v/>
      </c>
      <c r="F488" s="12">
        <f>_xludf.IFS(COUNTIF(보류목록!$C$3:$C$1000, B488)&gt;0, "-",COUNTIF(독서목록!$D$2:$D$1099, B488)=0, , COUNTIF(독서목록!$D$2:$D$1099, B488)&gt;0, COUNTIF(독서목록!$D$2:$D$1099, B488))</f>
        <v/>
      </c>
      <c r="G488" s="12" t="inlineStr">
        <is>
          <t>2012.03.09</t>
        </is>
      </c>
      <c r="H488" s="12" t="inlineStr">
        <is>
          <t>기부</t>
        </is>
      </c>
      <c r="I488" s="12" t="inlineStr">
        <is>
          <t>기부</t>
        </is>
      </c>
      <c r="J488" s="16" t="inlineStr">
        <is>
          <t>8959191221 9788959191222</t>
        </is>
      </c>
      <c r="K488" s="17" t="inlineStr">
        <is>
          <t>https://search1.kakaocdn.net/thumb/R120x174.q85/?fname=http%3A%2F%2Ft1.daumcdn.net%2Flbook%2Fimage%2F796049%3Ftimestamp%3D20240503113436</t>
        </is>
      </c>
    </row>
    <row r="489" ht="12.75" customHeight="1" s="118">
      <c r="A489" s="9" t="n"/>
      <c r="B489" s="10" t="inlineStr">
        <is>
          <t>고우영 삼국지 3</t>
        </is>
      </c>
      <c r="C489" s="10" t="inlineStr">
        <is>
          <t>고우영</t>
        </is>
      </c>
      <c r="D489" s="10" t="inlineStr">
        <is>
          <t>애니북스</t>
        </is>
      </c>
      <c r="E489" s="12">
        <f>_xludf.IFS(COUNTIF(보류목록!$B$3:$B$1000, B489)&gt;0, "-",COUNTIF(독서목록!$C$2:$C$1099, B489)=0, , COUNTIF(독서목록!$C$2:$C$1099, B489)&gt;0, COUNTIF(독서목록!$C$2:$C$1099, B489))</f>
        <v/>
      </c>
      <c r="F489" s="12">
        <f>_xludf.IFS(COUNTIF(보류목록!$C$3:$C$1000, B489)&gt;0, "-",COUNTIF(독서목록!$D$2:$D$1099, B489)=0, , COUNTIF(독서목록!$D$2:$D$1099, B489)&gt;0, COUNTIF(독서목록!$D$2:$D$1099, B489))</f>
        <v/>
      </c>
      <c r="G489" s="12" t="inlineStr">
        <is>
          <t>2012.03.09</t>
        </is>
      </c>
      <c r="H489" s="12" t="inlineStr">
        <is>
          <t>기부</t>
        </is>
      </c>
      <c r="I489" s="12" t="inlineStr">
        <is>
          <t>기부</t>
        </is>
      </c>
      <c r="J489" s="16" t="inlineStr">
        <is>
          <t>8959191213 9788959191215</t>
        </is>
      </c>
      <c r="K489" s="17" t="inlineStr">
        <is>
          <t>https://search1.kakaocdn.net/thumb/R120x174.q85/?fname=http%3A%2F%2Ft1.daumcdn.net%2Flbook%2Fimage%2F795772%3Ftimestamp%3D20240503113446</t>
        </is>
      </c>
    </row>
    <row r="490" ht="12.75" customHeight="1" s="118">
      <c r="A490" s="9" t="n"/>
      <c r="B490" s="10" t="inlineStr">
        <is>
          <t>고우영 삼국지 2</t>
        </is>
      </c>
      <c r="C490" s="10" t="inlineStr">
        <is>
          <t>고우영</t>
        </is>
      </c>
      <c r="D490" s="10" t="inlineStr">
        <is>
          <t>애니북스</t>
        </is>
      </c>
      <c r="E490" s="12">
        <f>_xludf.IFS(COUNTIF(보류목록!$B$3:$B$1000, B490)&gt;0, "-",COUNTIF(독서목록!$C$2:$C$1099, B490)=0, , COUNTIF(독서목록!$C$2:$C$1099, B490)&gt;0, COUNTIF(독서목록!$C$2:$C$1099, B490))</f>
        <v/>
      </c>
      <c r="F490" s="12">
        <f>_xludf.IFS(COUNTIF(보류목록!$C$3:$C$1000, B490)&gt;0, "-",COUNTIF(독서목록!$D$2:$D$1099, B490)=0, , COUNTIF(독서목록!$D$2:$D$1099, B490)&gt;0, COUNTIF(독서목록!$D$2:$D$1099, B490))</f>
        <v/>
      </c>
      <c r="G490" s="12" t="inlineStr">
        <is>
          <t>2012.03.09</t>
        </is>
      </c>
      <c r="H490" s="12" t="inlineStr">
        <is>
          <t>기부</t>
        </is>
      </c>
      <c r="I490" s="12" t="inlineStr">
        <is>
          <t>기부</t>
        </is>
      </c>
      <c r="J490" s="16" t="inlineStr">
        <is>
          <t>8959191205 9788959191208</t>
        </is>
      </c>
      <c r="K490" s="17" t="inlineStr">
        <is>
          <t>https://search1.kakaocdn.net/thumb/R120x174.q85/?fname=http%3A%2F%2Ft1.daumcdn.net%2Flbook%2Fimage%2F795296%3Ftimestamp%3D20240503113451</t>
        </is>
      </c>
    </row>
    <row r="491" ht="12.75" customHeight="1" s="118">
      <c r="A491" s="9" t="n"/>
      <c r="B491" s="10" t="inlineStr">
        <is>
          <t>고우영 삼국지 1</t>
        </is>
      </c>
      <c r="C491" s="10" t="inlineStr">
        <is>
          <t>고우영</t>
        </is>
      </c>
      <c r="D491" s="10" t="inlineStr">
        <is>
          <t>애니북스</t>
        </is>
      </c>
      <c r="E491" s="12">
        <f>_xludf.IFS(COUNTIF(보류목록!$B$3:$B$1000, B491)&gt;0, "-",COUNTIF(독서목록!$C$2:$C$1099, B491)=0, , COUNTIF(독서목록!$C$2:$C$1099, B491)&gt;0, COUNTIF(독서목록!$C$2:$C$1099, B491))</f>
        <v/>
      </c>
      <c r="F491" s="12">
        <f>_xludf.IFS(COUNTIF(보류목록!$C$3:$C$1000, B491)&gt;0, "-",COUNTIF(독서목록!$D$2:$D$1099, B491)=0, , COUNTIF(독서목록!$D$2:$D$1099, B491)&gt;0, COUNTIF(독서목록!$D$2:$D$1099, B491))</f>
        <v/>
      </c>
      <c r="G491" s="12" t="inlineStr">
        <is>
          <t>2012.03.09</t>
        </is>
      </c>
      <c r="H491" s="12" t="inlineStr">
        <is>
          <t>기부</t>
        </is>
      </c>
      <c r="I491" s="12" t="inlineStr">
        <is>
          <t>기부</t>
        </is>
      </c>
      <c r="J491" s="16" t="inlineStr">
        <is>
          <t>8959191191 9788959191192</t>
        </is>
      </c>
      <c r="K491" s="17" t="inlineStr">
        <is>
          <t>https://search1.kakaocdn.net/thumb/R120x174.q85/?fname=http%3A%2F%2Ft1.daumcdn.net%2Flbook%2Fimage%2F795805%3Ftimestamp%3D20240503113438</t>
        </is>
      </c>
    </row>
    <row r="492" ht="12.75" customHeight="1" s="118">
      <c r="A492" s="9" t="n"/>
      <c r="B492" s="10" t="inlineStr">
        <is>
          <t>빅 픽쳐</t>
        </is>
      </c>
      <c r="C492" s="10" t="inlineStr">
        <is>
          <t>더글라스 케네디</t>
        </is>
      </c>
      <c r="D492" s="10" t="inlineStr">
        <is>
          <t>밝은세상</t>
        </is>
      </c>
      <c r="E492" s="12">
        <f>_xludf.IFS(COUNTIF(보류목록!$B$3:$B$1000, B492)&gt;0, "-",COUNTIF(독서목록!$C$2:$C$1099, B492)=0, , COUNTIF(독서목록!$C$2:$C$1099, B492)&gt;0, COUNTIF(독서목록!$C$2:$C$1099, B492))</f>
        <v/>
      </c>
      <c r="F492" s="12">
        <f>_xludf.IFS(COUNTIF(보류목록!$C$3:$C$1000, B492)&gt;0, "-",COUNTIF(독서목록!$D$2:$D$1099, B492)=0, , COUNTIF(독서목록!$D$2:$D$1099, B492)&gt;0, COUNTIF(독서목록!$D$2:$D$1099, B492))</f>
        <v/>
      </c>
      <c r="G492" s="12" t="inlineStr">
        <is>
          <t>2012.02.24</t>
        </is>
      </c>
      <c r="H492" s="13" t="inlineStr">
        <is>
          <t>판매</t>
        </is>
      </c>
      <c r="I492" s="13" t="inlineStr">
        <is>
          <t>판매</t>
        </is>
      </c>
      <c r="J492" s="16" t="inlineStr">
        <is>
          <t>8984371025 9788984371026</t>
        </is>
      </c>
      <c r="K492" s="17" t="inlineStr">
        <is>
          <t>https://search1.kakaocdn.net/thumb/R120x174.q85/?fname=http%3A%2F%2Ft1.daumcdn.net%2Flbook%2Fimage%2F1185020%3Ftimestamp%3D20240315113552</t>
        </is>
      </c>
    </row>
    <row r="493" ht="12.75" customHeight="1" s="118">
      <c r="A493" s="9" t="n"/>
      <c r="B493" s="10" t="inlineStr">
        <is>
          <t>운명이다-노무현자서전</t>
        </is>
      </c>
      <c r="C493" s="10" t="inlineStr">
        <is>
          <t>노무현재단, 유시민정리</t>
        </is>
      </c>
      <c r="D493" s="10" t="inlineStr">
        <is>
          <t>돌베개</t>
        </is>
      </c>
      <c r="E493" s="12">
        <f>_xludf.IFS(COUNTIF(보류목록!$B$3:$B$1000, B493)&gt;0, "-",COUNTIF(독서목록!$C$2:$C$1099, B493)=0, , COUNTIF(독서목록!$C$2:$C$1099, B493)&gt;0, COUNTIF(독서목록!$C$2:$C$1099, B493))</f>
        <v/>
      </c>
      <c r="F493" s="12">
        <f>_xludf.IFS(COUNTIF(보류목록!$C$3:$C$1000, B493)&gt;0, "-",COUNTIF(독서목록!$D$2:$D$1099, B493)=0, , COUNTIF(독서목록!$D$2:$D$1099, B493)&gt;0, COUNTIF(독서목록!$D$2:$D$1099, B493))</f>
        <v/>
      </c>
      <c r="G493" s="12" t="inlineStr">
        <is>
          <t>2012.01.17</t>
        </is>
      </c>
      <c r="H493" s="13" t="inlineStr">
        <is>
          <t>판매</t>
        </is>
      </c>
      <c r="I493" s="13" t="inlineStr">
        <is>
          <t>판매</t>
        </is>
      </c>
      <c r="J493" s="16" t="inlineStr">
        <is>
          <t>9788971998151</t>
        </is>
      </c>
      <c r="K493" s="17" t="inlineStr">
        <is>
          <t>https://search1.kakaocdn.net/thumb/R120x174.q85/?fname=http%3A%2F%2Ft1.daumcdn.net%2Flbook%2Fimage%2F3665917%3Ftimestamp%3D20260320124539</t>
        </is>
      </c>
    </row>
    <row r="494" ht="12.75" customHeight="1" s="118">
      <c r="A494" s="9" t="n"/>
      <c r="B494" s="10" t="inlineStr">
        <is>
          <t>너무 친한 친구들</t>
        </is>
      </c>
      <c r="C494" s="10" t="inlineStr">
        <is>
          <t>넬레 노이하우스</t>
        </is>
      </c>
      <c r="D494" s="10" t="inlineStr">
        <is>
          <t>북로드</t>
        </is>
      </c>
      <c r="E494" s="12">
        <f>_xludf.IFS(COUNTIF(보류목록!$B$3:$B$1000, B494)&gt;0, "-",COUNTIF(독서목록!$C$2:$C$1099, B494)=0, , COUNTIF(독서목록!$C$2:$C$1099, B494)&gt;0, COUNTIF(독서목록!$C$2:$C$1099, B494))</f>
        <v/>
      </c>
      <c r="F494" s="12">
        <f>_xludf.IFS(COUNTIF(보류목록!$C$3:$C$1000, B494)&gt;0, "-",COUNTIF(독서목록!$D$2:$D$1099, B494)=0, , COUNTIF(독서목록!$D$2:$D$1099, B494)&gt;0, COUNTIF(독서목록!$D$2:$D$1099, B494))</f>
        <v/>
      </c>
      <c r="G494" s="12" t="inlineStr">
        <is>
          <t>2012.01.17</t>
        </is>
      </c>
      <c r="H494" s="13" t="inlineStr">
        <is>
          <t>판매</t>
        </is>
      </c>
      <c r="I494" s="13" t="inlineStr">
        <is>
          <t>판매</t>
        </is>
      </c>
      <c r="J494" s="16" t="inlineStr">
        <is>
          <t>8991239730 9788991239739</t>
        </is>
      </c>
      <c r="K494" s="19" t="inlineStr">
        <is>
          <t>https://search1.kakaocdn.net/thumb/R120x174.q85/?fname=http%3A%2F%2Ft1.daumcdn.net%2Flbook%2Fimage%2F1345502%3Ftimestamp%3D20260129110615</t>
        </is>
      </c>
    </row>
    <row r="495" ht="12.75" customHeight="1" s="118">
      <c r="A495" s="9" t="n"/>
      <c r="B495" s="10" t="inlineStr">
        <is>
          <t>달려라 정봉주</t>
        </is>
      </c>
      <c r="C495" s="10" t="inlineStr">
        <is>
          <t>정봉주</t>
        </is>
      </c>
      <c r="D495" s="10" t="inlineStr">
        <is>
          <t>왕의서재</t>
        </is>
      </c>
      <c r="E495" s="12">
        <f>_xludf.IFS(COUNTIF(보류목록!$B$3:$B$1000, B495)&gt;0, "-",COUNTIF(독서목록!$C$2:$C$1099, B495)=0, , COUNTIF(독서목록!$C$2:$C$1099, B495)&gt;0, COUNTIF(독서목록!$C$2:$C$1099, B495))</f>
        <v/>
      </c>
      <c r="F495" s="12">
        <f>_xludf.IFS(COUNTIF(보류목록!$C$3:$C$1000, B495)&gt;0, "-",COUNTIF(독서목록!$D$2:$D$1099, B495)=0, , COUNTIF(독서목록!$D$2:$D$1099, B495)&gt;0, COUNTIF(독서목록!$D$2:$D$1099, B495))</f>
        <v/>
      </c>
      <c r="G495" s="12" t="inlineStr">
        <is>
          <t>2011.12.00</t>
        </is>
      </c>
      <c r="H495" s="13" t="inlineStr">
        <is>
          <t>판매</t>
        </is>
      </c>
      <c r="I495" s="13" t="inlineStr">
        <is>
          <t>판매</t>
        </is>
      </c>
      <c r="J495" s="16" t="inlineStr">
        <is>
          <t>8993949468 9788993949469</t>
        </is>
      </c>
      <c r="K495" s="17" t="inlineStr">
        <is>
          <t>https://search1.kakaocdn.net/thumb/R120x174.q85/?fname=http%3A%2F%2Ft1.daumcdn.net%2Flbook%2Fimage%2F1412189%3Ftimestamp%3D20240320162512</t>
        </is>
      </c>
    </row>
    <row r="496" ht="12.75" customHeight="1" s="118">
      <c r="A496" s="9" t="n"/>
      <c r="B496" s="10" t="inlineStr">
        <is>
          <t>해리포터와 죽음의 성물 - 4</t>
        </is>
      </c>
      <c r="C496" s="10" t="inlineStr">
        <is>
          <t>조엔 K 롤링</t>
        </is>
      </c>
      <c r="D496" s="10" t="inlineStr">
        <is>
          <t>문학수첩</t>
        </is>
      </c>
      <c r="E496" s="12">
        <f>_xludf.IFS(COUNTIF(보류목록!$B$3:$B$1000, B496)&gt;0, "-",COUNTIF(독서목록!$C$2:$C$1099, B496)=0, , COUNTIF(독서목록!$C$2:$C$1099, B496)&gt;0, COUNTIF(독서목록!$C$2:$C$1099, B496))</f>
        <v/>
      </c>
      <c r="F496" s="12">
        <f>_xludf.IFS(COUNTIF(보류목록!$C$3:$C$1000, B496)&gt;0, "-",COUNTIF(독서목록!$D$2:$D$1099, B496)=0, , COUNTIF(독서목록!$D$2:$D$1099, B496)&gt;0, COUNTIF(독서목록!$D$2:$D$1099, B496))</f>
        <v/>
      </c>
      <c r="G496" s="12" t="inlineStr">
        <is>
          <t>2011.12.11</t>
        </is>
      </c>
      <c r="H496" s="13" t="inlineStr">
        <is>
          <t>판매</t>
        </is>
      </c>
      <c r="I496" s="13" t="inlineStr">
        <is>
          <t>판매</t>
        </is>
      </c>
      <c r="J496" s="16" t="inlineStr">
        <is>
          <t>8983925531 9788983925534</t>
        </is>
      </c>
      <c r="K496" s="17" t="inlineStr">
        <is>
          <t>https://search1.kakaocdn.net/thumb/R120x174.q85/?fname=http%3A%2F%2Ft1.daumcdn.net%2Flbook%2Fimage%2F1170819%3Ftimestamp%3D20230805175916</t>
        </is>
      </c>
    </row>
    <row r="497" ht="12.75" customHeight="1" s="118">
      <c r="A497" s="9" t="n"/>
      <c r="B497" s="10" t="inlineStr">
        <is>
          <t>해리포터와 죽음의 성물 - 3</t>
        </is>
      </c>
      <c r="C497" s="10" t="inlineStr">
        <is>
          <t>조엔 K 롤링</t>
        </is>
      </c>
      <c r="D497" s="10" t="inlineStr">
        <is>
          <t>문학수첩</t>
        </is>
      </c>
      <c r="E497" s="12">
        <f>_xludf.IFS(COUNTIF(보류목록!$B$3:$B$1000, B497)&gt;0, "-",COUNTIF(독서목록!$C$2:$C$1099, B497)=0, , COUNTIF(독서목록!$C$2:$C$1099, B497)&gt;0, COUNTIF(독서목록!$C$2:$C$1099, B497))</f>
        <v/>
      </c>
      <c r="F497" s="12">
        <f>_xludf.IFS(COUNTIF(보류목록!$C$3:$C$1000, B497)&gt;0, "-",COUNTIF(독서목록!$D$2:$D$1099, B497)=0, , COUNTIF(독서목록!$D$2:$D$1099, B497)&gt;0, COUNTIF(독서목록!$D$2:$D$1099, B497))</f>
        <v/>
      </c>
      <c r="G497" s="12" t="inlineStr">
        <is>
          <t>2011.12.11</t>
        </is>
      </c>
      <c r="H497" s="13" t="inlineStr">
        <is>
          <t>판매</t>
        </is>
      </c>
      <c r="I497" s="13" t="inlineStr">
        <is>
          <t>판매</t>
        </is>
      </c>
      <c r="J497" s="16" t="inlineStr">
        <is>
          <t>8983928050 9788983928054</t>
        </is>
      </c>
      <c r="K497" s="17" t="inlineStr">
        <is>
          <t>https://search1.kakaocdn.net/thumb/R120x174.q85/?fname=http%3A%2F%2Ft1.daumcdn.net%2Flbook%2Fimage%2F5243628%3Ftimestamp%3D20251206131706</t>
        </is>
      </c>
    </row>
    <row r="498" ht="12.75" customHeight="1" s="118">
      <c r="A498" s="9" t="n"/>
      <c r="B498" s="10" t="inlineStr">
        <is>
          <t>해리포터와 죽음의 성물 - 2</t>
        </is>
      </c>
      <c r="C498" s="10" t="inlineStr">
        <is>
          <t>조엔 K 롤링</t>
        </is>
      </c>
      <c r="D498" s="10" t="inlineStr">
        <is>
          <t>문학수첩</t>
        </is>
      </c>
      <c r="E498" s="12">
        <f>_xludf.IFS(COUNTIF(보류목록!$B$3:$B$1000, B498)&gt;0, "-",COUNTIF(독서목록!$C$2:$C$1099, B498)=0, , COUNTIF(독서목록!$C$2:$C$1099, B498)&gt;0, COUNTIF(독서목록!$C$2:$C$1099, B498))</f>
        <v/>
      </c>
      <c r="F498" s="12">
        <f>_xludf.IFS(COUNTIF(보류목록!$C$3:$C$1000, B498)&gt;0, "-",COUNTIF(독서목록!$D$2:$D$1099, B498)=0, , COUNTIF(독서목록!$D$2:$D$1099, B498)&gt;0, COUNTIF(독서목록!$D$2:$D$1099, B498))</f>
        <v/>
      </c>
      <c r="G498" s="12" t="inlineStr">
        <is>
          <t>2011.12.11</t>
        </is>
      </c>
      <c r="H498" s="13" t="inlineStr">
        <is>
          <t>판매</t>
        </is>
      </c>
      <c r="I498" s="13" t="inlineStr">
        <is>
          <t>판매</t>
        </is>
      </c>
      <c r="J498" s="16" t="inlineStr">
        <is>
          <t>8983928085 9788983928085</t>
        </is>
      </c>
      <c r="K498" s="17" t="inlineStr">
        <is>
          <t>https://search1.kakaocdn.net/thumb/R120x174.q85/?fname=http%3A%2F%2Ft1.daumcdn.net%2Flbook%2Fimage%2F5243612%3Ftimestamp%3D20260317115514</t>
        </is>
      </c>
    </row>
    <row r="499" ht="12.75" customHeight="1" s="118">
      <c r="A499" s="9" t="n"/>
      <c r="B499" s="10" t="inlineStr">
        <is>
          <t>해리포터와 죽음의 성물 - 1</t>
        </is>
      </c>
      <c r="C499" s="10" t="inlineStr">
        <is>
          <t>조엔 K 롤링</t>
        </is>
      </c>
      <c r="D499" s="10" t="inlineStr">
        <is>
          <t>문학수첩</t>
        </is>
      </c>
      <c r="E499" s="12">
        <f>_xludf.IFS(COUNTIF(보류목록!$B$3:$B$1000, B499)&gt;0, "-",COUNTIF(독서목록!$C$2:$C$1099, B499)=0, , COUNTIF(독서목록!$C$2:$C$1099, B499)&gt;0, COUNTIF(독서목록!$C$2:$C$1099, B499))</f>
        <v/>
      </c>
      <c r="F499" s="12">
        <f>_xludf.IFS(COUNTIF(보류목록!$C$3:$C$1000, B499)&gt;0, "-",COUNTIF(독서목록!$D$2:$D$1099, B499)=0, , COUNTIF(독서목록!$D$2:$D$1099, B499)&gt;0, COUNTIF(독서목록!$D$2:$D$1099, B499))</f>
        <v/>
      </c>
      <c r="G499" s="12" t="inlineStr">
        <is>
          <t>2011.12.11</t>
        </is>
      </c>
      <c r="H499" s="13" t="inlineStr">
        <is>
          <t>판매</t>
        </is>
      </c>
      <c r="I499" s="13" t="inlineStr">
        <is>
          <t>판매</t>
        </is>
      </c>
      <c r="J499" s="16" t="inlineStr">
        <is>
          <t>8983928077 9788983928078</t>
        </is>
      </c>
      <c r="K499" s="17" t="inlineStr">
        <is>
          <t>https://search1.kakaocdn.net/thumb/R120x174.q85/?fname=http%3A%2F%2Ft1.daumcdn.net%2Flbook%2Fimage%2F5243611%3Ftimestamp%3D20260320115844</t>
        </is>
      </c>
    </row>
    <row r="500" ht="12.75" customHeight="1" s="118">
      <c r="A500" s="9" t="n"/>
      <c r="B500" s="10" t="inlineStr">
        <is>
          <t>해리포터와 혼혈왕자 - 4</t>
        </is>
      </c>
      <c r="C500" s="10" t="inlineStr">
        <is>
          <t>조엔 K 롤링</t>
        </is>
      </c>
      <c r="D500" s="10" t="inlineStr">
        <is>
          <t>문학수첩</t>
        </is>
      </c>
      <c r="E500" s="12">
        <f>_xludf.IFS(COUNTIF(보류목록!$B$3:$B$1000, B500)&gt;0, "-",COUNTIF(독서목록!$C$2:$C$1099, B500)=0, , COUNTIF(독서목록!$C$2:$C$1099, B500)&gt;0, COUNTIF(독서목록!$C$2:$C$1099, B500))</f>
        <v/>
      </c>
      <c r="F500" s="12">
        <f>_xludf.IFS(COUNTIF(보류목록!$C$3:$C$1000, B500)&gt;0, "-",COUNTIF(독서목록!$D$2:$D$1099, B500)=0, , COUNTIF(독서목록!$D$2:$D$1099, B500)&gt;0, COUNTIF(독서목록!$D$2:$D$1099, B500))</f>
        <v/>
      </c>
      <c r="G500" s="12" t="n"/>
      <c r="H500" s="13" t="inlineStr">
        <is>
          <t>판매</t>
        </is>
      </c>
      <c r="I500" s="13" t="inlineStr">
        <is>
          <t>판매</t>
        </is>
      </c>
      <c r="J500" s="16" t="inlineStr">
        <is>
          <t>8983927984 9788983927989</t>
        </is>
      </c>
      <c r="K500" s="17" t="inlineStr">
        <is>
          <t>https://search1.kakaocdn.net/thumb/R120x174.q85/?fname=http%3A%2F%2Ft1.daumcdn.net%2Flbook%2Fimage%2F5174769%3Ftimestamp%3D20260323115124</t>
        </is>
      </c>
    </row>
    <row r="501" ht="12.75" customHeight="1" s="118">
      <c r="A501" s="9" t="n"/>
      <c r="B501" s="10" t="inlineStr">
        <is>
          <t>해리포터와 혼혈왕자 - 3</t>
        </is>
      </c>
      <c r="C501" s="10" t="inlineStr">
        <is>
          <t>조엔 K 롤링</t>
        </is>
      </c>
      <c r="D501" s="10" t="inlineStr">
        <is>
          <t>문학수첩</t>
        </is>
      </c>
      <c r="E501" s="12">
        <f>_xludf.IFS(COUNTIF(보류목록!$B$3:$B$1000, B501)&gt;0, "-",COUNTIF(독서목록!$C$2:$C$1099, B501)=0, , COUNTIF(독서목록!$C$2:$C$1099, B501)&gt;0, COUNTIF(독서목록!$C$2:$C$1099, B501))</f>
        <v/>
      </c>
      <c r="F501" s="12">
        <f>_xludf.IFS(COUNTIF(보류목록!$C$3:$C$1000, B501)&gt;0, "-",COUNTIF(독서목록!$D$2:$D$1099, B501)=0, , COUNTIF(독서목록!$D$2:$D$1099, B501)&gt;0, COUNTIF(독서목록!$D$2:$D$1099, B501))</f>
        <v/>
      </c>
      <c r="G501" s="12" t="n"/>
      <c r="H501" s="13" t="inlineStr">
        <is>
          <t>판매</t>
        </is>
      </c>
      <c r="I501" s="13" t="inlineStr">
        <is>
          <t>판매</t>
        </is>
      </c>
      <c r="J501" s="16" t="inlineStr">
        <is>
          <t>8983927976 9788983927972</t>
        </is>
      </c>
      <c r="K501" s="17" t="inlineStr">
        <is>
          <t>https://search1.kakaocdn.net/thumb/R120x174.q85/?fname=http%3A%2F%2Ft1.daumcdn.net%2Flbook%2Fimage%2F5174770%3Ftimestamp%3D20260316114626</t>
        </is>
      </c>
    </row>
    <row r="502" ht="12.75" customHeight="1" s="118">
      <c r="A502" s="9" t="n"/>
      <c r="B502" s="10" t="inlineStr">
        <is>
          <t>해리포터와 혼혈왕자 - 2</t>
        </is>
      </c>
      <c r="C502" s="10" t="inlineStr">
        <is>
          <t>조엔 K 롤링</t>
        </is>
      </c>
      <c r="D502" s="10" t="inlineStr">
        <is>
          <t>문학수첩</t>
        </is>
      </c>
      <c r="E502" s="12">
        <f>_xludf.IFS(COUNTIF(보류목록!$B$3:$B$1000, B502)&gt;0, "-",COUNTIF(독서목록!$C$2:$C$1099, B502)=0, , COUNTIF(독서목록!$C$2:$C$1099, B502)&gt;0, COUNTIF(독서목록!$C$2:$C$1099, B502))</f>
        <v/>
      </c>
      <c r="F502" s="12">
        <f>_xludf.IFS(COUNTIF(보류목록!$C$3:$C$1000, B502)&gt;0, "-",COUNTIF(독서목록!$D$2:$D$1099, B502)=0, , COUNTIF(독서목록!$D$2:$D$1099, B502)&gt;0, COUNTIF(독서목록!$D$2:$D$1099, B502))</f>
        <v/>
      </c>
      <c r="G502" s="12" t="n"/>
      <c r="H502" s="13" t="inlineStr">
        <is>
          <t>판매</t>
        </is>
      </c>
      <c r="I502" s="13" t="inlineStr">
        <is>
          <t>판매</t>
        </is>
      </c>
      <c r="J502" s="16" t="inlineStr">
        <is>
          <t>8983927968 9788983927965</t>
        </is>
      </c>
      <c r="K502" s="17" t="inlineStr">
        <is>
          <t>https://search1.kakaocdn.net/thumb/R120x174.q85/?fname=http%3A%2F%2Ft1.daumcdn.net%2Flbook%2Fimage%2F5174904%3Ftimestamp%3D20260323115124</t>
        </is>
      </c>
    </row>
    <row r="503" ht="12.75" customHeight="1" s="118">
      <c r="A503" s="9" t="n"/>
      <c r="B503" s="10" t="inlineStr">
        <is>
          <t>해리포터와 혼혈왕자 - 1</t>
        </is>
      </c>
      <c r="C503" s="10" t="inlineStr">
        <is>
          <t>조엔 K 롤링</t>
        </is>
      </c>
      <c r="D503" s="10" t="inlineStr">
        <is>
          <t>문학수첩</t>
        </is>
      </c>
      <c r="E503" s="12">
        <f>_xludf.IFS(COUNTIF(보류목록!$B$3:$B$1000, B503)&gt;0, "-",COUNTIF(독서목록!$C$2:$C$1099, B503)=0, , COUNTIF(독서목록!$C$2:$C$1099, B503)&gt;0, COUNTIF(독서목록!$C$2:$C$1099, B503))</f>
        <v/>
      </c>
      <c r="F503" s="12">
        <f>_xludf.IFS(COUNTIF(보류목록!$C$3:$C$1000, B503)&gt;0, "-",COUNTIF(독서목록!$D$2:$D$1099, B503)=0, , COUNTIF(독서목록!$D$2:$D$1099, B503)&gt;0, COUNTIF(독서목록!$D$2:$D$1099, B503))</f>
        <v/>
      </c>
      <c r="G503" s="12" t="n"/>
      <c r="H503" s="13" t="inlineStr">
        <is>
          <t>판매</t>
        </is>
      </c>
      <c r="I503" s="13" t="inlineStr">
        <is>
          <t>판매</t>
        </is>
      </c>
      <c r="J503" s="16" t="inlineStr">
        <is>
          <t>898392795X 9788983927958</t>
        </is>
      </c>
      <c r="K503" s="17" t="inlineStr">
        <is>
          <t>https://search1.kakaocdn.net/thumb/R120x174.q85/?fname=http%3A%2F%2Ft1.daumcdn.net%2Flbook%2Fimage%2F5175154%3Ftimestamp%3D20260124131443</t>
        </is>
      </c>
    </row>
    <row r="504" ht="12.75" customHeight="1" s="118">
      <c r="A504" s="9" t="n"/>
      <c r="B504" s="10" t="inlineStr">
        <is>
          <t>해리포터와 불사조 기사단 - 5</t>
        </is>
      </c>
      <c r="C504" s="10" t="inlineStr">
        <is>
          <t>조엔 K 롤링</t>
        </is>
      </c>
      <c r="D504" s="10" t="inlineStr">
        <is>
          <t>문학수첩</t>
        </is>
      </c>
      <c r="E504" s="12">
        <f>_xludf.IFS(COUNTIF(보류목록!$B$3:$B$1000, B504)&gt;0, "-",COUNTIF(독서목록!$C$2:$C$1099, B504)=0, , COUNTIF(독서목록!$C$2:$C$1099, B504)&gt;0, COUNTIF(독서목록!$C$2:$C$1099, B504))</f>
        <v/>
      </c>
      <c r="F504" s="12">
        <f>_xludf.IFS(COUNTIF(보류목록!$C$3:$C$1000, B504)&gt;0, "-",COUNTIF(독서목록!$D$2:$D$1099, B504)=0, , COUNTIF(독서목록!$D$2:$D$1099, B504)&gt;0, COUNTIF(독서목록!$D$2:$D$1099, B504))</f>
        <v/>
      </c>
      <c r="G504" s="12" t="n"/>
      <c r="H504" s="13" t="inlineStr">
        <is>
          <t>판매</t>
        </is>
      </c>
      <c r="I504" s="13" t="inlineStr">
        <is>
          <t>판매</t>
        </is>
      </c>
      <c r="J504" s="16" t="inlineStr">
        <is>
          <t>8983927925 9788983927927</t>
        </is>
      </c>
      <c r="K504" s="17" t="inlineStr">
        <is>
          <t>https://search1.kakaocdn.net/thumb/R120x174.q85/?fname=http%3A%2F%2Ft1.daumcdn.net%2Flbook%2Fimage%2F5156030%3Ftimestamp%3D20260113131917</t>
        </is>
      </c>
    </row>
    <row r="505" ht="12.75" customHeight="1" s="118">
      <c r="A505" s="9" t="n"/>
      <c r="B505" s="10" t="inlineStr">
        <is>
          <t>해리포터와 불사조 기사단 - 4</t>
        </is>
      </c>
      <c r="C505" s="10" t="inlineStr">
        <is>
          <t>조엔 K 롤링</t>
        </is>
      </c>
      <c r="D505" s="10" t="inlineStr">
        <is>
          <t>문학수첩</t>
        </is>
      </c>
      <c r="E505" s="12">
        <f>_xludf.IFS(COUNTIF(보류목록!$B$3:$B$1000, B505)&gt;0, "-",COUNTIF(독서목록!$C$2:$C$1099, B505)=0, , COUNTIF(독서목록!$C$2:$C$1099, B505)&gt;0, COUNTIF(독서목록!$C$2:$C$1099, B505))</f>
        <v/>
      </c>
      <c r="F505" s="12">
        <f>_xludf.IFS(COUNTIF(보류목록!$C$3:$C$1000, B505)&gt;0, "-",COUNTIF(독서목록!$D$2:$D$1099, B505)=0, , COUNTIF(독서목록!$D$2:$D$1099, B505)&gt;0, COUNTIF(독서목록!$D$2:$D$1099, B505))</f>
        <v/>
      </c>
      <c r="G505" s="12" t="n"/>
      <c r="H505" s="13" t="inlineStr">
        <is>
          <t>판매</t>
        </is>
      </c>
      <c r="I505" s="13" t="inlineStr">
        <is>
          <t>판매</t>
        </is>
      </c>
      <c r="J505" s="16" t="inlineStr">
        <is>
          <t>8983927917 9788983927910</t>
        </is>
      </c>
      <c r="K505" s="17" t="inlineStr">
        <is>
          <t>https://search1.kakaocdn.net/thumb/R120x174.q85/?fname=http%3A%2F%2Ft1.daumcdn.net%2Flbook%2Fimage%2F5156108%3Ftimestamp%3D20260113131918</t>
        </is>
      </c>
    </row>
    <row r="506" ht="12.75" customHeight="1" s="118">
      <c r="A506" s="9" t="n"/>
      <c r="B506" s="10" t="inlineStr">
        <is>
          <t>해리포터와 불사조 기사단 - 3</t>
        </is>
      </c>
      <c r="C506" s="10" t="inlineStr">
        <is>
          <t>조엔 K 롤링</t>
        </is>
      </c>
      <c r="D506" s="10" t="inlineStr">
        <is>
          <t>문학수첩</t>
        </is>
      </c>
      <c r="E506" s="12">
        <f>_xludf.IFS(COUNTIF(보류목록!$B$3:$B$1000, B506)&gt;0, "-",COUNTIF(독서목록!$C$2:$C$1099, B506)=0, , COUNTIF(독서목록!$C$2:$C$1099, B506)&gt;0, COUNTIF(독서목록!$C$2:$C$1099, B506))</f>
        <v/>
      </c>
      <c r="F506" s="12">
        <f>_xludf.IFS(COUNTIF(보류목록!$C$3:$C$1000, B506)&gt;0, "-",COUNTIF(독서목록!$D$2:$D$1099, B506)=0, , COUNTIF(독서목록!$D$2:$D$1099, B506)&gt;0, COUNTIF(독서목록!$D$2:$D$1099, B506))</f>
        <v/>
      </c>
      <c r="G506" s="12" t="n"/>
      <c r="H506" s="13" t="inlineStr">
        <is>
          <t>판매</t>
        </is>
      </c>
      <c r="I506" s="13" t="inlineStr">
        <is>
          <t>판매</t>
        </is>
      </c>
      <c r="J506" s="16" t="inlineStr">
        <is>
          <t>8983927909 9788983927903</t>
        </is>
      </c>
      <c r="K506" s="17" t="inlineStr">
        <is>
          <t>https://search1.kakaocdn.net/thumb/R120x174.q85/?fname=http%3A%2F%2Ft1.daumcdn.net%2Flbook%2Fimage%2F5156033%3Ftimestamp%3D20260305131612</t>
        </is>
      </c>
    </row>
    <row r="507" ht="12.75" customHeight="1" s="118">
      <c r="A507" s="9" t="n"/>
      <c r="B507" s="10" t="inlineStr">
        <is>
          <t>해리포터와 불사조 기사단 - 2</t>
        </is>
      </c>
      <c r="C507" s="10" t="inlineStr">
        <is>
          <t>조엔 K 롤링</t>
        </is>
      </c>
      <c r="D507" s="10" t="inlineStr">
        <is>
          <t>문학수첩</t>
        </is>
      </c>
      <c r="E507" s="12">
        <f>_xludf.IFS(COUNTIF(보류목록!$B$3:$B$1000, B507)&gt;0, "-",COUNTIF(독서목록!$C$2:$C$1099, B507)=0, , COUNTIF(독서목록!$C$2:$C$1099, B507)&gt;0, COUNTIF(독서목록!$C$2:$C$1099, B507))</f>
        <v/>
      </c>
      <c r="F507" s="12">
        <f>_xludf.IFS(COUNTIF(보류목록!$C$3:$C$1000, B507)&gt;0, "-",COUNTIF(독서목록!$D$2:$D$1099, B507)=0, , COUNTIF(독서목록!$D$2:$D$1099, B507)&gt;0, COUNTIF(독서목록!$D$2:$D$1099, B507))</f>
        <v/>
      </c>
      <c r="G507" s="12" t="n"/>
      <c r="H507" s="13" t="inlineStr">
        <is>
          <t>판매</t>
        </is>
      </c>
      <c r="I507" s="13" t="inlineStr">
        <is>
          <t>판매</t>
        </is>
      </c>
      <c r="J507" s="16" t="inlineStr">
        <is>
          <t>8983927895 9788983927897</t>
        </is>
      </c>
      <c r="K507" s="17" t="inlineStr">
        <is>
          <t>https://search1.kakaocdn.net/thumb/R120x174.q85/?fname=http%3A%2F%2Ft1.daumcdn.net%2Flbook%2Fimage%2F5156071%3Ftimestamp%3D20251226131410</t>
        </is>
      </c>
    </row>
    <row r="508" ht="12.75" customHeight="1" s="118">
      <c r="A508" s="9" t="n"/>
      <c r="B508" s="10" t="inlineStr">
        <is>
          <t>해리포터와 불사조 기사단 - 1</t>
        </is>
      </c>
      <c r="C508" s="10" t="inlineStr">
        <is>
          <t>조엔 K 롤링</t>
        </is>
      </c>
      <c r="D508" s="10" t="inlineStr">
        <is>
          <t>문학수첩</t>
        </is>
      </c>
      <c r="E508" s="12">
        <f>_xludf.IFS(COUNTIF(보류목록!$B$3:$B$1000, B508)&gt;0, "-",COUNTIF(독서목록!$C$2:$C$1099, B508)=0, , COUNTIF(독서목록!$C$2:$C$1099, B508)&gt;0, COUNTIF(독서목록!$C$2:$C$1099, B508))</f>
        <v/>
      </c>
      <c r="F508" s="12">
        <f>_xludf.IFS(COUNTIF(보류목록!$C$3:$C$1000, B508)&gt;0, "-",COUNTIF(독서목록!$D$2:$D$1099, B508)=0, , COUNTIF(독서목록!$D$2:$D$1099, B508)&gt;0, COUNTIF(독서목록!$D$2:$D$1099, B508))</f>
        <v/>
      </c>
      <c r="G508" s="12" t="n"/>
      <c r="H508" s="13" t="inlineStr">
        <is>
          <t>판매</t>
        </is>
      </c>
      <c r="I508" s="13" t="inlineStr">
        <is>
          <t>판매</t>
        </is>
      </c>
      <c r="J508" s="16" t="inlineStr">
        <is>
          <t>8983927887 9788983927880</t>
        </is>
      </c>
      <c r="K508" s="17" t="inlineStr">
        <is>
          <t>https://search1.kakaocdn.net/thumb/R120x174.q85/?fname=http%3A%2F%2Ft1.daumcdn.net%2Flbook%2Fimage%2F5156036%3Ftimestamp%3D20251226131410</t>
        </is>
      </c>
    </row>
    <row r="509" ht="12.75" customHeight="1" s="118">
      <c r="A509" s="9" t="n"/>
      <c r="B509" s="10" t="inlineStr">
        <is>
          <t>해리포터와 불의 잔 - 4</t>
        </is>
      </c>
      <c r="C509" s="10" t="inlineStr">
        <is>
          <t>조엔 K 롤링</t>
        </is>
      </c>
      <c r="D509" s="10" t="inlineStr">
        <is>
          <t>문학수첩</t>
        </is>
      </c>
      <c r="E509" s="12">
        <f>_xludf.IFS(COUNTIF(보류목록!$B$3:$B$1000, B509)&gt;0, "-",COUNTIF(독서목록!$C$2:$C$1099, B509)=0, , COUNTIF(독서목록!$C$2:$C$1099, B509)&gt;0, COUNTIF(독서목록!$C$2:$C$1099, B509))</f>
        <v/>
      </c>
      <c r="F509" s="12">
        <f>_xludf.IFS(COUNTIF(보류목록!$C$3:$C$1000, B509)&gt;0, "-",COUNTIF(독서목록!$D$2:$D$1099, B509)=0, , COUNTIF(독서목록!$D$2:$D$1099, B509)&gt;0, COUNTIF(독서목록!$D$2:$D$1099, B509))</f>
        <v/>
      </c>
      <c r="G509" s="12" t="n"/>
      <c r="H509" s="13" t="inlineStr">
        <is>
          <t>판매</t>
        </is>
      </c>
      <c r="I509" s="13" t="inlineStr">
        <is>
          <t>판매</t>
        </is>
      </c>
      <c r="J509" s="16" t="inlineStr">
        <is>
          <t>8983927712 9788983927712</t>
        </is>
      </c>
      <c r="K509" s="17" t="inlineStr">
        <is>
          <t>https://search1.kakaocdn.net/thumb/R120x174.q85/?fname=http%3A%2F%2Ft1.daumcdn.net%2Flbook%2Fimage%2F5134331%3Ftimestamp%3D20260305131430</t>
        </is>
      </c>
    </row>
    <row r="510" ht="12.75" customHeight="1" s="118">
      <c r="A510" s="9" t="n"/>
      <c r="B510" s="10" t="inlineStr">
        <is>
          <t>해리포터와 불의 잔 - 3</t>
        </is>
      </c>
      <c r="C510" s="10" t="inlineStr">
        <is>
          <t>조엔 K 롤링</t>
        </is>
      </c>
      <c r="D510" s="10" t="inlineStr">
        <is>
          <t>문학수첩</t>
        </is>
      </c>
      <c r="E510" s="12">
        <f>_xludf.IFS(COUNTIF(보류목록!$B$3:$B$1000, B510)&gt;0, "-",COUNTIF(독서목록!$C$2:$C$1099, B510)=0, , COUNTIF(독서목록!$C$2:$C$1099, B510)&gt;0, COUNTIF(독서목록!$C$2:$C$1099, B510))</f>
        <v/>
      </c>
      <c r="F510" s="12">
        <f>_xludf.IFS(COUNTIF(보류목록!$C$3:$C$1000, B510)&gt;0, "-",COUNTIF(독서목록!$D$2:$D$1099, B510)=0, , COUNTIF(독서목록!$D$2:$D$1099, B510)&gt;0, COUNTIF(독서목록!$D$2:$D$1099, B510))</f>
        <v/>
      </c>
      <c r="G510" s="12" t="n"/>
      <c r="H510" s="13" t="inlineStr">
        <is>
          <t>판매</t>
        </is>
      </c>
      <c r="I510" s="13" t="inlineStr">
        <is>
          <t>판매</t>
        </is>
      </c>
      <c r="J510" s="16" t="inlineStr">
        <is>
          <t>8983927704 9788983927705</t>
        </is>
      </c>
      <c r="K510" s="17" t="inlineStr">
        <is>
          <t>https://search1.kakaocdn.net/thumb/R120x174.q85/?fname=http%3A%2F%2Ft1.daumcdn.net%2Flbook%2Fimage%2F5134203%3Ftimestamp%3D20260321115359</t>
        </is>
      </c>
    </row>
    <row r="511" ht="12.75" customHeight="1" s="118">
      <c r="A511" s="9" t="n"/>
      <c r="B511" s="10" t="inlineStr">
        <is>
          <t>해리포터와 불의 잔 - 2</t>
        </is>
      </c>
      <c r="C511" s="10" t="inlineStr">
        <is>
          <t>조엔 K 롤링</t>
        </is>
      </c>
      <c r="D511" s="10" t="inlineStr">
        <is>
          <t>문학수첩</t>
        </is>
      </c>
      <c r="E511" s="12">
        <f>_xludf.IFS(COUNTIF(보류목록!$B$3:$B$1000, B511)&gt;0, "-",COUNTIF(독서목록!$C$2:$C$1099, B511)=0, , COUNTIF(독서목록!$C$2:$C$1099, B511)&gt;0, COUNTIF(독서목록!$C$2:$C$1099, B511))</f>
        <v/>
      </c>
      <c r="F511" s="12">
        <f>_xludf.IFS(COUNTIF(보류목록!$C$3:$C$1000, B511)&gt;0, "-",COUNTIF(독서목록!$D$2:$D$1099, B511)=0, , COUNTIF(독서목록!$D$2:$D$1099, B511)&gt;0, COUNTIF(독서목록!$D$2:$D$1099, B511))</f>
        <v/>
      </c>
      <c r="G511" s="12" t="n"/>
      <c r="H511" s="13" t="inlineStr">
        <is>
          <t>판매</t>
        </is>
      </c>
      <c r="I511" s="13" t="inlineStr">
        <is>
          <t>판매</t>
        </is>
      </c>
      <c r="J511" s="16" t="inlineStr">
        <is>
          <t>1193790476 9791193790472</t>
        </is>
      </c>
      <c r="K511" s="17" t="inlineStr">
        <is>
          <t>https://search1.kakaocdn.net/thumb/R120x174.q85/?fname=http%3A%2F%2Ft1.daumcdn.net%2Flbook%2Fimage%2F6764047%3Ftimestamp%3D20241225152846</t>
        </is>
      </c>
    </row>
    <row r="512" ht="12.75" customHeight="1" s="118">
      <c r="A512" s="9" t="n"/>
      <c r="B512" s="10" t="inlineStr">
        <is>
          <t>해리포터와 불의 잔 - 1</t>
        </is>
      </c>
      <c r="C512" s="10" t="inlineStr">
        <is>
          <t>조엔 K 롤링</t>
        </is>
      </c>
      <c r="D512" s="10" t="inlineStr">
        <is>
          <t>문학수첩</t>
        </is>
      </c>
      <c r="E512" s="12">
        <f>_xludf.IFS(COUNTIF(보류목록!$B$3:$B$1000, B512)&gt;0, "-",COUNTIF(독서목록!$C$2:$C$1099, B512)=0, , COUNTIF(독서목록!$C$2:$C$1099, B512)&gt;0, COUNTIF(독서목록!$C$2:$C$1099, B512))</f>
        <v/>
      </c>
      <c r="F512" s="12">
        <f>_xludf.IFS(COUNTIF(보류목록!$C$3:$C$1000, B512)&gt;0, "-",COUNTIF(독서목록!$D$2:$D$1099, B512)=0, , COUNTIF(독서목록!$D$2:$D$1099, B512)&gt;0, COUNTIF(독서목록!$D$2:$D$1099, B512))</f>
        <v/>
      </c>
      <c r="G512" s="12" t="n"/>
      <c r="H512" s="13" t="inlineStr">
        <is>
          <t>판매</t>
        </is>
      </c>
      <c r="I512" s="13" t="inlineStr">
        <is>
          <t>판매</t>
        </is>
      </c>
      <c r="J512" s="16" t="inlineStr">
        <is>
          <t>8983927682 9788983927682</t>
        </is>
      </c>
      <c r="K512" s="17" t="inlineStr">
        <is>
          <t>https://search1.kakaocdn.net/thumb/R120x174.q85/?fname=http%3A%2F%2Ft1.daumcdn.net%2Flbook%2Fimage%2F5134380%3Ftimestamp%3D20260220114223</t>
        </is>
      </c>
    </row>
    <row r="513" ht="12.75" customHeight="1" s="118">
      <c r="A513" s="9" t="n"/>
      <c r="B513" s="10" t="inlineStr">
        <is>
          <t>해리포터와 아즈카반의 죄수 - 2</t>
        </is>
      </c>
      <c r="C513" s="10" t="inlineStr">
        <is>
          <t>조엔 K 롤링</t>
        </is>
      </c>
      <c r="D513" s="10" t="inlineStr">
        <is>
          <t>문학수첩</t>
        </is>
      </c>
      <c r="E513" s="12">
        <f>_xludf.IFS(COUNTIF(보류목록!$B$3:$B$1000, B513)&gt;0, "-",COUNTIF(독서목록!$C$2:$C$1099, B513)=0, , COUNTIF(독서목록!$C$2:$C$1099, B513)&gt;0, COUNTIF(독서목록!$C$2:$C$1099, B513))</f>
        <v/>
      </c>
      <c r="F513" s="12">
        <f>_xludf.IFS(COUNTIF(보류목록!$C$3:$C$1000, B513)&gt;0, "-",COUNTIF(독서목록!$D$2:$D$1099, B513)=0, , COUNTIF(독서목록!$D$2:$D$1099, B513)&gt;0, COUNTIF(독서목록!$D$2:$D$1099, B513))</f>
        <v/>
      </c>
      <c r="G513" s="12" t="n"/>
      <c r="H513" s="13" t="inlineStr">
        <is>
          <t>판매</t>
        </is>
      </c>
      <c r="I513" s="13" t="inlineStr">
        <is>
          <t>판매</t>
        </is>
      </c>
      <c r="J513" s="16" t="inlineStr">
        <is>
          <t>8983927674 9788983927675</t>
        </is>
      </c>
      <c r="K513" s="17" t="inlineStr">
        <is>
          <t>https://search1.kakaocdn.net/thumb/R120x174.q85/?fname=http%3A%2F%2Ft1.daumcdn.net%2Flbook%2Fimage%2F5134151%3Ftimestamp%3D20260202132024</t>
        </is>
      </c>
    </row>
    <row r="514" ht="12.75" customHeight="1" s="118">
      <c r="A514" s="9" t="n"/>
      <c r="B514" s="10" t="inlineStr">
        <is>
          <t>해리포터와 아즈카반의 죄수 - 1</t>
        </is>
      </c>
      <c r="C514" s="10" t="inlineStr">
        <is>
          <t>조엔 K 롤링</t>
        </is>
      </c>
      <c r="D514" s="10" t="inlineStr">
        <is>
          <t>문학수첩</t>
        </is>
      </c>
      <c r="E514" s="12">
        <f>_xludf.IFS(COUNTIF(보류목록!$B$3:$B$1000, B514)&gt;0, "-",COUNTIF(독서목록!$C$2:$C$1099, B514)=0, , COUNTIF(독서목록!$C$2:$C$1099, B514)&gt;0, COUNTIF(독서목록!$C$2:$C$1099, B514))</f>
        <v/>
      </c>
      <c r="F514" s="12">
        <f>_xludf.IFS(COUNTIF(보류목록!$C$3:$C$1000, B514)&gt;0, "-",COUNTIF(독서목록!$D$2:$D$1099, B514)=0, , COUNTIF(독서목록!$D$2:$D$1099, B514)&gt;0, COUNTIF(독서목록!$D$2:$D$1099, B514))</f>
        <v/>
      </c>
      <c r="G514" s="12" t="n"/>
      <c r="H514" s="13" t="inlineStr">
        <is>
          <t>판매</t>
        </is>
      </c>
      <c r="I514" s="13" t="inlineStr">
        <is>
          <t>판매</t>
        </is>
      </c>
      <c r="J514" s="16" t="inlineStr">
        <is>
          <t>8983927666 9788983927668</t>
        </is>
      </c>
      <c r="K514" s="17" t="inlineStr">
        <is>
          <t>https://search1.kakaocdn.net/thumb/R120x174.q85/?fname=http%3A%2F%2Ft1.daumcdn.net%2Flbook%2Fimage%2F5134293%3Ftimestamp%3D20260130131118</t>
        </is>
      </c>
    </row>
    <row r="515" ht="12.75" customHeight="1" s="118">
      <c r="A515" s="9" t="n"/>
      <c r="B515" s="10" t="inlineStr">
        <is>
          <t>해리포터와 비밀의 방 - 2</t>
        </is>
      </c>
      <c r="C515" s="10" t="inlineStr">
        <is>
          <t>조엔 K 롤링</t>
        </is>
      </c>
      <c r="D515" s="10" t="inlineStr">
        <is>
          <t>문학수첩</t>
        </is>
      </c>
      <c r="E515" s="12">
        <f>_xludf.IFS(COUNTIF(보류목록!$B$3:$B$1000, B515)&gt;0, "-",COUNTIF(독서목록!$C$2:$C$1099, B515)=0, , COUNTIF(독서목록!$C$2:$C$1099, B515)&gt;0, COUNTIF(독서목록!$C$2:$C$1099, B515))</f>
        <v/>
      </c>
      <c r="F515" s="12">
        <f>_xludf.IFS(COUNTIF(보류목록!$C$3:$C$1000, B515)&gt;0, "-",COUNTIF(독서목록!$D$2:$D$1099, B515)=0, , COUNTIF(독서목록!$D$2:$D$1099, B515)&gt;0, COUNTIF(독서목록!$D$2:$D$1099, B515))</f>
        <v/>
      </c>
      <c r="G515" s="12" t="n"/>
      <c r="H515" s="13" t="inlineStr">
        <is>
          <t>판매</t>
        </is>
      </c>
      <c r="I515" s="13" t="inlineStr">
        <is>
          <t>판매</t>
        </is>
      </c>
      <c r="J515" s="16" t="inlineStr">
        <is>
          <t>8983927658 9788983927651</t>
        </is>
      </c>
      <c r="K515" s="17" t="inlineStr">
        <is>
          <t>https://search1.kakaocdn.net/thumb/R120x174.q85/?fname=http%3A%2F%2Ft1.daumcdn.net%2Flbook%2Fimage%2F5134354%3Ftimestamp%3D20260404120316</t>
        </is>
      </c>
    </row>
    <row r="516" ht="12.75" customHeight="1" s="118">
      <c r="A516" s="9" t="n"/>
      <c r="B516" s="10" t="inlineStr">
        <is>
          <t>해리포터와 비밀의 방 - 1</t>
        </is>
      </c>
      <c r="C516" s="10" t="inlineStr">
        <is>
          <t>조엔 K 롤링</t>
        </is>
      </c>
      <c r="D516" s="10" t="inlineStr">
        <is>
          <t>문학수첩</t>
        </is>
      </c>
      <c r="E516" s="12">
        <f>_xludf.IFS(COUNTIF(보류목록!$B$3:$B$1000, B516)&gt;0, "-",COUNTIF(독서목록!$C$2:$C$1099, B516)=0, , COUNTIF(독서목록!$C$2:$C$1099, B516)&gt;0, COUNTIF(독서목록!$C$2:$C$1099, B516))</f>
        <v/>
      </c>
      <c r="F516" s="12">
        <f>_xludf.IFS(COUNTIF(보류목록!$C$3:$C$1000, B516)&gt;0, "-",COUNTIF(독서목록!$D$2:$D$1099, B516)=0, , COUNTIF(독서목록!$D$2:$D$1099, B516)&gt;0, COUNTIF(독서목록!$D$2:$D$1099, B516))</f>
        <v/>
      </c>
      <c r="G516" s="12" t="n"/>
      <c r="H516" s="13" t="inlineStr">
        <is>
          <t>판매</t>
        </is>
      </c>
      <c r="I516" s="13" t="inlineStr">
        <is>
          <t>판매</t>
        </is>
      </c>
      <c r="J516" s="16" t="inlineStr">
        <is>
          <t>898392764X 9788983927644</t>
        </is>
      </c>
      <c r="K516" s="17" t="inlineStr">
        <is>
          <t>https://search1.kakaocdn.net/thumb/R120x174.q85/?fname=http%3A%2F%2Ft1.daumcdn.net%2Flbook%2Fimage%2F5134182%3Ftimestamp%3D20260318115704</t>
        </is>
      </c>
    </row>
    <row r="517" ht="12.75" customHeight="1" s="118">
      <c r="A517" s="9" t="n"/>
      <c r="B517" s="10" t="inlineStr">
        <is>
          <t>해리포터와 마법사의 돌 - 2</t>
        </is>
      </c>
      <c r="C517" s="10" t="inlineStr">
        <is>
          <t>조엔 K 롤링</t>
        </is>
      </c>
      <c r="D517" s="10" t="inlineStr">
        <is>
          <t>문학수첩</t>
        </is>
      </c>
      <c r="E517" s="12">
        <f>_xludf.IFS(COUNTIF(보류목록!$B$3:$B$1000, B517)&gt;0, "-",COUNTIF(독서목록!$C$2:$C$1099, B517)=0, , COUNTIF(독서목록!$C$2:$C$1099, B517)&gt;0, COUNTIF(독서목록!$C$2:$C$1099, B517))</f>
        <v/>
      </c>
      <c r="F517" s="12">
        <f>_xludf.IFS(COUNTIF(보류목록!$C$3:$C$1000, B517)&gt;0, "-",COUNTIF(독서목록!$D$2:$D$1099, B517)=0, , COUNTIF(독서목록!$D$2:$D$1099, B517)&gt;0, COUNTIF(독서목록!$D$2:$D$1099, B517))</f>
        <v/>
      </c>
      <c r="G517" s="12" t="n"/>
      <c r="H517" s="13" t="inlineStr">
        <is>
          <t>판매</t>
        </is>
      </c>
      <c r="I517" s="13" t="inlineStr">
        <is>
          <t>판매</t>
        </is>
      </c>
      <c r="J517" s="16" t="inlineStr">
        <is>
          <t>8983927631 9788983927637</t>
        </is>
      </c>
      <c r="K517" s="17" t="inlineStr">
        <is>
          <t>https://search1.kakaocdn.net/thumb/R120x174.q85/?fname=http%3A%2F%2Ft1.daumcdn.net%2Flbook%2Fimage%2F5134160%3Ftimestamp%3D20260213114421</t>
        </is>
      </c>
    </row>
    <row r="518" ht="12.75" customHeight="1" s="118">
      <c r="A518" s="9" t="n"/>
      <c r="B518" s="10" t="inlineStr">
        <is>
          <t>해리포터와 마법사의 돌 - 1</t>
        </is>
      </c>
      <c r="C518" s="10" t="inlineStr">
        <is>
          <t>조엔 K 롤링</t>
        </is>
      </c>
      <c r="D518" s="10" t="inlineStr">
        <is>
          <t>문학수첩</t>
        </is>
      </c>
      <c r="E518" s="12">
        <f>_xludf.IFS(COUNTIF(보류목록!$B$3:$B$1000, B518)&gt;0, "-",COUNTIF(독서목록!$C$2:$C$1099, B518)=0, , COUNTIF(독서목록!$C$2:$C$1099, B518)&gt;0, COUNTIF(독서목록!$C$2:$C$1099, B518))</f>
        <v/>
      </c>
      <c r="F518" s="12">
        <f>_xludf.IFS(COUNTIF(보류목록!$C$3:$C$1000, B518)&gt;0, "-",COUNTIF(독서목록!$D$2:$D$1099, B518)=0, , COUNTIF(독서목록!$D$2:$D$1099, B518)&gt;0, COUNTIF(독서목록!$D$2:$D$1099, B518))</f>
        <v/>
      </c>
      <c r="G518" s="12" t="n"/>
      <c r="H518" s="13" t="inlineStr">
        <is>
          <t>판매</t>
        </is>
      </c>
      <c r="I518" s="13" t="inlineStr">
        <is>
          <t>판매</t>
        </is>
      </c>
      <c r="J518" s="16" t="inlineStr">
        <is>
          <t>8983927623 9788983927620</t>
        </is>
      </c>
      <c r="K518" s="17" t="inlineStr">
        <is>
          <t>https://search1.kakaocdn.net/thumb/R120x174.q85/?fname=http%3A%2F%2Ft1.daumcdn.net%2Flbook%2Fimage%2F5134210%3Ftimestamp%3D20260213114421</t>
        </is>
      </c>
    </row>
    <row r="519" ht="12.75" customHeight="1" s="118">
      <c r="A519" s="9" t="n"/>
      <c r="B519" s="10" t="inlineStr">
        <is>
          <t>작은 아씨들</t>
        </is>
      </c>
      <c r="C519" s="10" t="inlineStr">
        <is>
          <t>루이자 메이 올콧</t>
        </is>
      </c>
      <c r="D519" s="10" t="inlineStr">
        <is>
          <t>인디고</t>
        </is>
      </c>
      <c r="E519" s="12">
        <f>_xludf.IFS(COUNTIF(보류목록!$B$3:$B$1000, B519)&gt;0, "-",COUNTIF(독서목록!$C$2:$C$1099, B519)=0, , COUNTIF(독서목록!$C$2:$C$1099, B519)&gt;0, COUNTIF(독서목록!$C$2:$C$1099, B519))</f>
        <v/>
      </c>
      <c r="F519" s="12">
        <f>_xludf.IFS(COUNTIF(보류목록!$C$3:$C$1000, B519)&gt;0, "-",COUNTIF(독서목록!$D$2:$D$1099, B519)=0, , COUNTIF(독서목록!$D$2:$D$1099, B519)&gt;0, COUNTIF(독서목록!$D$2:$D$1099, B519))</f>
        <v/>
      </c>
      <c r="G519" s="12" t="n"/>
      <c r="H519" s="13" t="inlineStr">
        <is>
          <t>판매</t>
        </is>
      </c>
      <c r="I519" s="13" t="inlineStr">
        <is>
          <t>판매</t>
        </is>
      </c>
      <c r="J519" s="16" t="inlineStr">
        <is>
          <t>1159350612 9791159350610</t>
        </is>
      </c>
      <c r="K519" s="17" t="inlineStr">
        <is>
          <t>https://search1.kakaocdn.net/thumb/R120x174.q85/?fname=http%3A%2F%2Ft1.daumcdn.net%2Flbook%2Fimage%2F5160618%3Ftimestamp%3D20250216123933</t>
        </is>
      </c>
    </row>
    <row r="520" ht="12.75" customHeight="1" s="118">
      <c r="A520" s="9" t="n"/>
      <c r="B520" s="10" t="inlineStr">
        <is>
          <t>빨간머리 앤</t>
        </is>
      </c>
      <c r="C520" s="10" t="inlineStr">
        <is>
          <t>루시 모드 몽고메리</t>
        </is>
      </c>
      <c r="D520" s="10" t="inlineStr">
        <is>
          <t>인디고</t>
        </is>
      </c>
      <c r="E520" s="12">
        <f>_xludf.IFS(COUNTIF(보류목록!$B$3:$B$1000, B520)&gt;0, "-",COUNTIF(독서목록!$C$2:$C$1099, B520)=0, , COUNTIF(독서목록!$C$2:$C$1099, B520)&gt;0, COUNTIF(독서목록!$C$2:$C$1099, B520))</f>
        <v/>
      </c>
      <c r="F520" s="12">
        <f>_xludf.IFS(COUNTIF(보류목록!$C$3:$C$1000, B520)&gt;0, "-",COUNTIF(독서목록!$D$2:$D$1099, B520)=0, , COUNTIF(독서목록!$D$2:$D$1099, B520)&gt;0, COUNTIF(독서목록!$D$2:$D$1099, B520))</f>
        <v/>
      </c>
      <c r="G520" s="12" t="n"/>
      <c r="H520" s="13" t="inlineStr">
        <is>
          <t>판매</t>
        </is>
      </c>
      <c r="I520" s="13" t="inlineStr">
        <is>
          <t>판매</t>
        </is>
      </c>
      <c r="J520" s="16" t="inlineStr">
        <is>
          <t>8992632819 9788992632812</t>
        </is>
      </c>
      <c r="K520" s="17" t="inlineStr">
        <is>
          <t>https://search1.kakaocdn.net/thumb/R120x174.q85/?fname=http%3A%2F%2Ft1.daumcdn.net%2Flbook%2Fimage%2F1386245%3Ftimestamp%3D20250610112814</t>
        </is>
      </c>
    </row>
    <row r="521" ht="12.75" customHeight="1" s="118">
      <c r="A521" s="9" t="n"/>
      <c r="B521" s="10" t="inlineStr">
        <is>
          <t>어린왕자</t>
        </is>
      </c>
      <c r="C521" s="10" t="inlineStr">
        <is>
          <t>생텍 쥐페리</t>
        </is>
      </c>
      <c r="D521" s="10" t="inlineStr">
        <is>
          <t>인디고</t>
        </is>
      </c>
      <c r="E521" s="12">
        <f>_xludf.IFS(COUNTIF(보류목록!$B$3:$B$1000, B521)&gt;0, "-",COUNTIF(독서목록!$C$2:$C$1099, B521)=0, , COUNTIF(독서목록!$C$2:$C$1099, B521)&gt;0, COUNTIF(독서목록!$C$2:$C$1099, B521))</f>
        <v/>
      </c>
      <c r="F521" s="12">
        <f>_xludf.IFS(COUNTIF(보류목록!$C$3:$C$1000, B521)&gt;0, "-",COUNTIF(독서목록!$D$2:$D$1099, B521)=0, , COUNTIF(독서목록!$D$2:$D$1099, B521)&gt;0, COUNTIF(독서목록!$D$2:$D$1099, B521))</f>
        <v/>
      </c>
      <c r="G521" s="12" t="n"/>
      <c r="H521" s="13" t="inlineStr">
        <is>
          <t>판매</t>
        </is>
      </c>
      <c r="I521" s="13" t="inlineStr">
        <is>
          <t>판매</t>
        </is>
      </c>
      <c r="J521" s="16" t="inlineStr">
        <is>
          <t>8995772425 9788995772423</t>
        </is>
      </c>
      <c r="K521" s="17" t="inlineStr">
        <is>
          <t>https://search1.kakaocdn.net/thumb/R120x174.q85/?fname=http%3A%2F%2Ft1.daumcdn.net%2Flbook%2Fimage%2F1448079%3Ftimestamp%3D20240906112527</t>
        </is>
      </c>
    </row>
    <row r="522" ht="12.75" customHeight="1" s="118">
      <c r="A522" s="9" t="n"/>
      <c r="B522" s="10" t="inlineStr">
        <is>
          <t>백설공주</t>
        </is>
      </c>
      <c r="C522" s="10" t="inlineStr">
        <is>
          <t>그림 형제</t>
        </is>
      </c>
      <c r="D522" s="10" t="inlineStr">
        <is>
          <t>인디고</t>
        </is>
      </c>
      <c r="E522" s="12">
        <f>_xludf.IFS(COUNTIF(보류목록!$B$3:$B$1000, B522)&gt;0, "-",COUNTIF(독서목록!$C$2:$C$1099, B522)=0, , COUNTIF(독서목록!$C$2:$C$1099, B522)&gt;0, COUNTIF(독서목록!$C$2:$C$1099, B522))</f>
        <v/>
      </c>
      <c r="F522" s="12">
        <f>_xludf.IFS(COUNTIF(보류목록!$C$3:$C$1000, B522)&gt;0, "-",COUNTIF(독서목록!$D$2:$D$1099, B522)=0, , COUNTIF(독서목록!$D$2:$D$1099, B522)&gt;0, COUNTIF(독서목록!$D$2:$D$1099, B522))</f>
        <v/>
      </c>
      <c r="G522" s="12" t="n"/>
      <c r="H522" s="13" t="inlineStr">
        <is>
          <t>판매</t>
        </is>
      </c>
      <c r="I522" s="13" t="inlineStr">
        <is>
          <t>판매</t>
        </is>
      </c>
      <c r="J522" s="16" t="inlineStr">
        <is>
          <t>8992632304 9788992632300</t>
        </is>
      </c>
      <c r="K522" s="17" t="inlineStr">
        <is>
          <t>https://search1.kakaocdn.net/thumb/R120x174.q85/?fname=http%3A%2F%2Ft1.daumcdn.net%2Flbook%2Fimage%2F1381020%3Ftimestamp%3D20220925182102</t>
        </is>
      </c>
    </row>
    <row r="523" ht="12.75" customHeight="1" s="118">
      <c r="A523" s="9" t="n"/>
      <c r="B523" s="10" t="inlineStr">
        <is>
          <t>이상한 나라의 앨리스</t>
        </is>
      </c>
      <c r="C523" s="10" t="inlineStr">
        <is>
          <t>루이스 캐럴</t>
        </is>
      </c>
      <c r="D523" s="10" t="inlineStr">
        <is>
          <t>인디고</t>
        </is>
      </c>
      <c r="E523" s="12">
        <f>_xludf.IFS(COUNTIF(보류목록!$B$3:$B$1000, B523)&gt;0, "-",COUNTIF(독서목록!$C$2:$C$1099, B523)=0, , COUNTIF(독서목록!$C$2:$C$1099, B523)&gt;0, COUNTIF(독서목록!$C$2:$C$1099, B523))</f>
        <v/>
      </c>
      <c r="F523" s="12">
        <f>_xludf.IFS(COUNTIF(보류목록!$C$3:$C$1000, B523)&gt;0, "-",COUNTIF(독서목록!$D$2:$D$1099, B523)=0, , COUNTIF(독서목록!$D$2:$D$1099, B523)&gt;0, COUNTIF(독서목록!$D$2:$D$1099, B523))</f>
        <v/>
      </c>
      <c r="G523" s="12" t="n"/>
      <c r="H523" s="13" t="inlineStr">
        <is>
          <t>판매</t>
        </is>
      </c>
      <c r="I523" s="13" t="inlineStr">
        <is>
          <t>판매</t>
        </is>
      </c>
      <c r="J523" s="16" t="inlineStr">
        <is>
          <t>8992632991 9788992632997</t>
        </is>
      </c>
      <c r="K523" s="17" t="inlineStr">
        <is>
          <t>https://search1.kakaocdn.net/thumb/R120x174.q85/?fname=http%3A%2F%2Ft1.daumcdn.net%2Flbook%2Fimage%2F1372634%3Ftimestamp%3D20221231194922</t>
        </is>
      </c>
    </row>
    <row r="524" ht="12.75" customHeight="1" s="118">
      <c r="A524" s="9" t="n"/>
      <c r="B524" s="10" t="inlineStr">
        <is>
          <t>눈의 여왕</t>
        </is>
      </c>
      <c r="C524" s="10" t="inlineStr">
        <is>
          <t>안데르센</t>
        </is>
      </c>
      <c r="D524" s="10" t="inlineStr">
        <is>
          <t>인디고</t>
        </is>
      </c>
      <c r="E524" s="12">
        <f>_xludf.IFS(COUNTIF(보류목록!$B$3:$B$1000, B524)&gt;0, "-",COUNTIF(독서목록!$C$2:$C$1099, B524)=0, , COUNTIF(독서목록!$C$2:$C$1099, B524)&gt;0, COUNTIF(독서목록!$C$2:$C$1099, B524))</f>
        <v/>
      </c>
      <c r="F524" s="12">
        <f>_xludf.IFS(COUNTIF(보류목록!$C$3:$C$1000, B524)&gt;0, "-",COUNTIF(독서목록!$D$2:$D$1099, B524)=0, , COUNTIF(독서목록!$D$2:$D$1099, B524)&gt;0, COUNTIF(독서목록!$D$2:$D$1099, B524))</f>
        <v/>
      </c>
      <c r="G524" s="12" t="n"/>
      <c r="H524" s="13" t="inlineStr">
        <is>
          <t>판매</t>
        </is>
      </c>
      <c r="I524" s="13" t="inlineStr">
        <is>
          <t>판매</t>
        </is>
      </c>
      <c r="J524" s="16" t="inlineStr">
        <is>
          <t>8992632223 9788992632225</t>
        </is>
      </c>
      <c r="K524" s="17" t="inlineStr">
        <is>
          <t>https://search1.kakaocdn.net/thumb/R120x174.q85/?fname=http%3A%2F%2Ft1.daumcdn.net%2Flbook%2Fimage%2F1380863%3Ftimestamp%3D20230106183201</t>
        </is>
      </c>
    </row>
    <row r="525" ht="12.75" customHeight="1" s="118">
      <c r="A525" s="9" t="n"/>
      <c r="B525" s="10" t="inlineStr">
        <is>
          <t>피노키오</t>
        </is>
      </c>
      <c r="C525" s="10" t="inlineStr">
        <is>
          <t>카를로 콜로디</t>
        </is>
      </c>
      <c r="D525" s="10" t="inlineStr">
        <is>
          <t>인디고</t>
        </is>
      </c>
      <c r="E525" s="12">
        <f>_xludf.IFS(COUNTIF(보류목록!$B$3:$B$1000, B525)&gt;0, "-",COUNTIF(독서목록!$C$2:$C$1099, B525)=0, , COUNTIF(독서목록!$C$2:$C$1099, B525)&gt;0, COUNTIF(독서목록!$C$2:$C$1099, B525))</f>
        <v/>
      </c>
      <c r="F525" s="12">
        <f>_xludf.IFS(COUNTIF(보류목록!$C$3:$C$1000, B525)&gt;0, "-",COUNTIF(독서목록!$D$2:$D$1099, B525)=0, , COUNTIF(독서목록!$D$2:$D$1099, B525)&gt;0, COUNTIF(독서목록!$D$2:$D$1099, B525))</f>
        <v/>
      </c>
      <c r="G525" s="12" t="n"/>
      <c r="H525" s="13" t="inlineStr">
        <is>
          <t>판매</t>
        </is>
      </c>
      <c r="I525" s="13" t="inlineStr">
        <is>
          <t>판매</t>
        </is>
      </c>
      <c r="J525" s="16" t="inlineStr">
        <is>
          <t>8992632231 9788992632232</t>
        </is>
      </c>
      <c r="K525" s="17" t="inlineStr">
        <is>
          <t>https://search1.kakaocdn.net/thumb/R120x174.q85/?fname=http%3A%2F%2Ft1.daumcdn.net%2Flbook%2Fimage%2F1382259%3Ftimestamp%3D20240208165355</t>
        </is>
      </c>
    </row>
    <row r="526" ht="12.75" customHeight="1" s="118">
      <c r="A526" s="9" t="n"/>
      <c r="B526" s="10" t="inlineStr">
        <is>
          <t>소년 짐</t>
        </is>
      </c>
      <c r="C526" s="10" t="inlineStr">
        <is>
          <t>토니 얼리</t>
        </is>
      </c>
      <c r="D526" s="10" t="inlineStr">
        <is>
          <t>문학동네</t>
        </is>
      </c>
      <c r="E526" s="12">
        <f>_xludf.IFS(COUNTIF(보류목록!$B$3:$B$1000, B526)&gt;0, "-",COUNTIF(독서목록!$C$2:$C$1099, B526)=0, , COUNTIF(독서목록!$C$2:$C$1099, B526)&gt;0, COUNTIF(독서목록!$C$2:$C$1099, B526))</f>
        <v/>
      </c>
      <c r="F526" s="12">
        <f>_xludf.IFS(COUNTIF(보류목록!$C$3:$C$1000, B526)&gt;0, "-",COUNTIF(독서목록!$D$2:$D$1099, B526)=0, , COUNTIF(독서목록!$D$2:$D$1099, B526)&gt;0, COUNTIF(독서목록!$D$2:$D$1099, B526))</f>
        <v/>
      </c>
      <c r="G526" s="12" t="n"/>
      <c r="H526" s="13" t="inlineStr">
        <is>
          <t>판매</t>
        </is>
      </c>
      <c r="I526" s="13" t="inlineStr">
        <is>
          <t>판매</t>
        </is>
      </c>
      <c r="J526" s="16" t="inlineStr">
        <is>
          <t>8954615139 9788954615136</t>
        </is>
      </c>
      <c r="K526" s="17" t="inlineStr">
        <is>
          <t>https://search1.kakaocdn.net/thumb/R120x174.q85/?fname=http%3A%2F%2Ft1.daumcdn.net%2Flbook%2Fimage%2F690829%3Ftimestamp%3D20230905200430</t>
        </is>
      </c>
    </row>
    <row r="527" ht="12.75" customHeight="1" s="118">
      <c r="A527" s="9" t="n"/>
      <c r="B527" s="10" t="inlineStr">
        <is>
          <t>백설공주에게 죽음을</t>
        </is>
      </c>
      <c r="C527" s="10" t="inlineStr">
        <is>
          <t>넬레 노이하우스</t>
        </is>
      </c>
      <c r="D527" s="10" t="inlineStr">
        <is>
          <t>북로드</t>
        </is>
      </c>
      <c r="E527" s="12">
        <f>_xludf.IFS(COUNTIF(보류목록!$B$3:$B$1000, B527)&gt;0, "-",COUNTIF(독서목록!$C$2:$C$1099, B527)=0, , COUNTIF(독서목록!$C$2:$C$1099, B527)&gt;0, COUNTIF(독서목록!$C$2:$C$1099, B527))</f>
        <v/>
      </c>
      <c r="F527" s="12">
        <f>_xludf.IFS(COUNTIF(보류목록!$C$3:$C$1000, B527)&gt;0, "-",COUNTIF(독서목록!$D$2:$D$1099, B527)=0, , COUNTIF(독서목록!$D$2:$D$1099, B527)&gt;0, COUNTIF(독서목록!$D$2:$D$1099, B527))</f>
        <v/>
      </c>
      <c r="G527" s="12" t="n"/>
      <c r="H527" s="13" t="inlineStr">
        <is>
          <t>판매</t>
        </is>
      </c>
      <c r="I527" s="13" t="inlineStr">
        <is>
          <t>판매</t>
        </is>
      </c>
      <c r="J527" s="16" t="inlineStr">
        <is>
          <t>8991239684 9788991239685</t>
        </is>
      </c>
      <c r="K527" s="19" t="inlineStr">
        <is>
          <t>https://search1.kakaocdn.net/thumb/R120x174.q85/?fname=http%3A%2F%2Ft1.daumcdn.net%2Flbook%2Fimage%2F1342848%3Ftimestamp%3D20250710110549</t>
        </is>
      </c>
    </row>
    <row r="528" ht="12.75" customHeight="1" s="118">
      <c r="A528" s="9" t="n"/>
      <c r="B528" s="10" t="inlineStr">
        <is>
          <t>살인자들의 섬</t>
        </is>
      </c>
      <c r="C528" s="10" t="inlineStr">
        <is>
          <t>데니스 루헤인</t>
        </is>
      </c>
      <c r="D528" s="10" t="inlineStr">
        <is>
          <t>황금 가지</t>
        </is>
      </c>
      <c r="E528" s="12">
        <f>_xludf.IFS(COUNTIF(보류목록!$B$3:$B$1000, B528)&gt;0, "-",COUNTIF(독서목록!$C$2:$C$1099, B528)=0, , COUNTIF(독서목록!$C$2:$C$1099, B528)&gt;0, COUNTIF(독서목록!$C$2:$C$1099, B528))</f>
        <v/>
      </c>
      <c r="F528" s="12">
        <f>_xludf.IFS(COUNTIF(보류목록!$C$3:$C$1000, B528)&gt;0, "-",COUNTIF(독서목록!$D$2:$D$1099, B528)=0, , COUNTIF(독서목록!$D$2:$D$1099, B528)&gt;0, COUNTIF(독서목록!$D$2:$D$1099, B528))</f>
        <v/>
      </c>
      <c r="G528" s="12" t="n"/>
      <c r="H528" s="13" t="inlineStr">
        <is>
          <t>판매</t>
        </is>
      </c>
      <c r="I528" s="13" t="inlineStr">
        <is>
          <t>판매</t>
        </is>
      </c>
      <c r="J528" s="16" t="inlineStr">
        <is>
          <t>8982738320 9788982738326</t>
        </is>
      </c>
      <c r="K528" s="17" t="inlineStr">
        <is>
          <t>https://search1.kakaocdn.net/thumb/R120x174.q85/?fname=http%3A%2F%2Ft1.daumcdn.net%2Flbook%2Fimage%2F1157548%3Ftimestamp%3D20260206110633</t>
        </is>
      </c>
    </row>
    <row r="529" ht="12.75" customHeight="1" s="118">
      <c r="A529" s="9" t="n"/>
      <c r="B529" s="10" t="inlineStr">
        <is>
          <t>죽음본능</t>
        </is>
      </c>
      <c r="C529" s="10" t="inlineStr">
        <is>
          <t>제드 러벤펠드</t>
        </is>
      </c>
      <c r="D529" s="10" t="inlineStr">
        <is>
          <t>현대문학</t>
        </is>
      </c>
      <c r="E529" s="12">
        <f>_xludf.IFS(COUNTIF(보류목록!$B$3:$B$1000, B529)&gt;0, "-",COUNTIF(독서목록!$C$2:$C$1099, B529)=0, , COUNTIF(독서목록!$C$2:$C$1099, B529)&gt;0, COUNTIF(독서목록!$C$2:$C$1099, B529))</f>
        <v/>
      </c>
      <c r="F529" s="12">
        <f>_xludf.IFS(COUNTIF(보류목록!$C$3:$C$1000, B529)&gt;0, "-",COUNTIF(독서목록!$D$2:$D$1099, B529)=0, , COUNTIF(독서목록!$D$2:$D$1099, B529)&gt;0, COUNTIF(독서목록!$D$2:$D$1099, B529))</f>
        <v/>
      </c>
      <c r="G529" s="12" t="inlineStr">
        <is>
          <t>2011.12.11</t>
        </is>
      </c>
      <c r="H529" s="13" t="inlineStr">
        <is>
          <t>판매</t>
        </is>
      </c>
      <c r="I529" s="13" t="inlineStr">
        <is>
          <t>판매</t>
        </is>
      </c>
      <c r="J529" s="16" t="inlineStr">
        <is>
          <t>8972754986 9788972754985</t>
        </is>
      </c>
      <c r="K529" s="17" t="inlineStr">
        <is>
          <t>https://search1.kakaocdn.net/thumb/R120x174.q85/?fname=http%3A%2F%2Ft1.daumcdn.net%2Flbook%2Fimage%2F1007214%3Ftimestamp%3D20220726172313</t>
        </is>
      </c>
    </row>
    <row r="530" ht="12.75" customHeight="1" s="118">
      <c r="A530" s="9" t="n"/>
      <c r="B530" s="10" t="inlineStr">
        <is>
          <t>살인의 해석</t>
        </is>
      </c>
      <c r="C530" s="10" t="inlineStr">
        <is>
          <t>제드 러벤펠드</t>
        </is>
      </c>
      <c r="D530" s="10" t="inlineStr">
        <is>
          <t>비채</t>
        </is>
      </c>
      <c r="E530" s="12">
        <f>_xludf.IFS(COUNTIF(보류목록!$B$3:$B$1000, B530)&gt;0, "-",COUNTIF(독서목록!$C$2:$C$1099, B530)=0, , COUNTIF(독서목록!$C$2:$C$1099, B530)&gt;0, COUNTIF(독서목록!$C$2:$C$1099, B530))</f>
        <v/>
      </c>
      <c r="F530" s="12">
        <f>_xludf.IFS(COUNTIF(보류목록!$C$3:$C$1000, B530)&gt;0, "-",COUNTIF(독서목록!$D$2:$D$1099, B530)=0, , COUNTIF(독서목록!$D$2:$D$1099, B530)&gt;0, COUNTIF(독서목록!$D$2:$D$1099, B530))</f>
        <v/>
      </c>
      <c r="G530" s="12" t="n"/>
      <c r="H530" s="13" t="inlineStr">
        <is>
          <t>판매</t>
        </is>
      </c>
      <c r="I530" s="13" t="inlineStr">
        <is>
          <t>판매</t>
        </is>
      </c>
      <c r="J530" s="16" t="inlineStr">
        <is>
          <t>8992036299 9788992036290</t>
        </is>
      </c>
      <c r="K530" s="17" t="inlineStr">
        <is>
          <t>https://search1.kakaocdn.net/thumb/R120x174.q85/?fname=http%3A%2F%2Ft1.daumcdn.net%2Flbook%2Fimage%2F1360696%3Ftimestamp%3D20220826213611</t>
        </is>
      </c>
    </row>
    <row r="531" ht="12.75" customHeight="1" s="118">
      <c r="A531" s="9" t="n"/>
      <c r="B531" s="10" t="inlineStr">
        <is>
          <t>백야행 - 3</t>
        </is>
      </c>
      <c r="C531" s="10" t="inlineStr">
        <is>
          <t>히가시노 게이고</t>
        </is>
      </c>
      <c r="D531" s="10" t="inlineStr">
        <is>
          <t>태동출판사</t>
        </is>
      </c>
      <c r="E531" s="12">
        <f>_xludf.IFS(COUNTIF(보류목록!$B$3:$B$1000, B531)&gt;0, "-",COUNTIF(독서목록!$C$2:$C$1099, B531)=0, , COUNTIF(독서목록!$C$2:$C$1099, B531)&gt;0, COUNTIF(독서목록!$C$2:$C$1099, B531))</f>
        <v/>
      </c>
      <c r="F531" s="12">
        <f>_xludf.IFS(COUNTIF(보류목록!$C$3:$C$1000, B531)&gt;0, "-",COUNTIF(독서목록!$D$2:$D$1099, B531)=0, , COUNTIF(독서목록!$D$2:$D$1099, B531)&gt;0, COUNTIF(독서목록!$D$2:$D$1099, B531))</f>
        <v/>
      </c>
      <c r="G531" s="12" t="n"/>
      <c r="H531" s="13" t="inlineStr">
        <is>
          <t>판매</t>
        </is>
      </c>
      <c r="I531" s="13" t="inlineStr">
        <is>
          <t>판매</t>
        </is>
      </c>
      <c r="J531" s="16" t="inlineStr">
        <is>
          <t>8984970263 9788984970267</t>
        </is>
      </c>
      <c r="K531" s="17" t="inlineStr">
        <is>
          <t>https://search1.kakaocdn.net/thumb/R120x174.q85/?fname=http%3A%2F%2Ft1.daumcdn.net%2Flbook%2Fimage%2F1199113%3Ftimestamp%3D20221107224814</t>
        </is>
      </c>
    </row>
    <row r="532" ht="12.75" customHeight="1" s="118">
      <c r="A532" s="9" t="n"/>
      <c r="B532" s="10" t="inlineStr">
        <is>
          <t>백야행 - 2</t>
        </is>
      </c>
      <c r="C532" s="10" t="inlineStr">
        <is>
          <t>히가시노 게이고</t>
        </is>
      </c>
      <c r="D532" s="10" t="inlineStr">
        <is>
          <t>태동출판사</t>
        </is>
      </c>
      <c r="E532" s="12">
        <f>_xludf.IFS(COUNTIF(보류목록!$B$3:$B$1000, B532)&gt;0, "-",COUNTIF(독서목록!$C$2:$C$1099, B532)=0, , COUNTIF(독서목록!$C$2:$C$1099, B532)&gt;0, COUNTIF(독서목록!$C$2:$C$1099, B532))</f>
        <v/>
      </c>
      <c r="F532" s="12">
        <f>_xludf.IFS(COUNTIF(보류목록!$C$3:$C$1000, B532)&gt;0, "-",COUNTIF(독서목록!$D$2:$D$1099, B532)=0, , COUNTIF(독서목록!$D$2:$D$1099, B532)&gt;0, COUNTIF(독서목록!$D$2:$D$1099, B532))</f>
        <v/>
      </c>
      <c r="G532" s="12" t="n"/>
      <c r="H532" s="13" t="inlineStr">
        <is>
          <t>판매</t>
        </is>
      </c>
      <c r="I532" s="13" t="inlineStr">
        <is>
          <t>판매</t>
        </is>
      </c>
      <c r="J532" s="16" t="inlineStr">
        <is>
          <t>8984970255 9788984970250</t>
        </is>
      </c>
      <c r="K532" s="17" t="inlineStr">
        <is>
          <t>https://search1.kakaocdn.net/thumb/R120x174.q85/?fname=http%3A%2F%2Ft1.daumcdn.net%2Flbook%2Fimage%2F1199780%3Ftimestamp%3D20221107221832</t>
        </is>
      </c>
    </row>
    <row r="533" ht="12.75" customHeight="1" s="118">
      <c r="A533" s="9" t="n"/>
      <c r="B533" s="10" t="inlineStr">
        <is>
          <t>백야행 - 1</t>
        </is>
      </c>
      <c r="C533" s="10" t="inlineStr">
        <is>
          <t>히가시노 게이고</t>
        </is>
      </c>
      <c r="D533" s="10" t="inlineStr">
        <is>
          <t>태동출판사</t>
        </is>
      </c>
      <c r="E533" s="12">
        <f>_xludf.IFS(COUNTIF(보류목록!$B$3:$B$1000, B533)&gt;0, "-",COUNTIF(독서목록!$C$2:$C$1099, B533)=0, , COUNTIF(독서목록!$C$2:$C$1099, B533)&gt;0, COUNTIF(독서목록!$C$2:$C$1099, B533))</f>
        <v/>
      </c>
      <c r="F533" s="12">
        <f>_xludf.IFS(COUNTIF(보류목록!$C$3:$C$1000, B533)&gt;0, "-",COUNTIF(독서목록!$D$2:$D$1099, B533)=0, , COUNTIF(독서목록!$D$2:$D$1099, B533)&gt;0, COUNTIF(독서목록!$D$2:$D$1099, B533))</f>
        <v/>
      </c>
      <c r="G533" s="12" t="n"/>
      <c r="H533" s="13" t="inlineStr">
        <is>
          <t>판매</t>
        </is>
      </c>
      <c r="I533" s="13" t="inlineStr">
        <is>
          <t>판매</t>
        </is>
      </c>
      <c r="J533" s="16" t="inlineStr">
        <is>
          <t>8984970247 9788984970243</t>
        </is>
      </c>
      <c r="K533" s="17" t="inlineStr">
        <is>
          <t>https://search1.kakaocdn.net/thumb/R120x174.q85/?fname=http%3A%2F%2Ft1.daumcdn.net%2Flbook%2Fimage%2F1199035%3Ftimestamp%3D20221107224956</t>
        </is>
      </c>
    </row>
    <row r="534" ht="12.75" customHeight="1" s="118">
      <c r="A534" s="9" t="n"/>
      <c r="B534" s="10" t="inlineStr">
        <is>
          <t>한순간 바람이 되어라 - 3</t>
        </is>
      </c>
      <c r="C534" s="10" t="inlineStr">
        <is>
          <t>사토 다카코</t>
        </is>
      </c>
      <c r="D534" s="36" t="inlineStr">
        <is>
          <t>노블마인</t>
        </is>
      </c>
      <c r="E534" s="12">
        <f>_xludf.IFS(COUNTIF(보류목록!$B$3:$B$1000, B534)&gt;0, "-",COUNTIF(독서목록!$C$2:$C$1099, B534)=0, , COUNTIF(독서목록!$C$2:$C$1099, B534)&gt;0, COUNTIF(독서목록!$C$2:$C$1099, B534))</f>
        <v/>
      </c>
      <c r="F534" s="12">
        <f>_xludf.IFS(COUNTIF(보류목록!$C$3:$C$1000, B534)&gt;0, "-",COUNTIF(독서목록!$D$2:$D$1099, B534)=0, , COUNTIF(독서목록!$D$2:$D$1099, B534)&gt;0, COUNTIF(독서목록!$D$2:$D$1099, B534))</f>
        <v/>
      </c>
      <c r="G534" s="12" t="n"/>
      <c r="H534" s="13" t="inlineStr">
        <is>
          <t>판매</t>
        </is>
      </c>
      <c r="I534" s="13" t="inlineStr">
        <is>
          <t>판매</t>
        </is>
      </c>
      <c r="J534" s="16" t="inlineStr">
        <is>
          <t>8901072491 9788901072494</t>
        </is>
      </c>
      <c r="K534" s="17" t="inlineStr">
        <is>
          <t>https://search1.kakaocdn.net/thumb/R120x174.q85/?fname=http%3A%2F%2Ft1.daumcdn.net%2Flbook%2Fimage%2F346611%3Ftimestamp%3D20211114174332</t>
        </is>
      </c>
    </row>
    <row r="535" ht="12.75" customHeight="1" s="118">
      <c r="A535" s="9" t="n"/>
      <c r="B535" s="10" t="inlineStr">
        <is>
          <t>한순간 바람이 되어라 - 2</t>
        </is>
      </c>
      <c r="C535" s="10" t="inlineStr">
        <is>
          <t>사토 다카코</t>
        </is>
      </c>
      <c r="D535" s="10" t="inlineStr">
        <is>
          <t>노블애인</t>
        </is>
      </c>
      <c r="E535" s="12">
        <f>_xludf.IFS(COUNTIF(보류목록!$B$3:$B$1000, B535)&gt;0, "-",COUNTIF(독서목록!$C$2:$C$1099, B535)=0, , COUNTIF(독서목록!$C$2:$C$1099, B535)&gt;0, COUNTIF(독서목록!$C$2:$C$1099, B535))</f>
        <v/>
      </c>
      <c r="F535" s="12">
        <f>_xludf.IFS(COUNTIF(보류목록!$C$3:$C$1000, B535)&gt;0, "-",COUNTIF(독서목록!$D$2:$D$1099, B535)=0, , COUNTIF(독서목록!$D$2:$D$1099, B535)&gt;0, COUNTIF(독서목록!$D$2:$D$1099, B535))</f>
        <v/>
      </c>
      <c r="G535" s="12" t="n"/>
      <c r="H535" s="13" t="inlineStr">
        <is>
          <t>판매</t>
        </is>
      </c>
      <c r="I535" s="13" t="inlineStr">
        <is>
          <t>판매</t>
        </is>
      </c>
      <c r="J535" s="124" t="inlineStr">
        <is>
          <t>8901072491 9788901072487</t>
        </is>
      </c>
      <c r="K535" s="19" t="inlineStr">
        <is>
          <t>https://search1.kakaocdn.net/thumb/R120x174.q85/?fname=http%3A%2F%2Ft1.daumcdn.net%2Flbook%2Fimage%2F346611%3Ftimestamp%3D20211114174332</t>
        </is>
      </c>
    </row>
    <row r="536" ht="12.75" customHeight="1" s="118">
      <c r="A536" s="9" t="n"/>
      <c r="B536" s="10" t="inlineStr">
        <is>
          <t>한순간 바람이 되어라 - 1</t>
        </is>
      </c>
      <c r="C536" s="10" t="inlineStr">
        <is>
          <t>사토 다카코</t>
        </is>
      </c>
      <c r="D536" s="10" t="inlineStr">
        <is>
          <t>노블애인</t>
        </is>
      </c>
      <c r="E536" s="12">
        <f>_xludf.IFS(COUNTIF(보류목록!$B$3:$B$1000, B536)&gt;0, "-",COUNTIF(독서목록!$C$2:$C$1099, B536)=0, , COUNTIF(독서목록!$C$2:$C$1099, B536)&gt;0, COUNTIF(독서목록!$C$2:$C$1099, B536))</f>
        <v/>
      </c>
      <c r="F536" s="12">
        <f>_xludf.IFS(COUNTIF(보류목록!$C$3:$C$1000, B536)&gt;0, "-",COUNTIF(독서목록!$D$2:$D$1099, B536)=0, , COUNTIF(독서목록!$D$2:$D$1099, B536)&gt;0, COUNTIF(독서목록!$D$2:$D$1099, B536))</f>
        <v/>
      </c>
      <c r="G536" s="12" t="n"/>
      <c r="H536" s="13" t="inlineStr">
        <is>
          <t>판매</t>
        </is>
      </c>
      <c r="I536" s="13" t="inlineStr">
        <is>
          <t>판매</t>
        </is>
      </c>
      <c r="J536" s="16" t="inlineStr">
        <is>
          <t>8901072475 9788901072470</t>
        </is>
      </c>
      <c r="K536" s="19" t="inlineStr">
        <is>
          <t>https://search1.kakaocdn.net/thumb/R120x174.q85/?fname=http%3A%2F%2Ft1.daumcdn.net%2Flbook%2Fimage%2F346340%3Ftimestamp%3D20230414151915</t>
        </is>
      </c>
    </row>
    <row r="537" ht="12.75" customHeight="1" s="118">
      <c r="A537" s="9" t="n"/>
      <c r="B537" s="10" t="inlineStr">
        <is>
          <t>규장각 각신들의 나날 - 2</t>
        </is>
      </c>
      <c r="C537" s="10" t="inlineStr">
        <is>
          <t>전은궐</t>
        </is>
      </c>
      <c r="D537" s="10" t="inlineStr">
        <is>
          <t>파란미디어</t>
        </is>
      </c>
      <c r="E537" s="12">
        <f>_xludf.IFS(COUNTIF(보류목록!$B$3:$B$1000, B537)&gt;0, "-",COUNTIF(독서목록!$C$2:$C$1099, B537)=0, , COUNTIF(독서목록!$C$2:$C$1099, B537)&gt;0, COUNTIF(독서목록!$C$2:$C$1099, B537))</f>
        <v/>
      </c>
      <c r="F537" s="12">
        <f>_xludf.IFS(COUNTIF(보류목록!$C$3:$C$1000, B537)&gt;0, "-",COUNTIF(독서목록!$D$2:$D$1099, B537)=0, , COUNTIF(독서목록!$D$2:$D$1099, B537)&gt;0, COUNTIF(독서목록!$D$2:$D$1099, B537))</f>
        <v/>
      </c>
      <c r="G537" s="12" t="n"/>
      <c r="H537" s="13" t="inlineStr">
        <is>
          <t>판매</t>
        </is>
      </c>
      <c r="I537" s="13" t="inlineStr">
        <is>
          <t>판매</t>
        </is>
      </c>
      <c r="J537" s="16" t="inlineStr">
        <is>
          <t>8963710033 9788963710037</t>
        </is>
      </c>
      <c r="K537" s="19" t="inlineStr">
        <is>
          <t>https://search1.kakaocdn.net/thumb/R120x174.q85/?fname=http%3A%2F%2Ft1.daumcdn.net%2Flbook%2Fimage%2F889781%3Ftimestamp%3D20240801112345</t>
        </is>
      </c>
    </row>
    <row r="538" ht="12.75" customHeight="1" s="118">
      <c r="A538" s="9" t="n"/>
      <c r="B538" s="10" t="inlineStr">
        <is>
          <t>규장각 각신들의 나날 - 1</t>
        </is>
      </c>
      <c r="C538" s="10" t="inlineStr">
        <is>
          <t>전은궐</t>
        </is>
      </c>
      <c r="D538" s="10" t="inlineStr">
        <is>
          <t>파란미디어</t>
        </is>
      </c>
      <c r="E538" s="12">
        <f>_xludf.IFS(COUNTIF(보류목록!$B$3:$B$1000, B538)&gt;0, "-",COUNTIF(독서목록!$C$2:$C$1099, B538)=0, , COUNTIF(독서목록!$C$2:$C$1099, B538)&gt;0, COUNTIF(독서목록!$C$2:$C$1099, B538))</f>
        <v/>
      </c>
      <c r="F538" s="12">
        <f>_xludf.IFS(COUNTIF(보류목록!$C$3:$C$1000, B538)&gt;0, "-",COUNTIF(독서목록!$D$2:$D$1099, B538)=0, , COUNTIF(독서목록!$D$2:$D$1099, B538)&gt;0, COUNTIF(독서목록!$D$2:$D$1099, B538))</f>
        <v/>
      </c>
      <c r="G538" s="12" t="n"/>
      <c r="H538" s="13" t="inlineStr">
        <is>
          <t>판매</t>
        </is>
      </c>
      <c r="I538" s="13" t="inlineStr">
        <is>
          <t>판매</t>
        </is>
      </c>
      <c r="J538" s="16" t="inlineStr">
        <is>
          <t>8963710025 9788963710020</t>
        </is>
      </c>
      <c r="K538" s="19" t="inlineStr">
        <is>
          <t>https://search1.kakaocdn.net/thumb/R120x174.q85/?fname=http%3A%2F%2Ft1.daumcdn.net%2Flbook%2Fimage%2F887872%3Ftimestamp%3D20240801112345</t>
        </is>
      </c>
    </row>
    <row r="539" ht="12.75" customHeight="1" s="118">
      <c r="A539" s="9" t="n"/>
      <c r="B539" s="10" t="inlineStr">
        <is>
          <t>성균관 유생들의 나날 - 2</t>
        </is>
      </c>
      <c r="C539" s="10" t="inlineStr">
        <is>
          <t>전은궐</t>
        </is>
      </c>
      <c r="D539" s="10" t="inlineStr">
        <is>
          <t>파란미디어</t>
        </is>
      </c>
      <c r="E539" s="12">
        <f>_xludf.IFS(COUNTIF(보류목록!$B$3:$B$1000, B539)&gt;0, "-",COUNTIF(독서목록!$C$2:$C$1099, B539)=0, , COUNTIF(독서목록!$C$2:$C$1099, B539)&gt;0, COUNTIF(독서목록!$C$2:$C$1099, B539))</f>
        <v/>
      </c>
      <c r="F539" s="12">
        <f>_xludf.IFS(COUNTIF(보류목록!$C$3:$C$1000, B539)&gt;0, "-",COUNTIF(독서목록!$D$2:$D$1099, B539)=0, , COUNTIF(독서목록!$D$2:$D$1099, B539)&gt;0, COUNTIF(독서목록!$D$2:$D$1099, B539))</f>
        <v/>
      </c>
      <c r="G539" s="12" t="n"/>
      <c r="H539" s="13" t="inlineStr">
        <is>
          <t>판매</t>
        </is>
      </c>
      <c r="I539" s="13" t="inlineStr">
        <is>
          <t>판매</t>
        </is>
      </c>
      <c r="J539" s="16" t="inlineStr">
        <is>
          <t>8991396690 9788991396692</t>
        </is>
      </c>
      <c r="K539" s="19" t="inlineStr">
        <is>
          <t>https://search1.kakaocdn.net/thumb/R120x174.q85/?fname=http%3A%2F%2Ft1.daumcdn.net%2Flbook%2Fimage%2F1346686%3Ftimestamp%3D20221107223851</t>
        </is>
      </c>
    </row>
    <row r="540" ht="12.75" customHeight="1" s="118">
      <c r="A540" s="9" t="n"/>
      <c r="B540" s="10" t="inlineStr">
        <is>
          <t>성균관 유생들의 나날 - 1</t>
        </is>
      </c>
      <c r="C540" s="10" t="inlineStr">
        <is>
          <t>전은궐</t>
        </is>
      </c>
      <c r="D540" s="10" t="inlineStr">
        <is>
          <t>파란미디어</t>
        </is>
      </c>
      <c r="E540" s="12">
        <f>_xludf.IFS(COUNTIF(보류목록!$B$3:$B$1000, B540)&gt;0, "-",COUNTIF(독서목록!$C$2:$C$1099, B540)=0, , COUNTIF(독서목록!$C$2:$C$1099, B540)&gt;0, COUNTIF(독서목록!$C$2:$C$1099, B540))</f>
        <v/>
      </c>
      <c r="F540" s="12">
        <f>_xludf.IFS(COUNTIF(보류목록!$C$3:$C$1000, B540)&gt;0, "-",COUNTIF(독서목록!$D$2:$D$1099, B540)=0, , COUNTIF(독서목록!$D$2:$D$1099, B540)&gt;0, COUNTIF(독서목록!$D$2:$D$1099, B540))</f>
        <v/>
      </c>
      <c r="G540" s="12" t="n"/>
      <c r="H540" s="13" t="inlineStr">
        <is>
          <t>판매</t>
        </is>
      </c>
      <c r="I540" s="13" t="inlineStr">
        <is>
          <t>판매</t>
        </is>
      </c>
      <c r="J540" s="16" t="inlineStr">
        <is>
          <t>896371005X 9788963710051</t>
        </is>
      </c>
      <c r="K540" s="17" t="inlineStr">
        <is>
          <t>https://search1.kakaocdn.net/thumb/R120x174.q85/?fname=http%3A%2F%2Ft1.daumcdn.net%2Flbook%2Fimage%2F890212%3Ftimestamp%3D20251218110956</t>
        </is>
      </c>
    </row>
    <row r="541" ht="12.75" customHeight="1" s="118">
      <c r="A541" s="9" t="n"/>
      <c r="B541" s="10" t="inlineStr">
        <is>
          <t>빵과 장미</t>
        </is>
      </c>
      <c r="C541" s="10" t="inlineStr">
        <is>
          <t>캐서린 패터슨</t>
        </is>
      </c>
      <c r="D541" s="10" t="inlineStr">
        <is>
          <t>문학동네</t>
        </is>
      </c>
      <c r="E541" s="12">
        <f>_xludf.IFS(COUNTIF(보류목록!$B$3:$B$1000, B541)&gt;0, "-",COUNTIF(독서목록!$C$2:$C$1099, B541)=0, , COUNTIF(독서목록!$C$2:$C$1099, B541)&gt;0, COUNTIF(독서목록!$C$2:$C$1099, B541))</f>
        <v/>
      </c>
      <c r="F541" s="12">
        <f>_xludf.IFS(COUNTIF(보류목록!$C$3:$C$1000, B541)&gt;0, "-",COUNTIF(독서목록!$D$2:$D$1099, B541)=0, , COUNTIF(독서목록!$D$2:$D$1099, B541)&gt;0, COUNTIF(독서목록!$D$2:$D$1099, B541))</f>
        <v/>
      </c>
      <c r="G541" s="12" t="n"/>
      <c r="H541" s="13" t="inlineStr">
        <is>
          <t>판매</t>
        </is>
      </c>
      <c r="I541" s="13" t="inlineStr">
        <is>
          <t>판매</t>
        </is>
      </c>
      <c r="J541" s="16" t="inlineStr">
        <is>
          <t>8954612113 9788954612111</t>
        </is>
      </c>
      <c r="K541" s="17" t="inlineStr">
        <is>
          <t>https://search1.kakaocdn.net/thumb/R120x174.q85/?fname=http%3A%2F%2Ft1.daumcdn.net%2Flbook%2Fimage%2F690604%3Ftimestamp%3D20260323110814</t>
        </is>
      </c>
    </row>
    <row r="542" ht="12.75" customHeight="1" s="118">
      <c r="A542" s="9" t="n"/>
      <c r="B542" s="10" t="inlineStr">
        <is>
          <t>모던 팥쥐전</t>
        </is>
      </c>
      <c r="C542" s="10" t="inlineStr">
        <is>
          <t>조선희</t>
        </is>
      </c>
      <c r="D542" s="10" t="inlineStr">
        <is>
          <t>노블마인</t>
        </is>
      </c>
      <c r="E542" s="12">
        <f>_xludf.IFS(COUNTIF(보류목록!$B$3:$B$1000, B542)&gt;0, "-",COUNTIF(독서목록!$C$2:$C$1099, B542)=0, , COUNTIF(독서목록!$C$2:$C$1099, B542)&gt;0, COUNTIF(독서목록!$C$2:$C$1099, B542))</f>
        <v/>
      </c>
      <c r="F542" s="12">
        <f>_xludf.IFS(COUNTIF(보류목록!$C$3:$C$1000, B542)&gt;0, "-",COUNTIF(독서목록!$D$2:$D$1099, B542)=0, , COUNTIF(독서목록!$D$2:$D$1099, B542)&gt;0, COUNTIF(독서목록!$D$2:$D$1099, B542))</f>
        <v/>
      </c>
      <c r="G542" s="12" t="n"/>
      <c r="H542" s="13" t="inlineStr">
        <is>
          <t>판매</t>
        </is>
      </c>
      <c r="I542" s="13" t="inlineStr">
        <is>
          <t>판매</t>
        </is>
      </c>
      <c r="J542" s="16" t="inlineStr">
        <is>
          <t>8901109050 9788901109053</t>
        </is>
      </c>
      <c r="K542" s="17" t="inlineStr">
        <is>
          <t>https://search1.kakaocdn.net/thumb/R120x174.q85/?fname=http%3A%2F%2Ft1.daumcdn.net%2Flbook%2Fimage%2F348482%3Ftimestamp%3D20240405114153</t>
        </is>
      </c>
    </row>
    <row r="543" ht="12.75" customHeight="1" s="118">
      <c r="A543" s="9" t="n"/>
      <c r="B543" s="10" t="inlineStr">
        <is>
          <t>모비딕</t>
        </is>
      </c>
      <c r="C543" s="10" t="inlineStr">
        <is>
          <t>허먼 멜빌</t>
        </is>
      </c>
      <c r="D543" s="10" t="inlineStr">
        <is>
          <t>작가정신</t>
        </is>
      </c>
      <c r="E543" s="12">
        <f>_xludf.IFS(COUNTIF(보류목록!$B$3:$B$1000, B543)&gt;0, "-",COUNTIF(독서목록!$C$2:$C$1099, B543)=0, , COUNTIF(독서목록!$C$2:$C$1099, B543)&gt;0, COUNTIF(독서목록!$C$2:$C$1099, B543))</f>
        <v/>
      </c>
      <c r="F543" s="12">
        <f>_xludf.IFS(COUNTIF(보류목록!$C$3:$C$1000, B543)&gt;0, "-",COUNTIF(독서목록!$D$2:$D$1099, B543)=0, , COUNTIF(독서목록!$D$2:$D$1099, B543)&gt;0, COUNTIF(독서목록!$D$2:$D$1099, B543))</f>
        <v/>
      </c>
      <c r="G543" s="12" t="n"/>
      <c r="H543" s="13" t="inlineStr">
        <is>
          <t>판매</t>
        </is>
      </c>
      <c r="I543" s="13" t="inlineStr">
        <is>
          <t>판매</t>
        </is>
      </c>
      <c r="J543" s="16" t="inlineStr">
        <is>
          <t>1160262241 9791160262247</t>
        </is>
      </c>
      <c r="K543" s="17" t="inlineStr">
        <is>
          <t>https://search1.kakaocdn.net/thumb/R120x174.q85/?fname=http%3A%2F%2Ft1.daumcdn.net%2Flbook%2Fimage%2F5666585%3Ftimestamp%3D20240718164924</t>
        </is>
      </c>
    </row>
    <row r="544" ht="12.75" customHeight="1" s="118">
      <c r="A544" s="9" t="n"/>
      <c r="B544" s="10" t="inlineStr">
        <is>
          <t>조선 상고사</t>
        </is>
      </c>
      <c r="C544" s="10" t="inlineStr">
        <is>
          <t>신채호</t>
        </is>
      </c>
      <c r="D544" s="10" t="inlineStr">
        <is>
          <t>북북서</t>
        </is>
      </c>
      <c r="E544" s="12">
        <f>_xludf.IFS(COUNTIF(보류목록!$B$3:$B$1000, B544)&gt;0, "-",COUNTIF(독서목록!$C$2:$C$1099, B544)=0, , COUNTIF(독서목록!$C$2:$C$1099, B544)&gt;0, COUNTIF(독서목록!$C$2:$C$1099, B544))</f>
        <v/>
      </c>
      <c r="F544" s="12">
        <f>_xludf.IFS(COUNTIF(보류목록!$C$3:$C$1000, B544)&gt;0, "-",COUNTIF(독서목록!$D$2:$D$1099, B544)=0, , COUNTIF(독서목록!$D$2:$D$1099, B544)&gt;0, COUNTIF(독서목록!$D$2:$D$1099, B544))</f>
        <v/>
      </c>
      <c r="G544" s="12" t="n"/>
      <c r="H544" s="13" t="inlineStr">
        <is>
          <t>판매</t>
        </is>
      </c>
      <c r="I544" s="13" t="inlineStr">
        <is>
          <t>판매</t>
        </is>
      </c>
      <c r="J544" s="16" t="inlineStr">
        <is>
          <t>8992977174 9788992977173</t>
        </is>
      </c>
      <c r="K544" s="17" t="inlineStr">
        <is>
          <t>https://search1.kakaocdn.net/thumb/R120x174.q85/?fname=http%3A%2F%2Ft1.daumcdn.net%2Flbook%2Fimage%2F1390626%3Ftimestamp%3D20221025125200</t>
        </is>
      </c>
    </row>
    <row r="545" ht="12.75" customHeight="1" s="118">
      <c r="A545" s="9" t="n"/>
      <c r="B545" s="10" t="inlineStr">
        <is>
          <t>최근 100년의 세계사</t>
        </is>
      </c>
      <c r="C545" s="10" t="inlineStr">
        <is>
          <t>우에무라 미쓰오</t>
        </is>
      </c>
      <c r="D545" s="10" t="inlineStr">
        <is>
          <t>네오비전</t>
        </is>
      </c>
      <c r="E545" s="12">
        <f>_xludf.IFS(COUNTIF(보류목록!$B$3:$B$1000, B545)&gt;0, "-",COUNTIF(독서목록!$C$2:$C$1099, B545)=0, , COUNTIF(독서목록!$C$2:$C$1099, B545)&gt;0, COUNTIF(독서목록!$C$2:$C$1099, B545))</f>
        <v/>
      </c>
      <c r="F545" s="12">
        <f>_xludf.IFS(COUNTIF(보류목록!$C$3:$C$1000, B545)&gt;0, "-",COUNTIF(독서목록!$D$2:$D$1099, B545)=0, , COUNTIF(독서목록!$D$2:$D$1099, B545)&gt;0, COUNTIF(독서목록!$D$2:$D$1099, B545))</f>
        <v/>
      </c>
      <c r="G545" s="12" t="n"/>
      <c r="H545" s="13" t="inlineStr">
        <is>
          <t>판매</t>
        </is>
      </c>
      <c r="I545" s="13" t="inlineStr">
        <is>
          <t>판매</t>
        </is>
      </c>
      <c r="J545" s="16" t="inlineStr">
        <is>
          <t>8990669227 9788990669223</t>
        </is>
      </c>
      <c r="K545" s="17" t="inlineStr">
        <is>
          <t>https://search1.kakaocdn.net/thumb/R120x174.q85/?fname=http%3A%2F%2Ft1.daumcdn.net%2Flbook%2Fimage%2F1333504%3Ftimestamp%3D20190127215513</t>
        </is>
      </c>
    </row>
    <row r="546" ht="12.75" customHeight="1" s="118">
      <c r="A546" s="9" t="n"/>
      <c r="B546" s="10" t="inlineStr">
        <is>
          <t>과자, 내 아이를 해치는 달콤한 유혹</t>
        </is>
      </c>
      <c r="C546" s="10" t="inlineStr">
        <is>
          <t>안병수</t>
        </is>
      </c>
      <c r="D546" s="10" t="inlineStr">
        <is>
          <t>국일미디어</t>
        </is>
      </c>
      <c r="E546" s="12">
        <f>_xludf.IFS(COUNTIF(보류목록!$B$3:$B$1000, B546)&gt;0, "-",COUNTIF(독서목록!$C$2:$C$1099, B546)=0, , COUNTIF(독서목록!$C$2:$C$1099, B546)&gt;0, COUNTIF(독서목록!$C$2:$C$1099, B546))</f>
        <v/>
      </c>
      <c r="F546" s="12">
        <f>_xludf.IFS(COUNTIF(보류목록!$C$3:$C$1000, B546)&gt;0, "-",COUNTIF(독서목록!$D$2:$D$1099, B546)=0, , COUNTIF(독서목록!$D$2:$D$1099, B546)&gt;0, COUNTIF(독서목록!$D$2:$D$1099, B546))</f>
        <v/>
      </c>
      <c r="G546" s="12" t="n"/>
      <c r="H546" s="13" t="inlineStr">
        <is>
          <t>판매</t>
        </is>
      </c>
      <c r="I546" s="13" t="inlineStr">
        <is>
          <t>판매</t>
        </is>
      </c>
      <c r="J546" s="16" t="inlineStr">
        <is>
          <t>8974253992 9788974253998</t>
        </is>
      </c>
      <c r="K546" s="17" t="inlineStr">
        <is>
          <t>https://search1.kakaocdn.net/thumb/R120x174.q85/?fname=http%3A%2F%2Ft1.daumcdn.net%2Flbook%2Fimage%2F1036004%3Ftimestamp%3D20260109111018</t>
        </is>
      </c>
    </row>
    <row r="547" ht="12.75" customHeight="1" s="118">
      <c r="A547" s="9" t="n"/>
      <c r="B547" s="10" t="inlineStr">
        <is>
          <t>조선 왕조실록</t>
        </is>
      </c>
      <c r="C547" s="10" t="inlineStr">
        <is>
          <t>박영규</t>
        </is>
      </c>
      <c r="D547" s="11" t="inlineStr">
        <is>
          <t>웅진지식하우스</t>
        </is>
      </c>
      <c r="E547" s="12">
        <f>_xludf.IFS(COUNTIF(보류목록!$B$3:$B$1000, B547)&gt;0, "-",COUNTIF(독서목록!$C$2:$C$1099, B547)=0, , COUNTIF(독서목록!$C$2:$C$1099, B547)&gt;0, COUNTIF(독서목록!$C$2:$C$1099, B547))</f>
        <v/>
      </c>
      <c r="F547" s="12">
        <f>_xludf.IFS(COUNTIF(보류목록!$C$3:$C$1000, B547)&gt;0, "-",COUNTIF(독서목록!$D$2:$D$1099, B547)=0, , COUNTIF(독서목록!$D$2:$D$1099, B547)&gt;0, COUNTIF(독서목록!$D$2:$D$1099, B547))</f>
        <v/>
      </c>
      <c r="G547" s="12" t="inlineStr">
        <is>
          <t>2011.12.06</t>
        </is>
      </c>
      <c r="H547" s="13" t="inlineStr">
        <is>
          <t>판매</t>
        </is>
      </c>
      <c r="I547" s="13" t="inlineStr">
        <is>
          <t>판매</t>
        </is>
      </c>
      <c r="J547" s="16" t="inlineStr">
        <is>
          <t>890121492X 9788901214924</t>
        </is>
      </c>
      <c r="K547" s="17" t="inlineStr">
        <is>
          <t>https://search1.kakaocdn.net/thumb/R120x174.q85/?fname=http%3A%2F%2Ft1.daumcdn.net%2Flbook%2Fimage%2F351134%3Ftimestamp%3D20260404110641</t>
        </is>
      </c>
    </row>
    <row r="548" ht="12.75" customHeight="1" s="118">
      <c r="A548" s="9" t="n"/>
      <c r="B548" s="10" t="inlineStr">
        <is>
          <t>고려 왕조실록</t>
        </is>
      </c>
      <c r="C548" s="10" t="inlineStr">
        <is>
          <t>박영규</t>
        </is>
      </c>
      <c r="D548" s="11" t="inlineStr">
        <is>
          <t>웅진닷컴</t>
        </is>
      </c>
      <c r="E548" s="12">
        <f>_xludf.IFS(COUNTIF(보류목록!$B$3:$B$1000, B548)&gt;0, "-",COUNTIF(독서목록!$C$2:$C$1099, B548)=0, , COUNTIF(독서목록!$C$2:$C$1099, B548)&gt;0, COUNTIF(독서목록!$C$2:$C$1099, B548))</f>
        <v/>
      </c>
      <c r="F548" s="12">
        <f>_xludf.IFS(COUNTIF(보류목록!$C$3:$C$1000, B548)&gt;0, "-",COUNTIF(독서목록!$D$2:$D$1099, B548)=0, , COUNTIF(독서목록!$D$2:$D$1099, B548)&gt;0, COUNTIF(독서목록!$D$2:$D$1099, B548))</f>
        <v/>
      </c>
      <c r="G548" s="12" t="inlineStr">
        <is>
          <t>2011.12.06</t>
        </is>
      </c>
      <c r="H548" s="13" t="inlineStr">
        <is>
          <t>판매</t>
        </is>
      </c>
      <c r="I548" s="13" t="inlineStr">
        <is>
          <t>판매</t>
        </is>
      </c>
      <c r="J548" s="16" t="inlineStr">
        <is>
          <t>8901047535 9788901047539</t>
        </is>
      </c>
      <c r="K548" s="19" t="inlineStr">
        <is>
          <t>https://search1.kakaocdn.net/thumb/R120x174.q85/?fname=http%3A%2F%2Ft1.daumcdn.net%2Flbook%2Fimage%2F344965%3Ftimestamp%3D20260124111021</t>
        </is>
      </c>
    </row>
    <row r="549" ht="12.75" customHeight="1" s="118">
      <c r="A549" s="9" t="n"/>
      <c r="B549" s="10" t="inlineStr">
        <is>
          <t>신라 왕조실록</t>
        </is>
      </c>
      <c r="C549" s="10" t="inlineStr">
        <is>
          <t>박영규</t>
        </is>
      </c>
      <c r="D549" s="11" t="inlineStr">
        <is>
          <t>웅진닷컴</t>
        </is>
      </c>
      <c r="E549" s="12">
        <f>_xludf.IFS(COUNTIF(보류목록!$B$3:$B$1000, B549)&gt;0, "-",COUNTIF(독서목록!$C$2:$C$1099, B549)=0, , COUNTIF(독서목록!$C$2:$C$1099, B549)&gt;0, COUNTIF(독서목록!$C$2:$C$1099, B549))</f>
        <v/>
      </c>
      <c r="F549" s="12">
        <f>_xludf.IFS(COUNTIF(보류목록!$C$3:$C$1000, B549)&gt;0, "-",COUNTIF(독서목록!$D$2:$D$1099, B549)=0, , COUNTIF(독서목록!$D$2:$D$1099, B549)&gt;0, COUNTIF(독서목록!$D$2:$D$1099, B549))</f>
        <v/>
      </c>
      <c r="G549" s="12" t="inlineStr">
        <is>
          <t>2011.12.06</t>
        </is>
      </c>
      <c r="H549" s="13" t="inlineStr">
        <is>
          <t>판매</t>
        </is>
      </c>
      <c r="I549" s="13" t="inlineStr">
        <is>
          <t>판매</t>
        </is>
      </c>
      <c r="J549" s="16" t="inlineStr">
        <is>
          <t>8901047527 9788901047522</t>
        </is>
      </c>
      <c r="K549" s="19" t="inlineStr">
        <is>
          <t>https://search1.kakaocdn.net/thumb/R120x174.q85/?fname=http%3A%2F%2Ft1.daumcdn.net%2Flbook%2Fimage%2F344960%3Ftimestamp%3D20250425170118</t>
        </is>
      </c>
    </row>
    <row r="550" ht="12.75" customHeight="1" s="118">
      <c r="A550" s="9" t="n"/>
      <c r="B550" s="10" t="inlineStr">
        <is>
          <t>백제 왕조실록</t>
        </is>
      </c>
      <c r="C550" s="10" t="inlineStr">
        <is>
          <t>박영규</t>
        </is>
      </c>
      <c r="D550" s="11" t="inlineStr">
        <is>
          <t>웅진닷컴</t>
        </is>
      </c>
      <c r="E550" s="12">
        <f>_xludf.IFS(COUNTIF(보류목록!$B$3:$B$1000, B550)&gt;0, "-",COUNTIF(독서목록!$C$2:$C$1099, B550)=0, , COUNTIF(독서목록!$C$2:$C$1099, B550)&gt;0, COUNTIF(독서목록!$C$2:$C$1099, B550))</f>
        <v/>
      </c>
      <c r="F550" s="12">
        <f>_xludf.IFS(COUNTIF(보류목록!$C$3:$C$1000, B550)&gt;0, "-",COUNTIF(독서목록!$D$2:$D$1099, B550)=0, , COUNTIF(독서목록!$D$2:$D$1099, B550)&gt;0, COUNTIF(독서목록!$D$2:$D$1099, B550))</f>
        <v/>
      </c>
      <c r="G550" s="12" t="inlineStr">
        <is>
          <t>2011.12.06</t>
        </is>
      </c>
      <c r="H550" s="13" t="inlineStr">
        <is>
          <t>판매</t>
        </is>
      </c>
      <c r="I550" s="13" t="inlineStr">
        <is>
          <t>판매</t>
        </is>
      </c>
      <c r="J550" s="16" t="inlineStr">
        <is>
          <t>8901047519 9788901047515</t>
        </is>
      </c>
      <c r="K550" s="19" t="inlineStr">
        <is>
          <t>https://search1.kakaocdn.net/thumb/R120x174.q85/?fname=http%3A%2F%2Ft1.daumcdn.net%2Flbook%2Fimage%2F344955%3Ftimestamp%3D20240403114556</t>
        </is>
      </c>
    </row>
    <row r="551" ht="12.75" customHeight="1" s="118">
      <c r="A551" s="9" t="n"/>
      <c r="B551" s="10" t="inlineStr">
        <is>
          <t>고구려 왕조실록</t>
        </is>
      </c>
      <c r="C551" s="10" t="inlineStr">
        <is>
          <t>박영규</t>
        </is>
      </c>
      <c r="D551" s="11" t="inlineStr">
        <is>
          <t>웅진지식하우스</t>
        </is>
      </c>
      <c r="E551" s="12">
        <f>_xludf.IFS(COUNTIF(보류목록!$B$3:$B$1000, B551)&gt;0, "-",COUNTIF(독서목록!$C$2:$C$1099, B551)=0, , COUNTIF(독서목록!$C$2:$C$1099, B551)&gt;0, COUNTIF(독서목록!$C$2:$C$1099, B551))</f>
        <v/>
      </c>
      <c r="F551" s="12">
        <f>_xludf.IFS(COUNTIF(보류목록!$C$3:$C$1000, B551)&gt;0, "-",COUNTIF(독서목록!$D$2:$D$1099, B551)=0, , COUNTIF(독서목록!$D$2:$D$1099, B551)&gt;0, COUNTIF(독서목록!$D$2:$D$1099, B551))</f>
        <v/>
      </c>
      <c r="G551" s="12" t="inlineStr">
        <is>
          <t>2011.12.06</t>
        </is>
      </c>
      <c r="H551" s="13" t="inlineStr">
        <is>
          <t>판매</t>
        </is>
      </c>
      <c r="I551" s="13" t="inlineStr">
        <is>
          <t>판매</t>
        </is>
      </c>
      <c r="J551" s="16" t="inlineStr">
        <is>
          <t>8901047500 9788901047508</t>
        </is>
      </c>
      <c r="K551" s="19" t="inlineStr">
        <is>
          <t>https://search1.kakaocdn.net/thumb/R120x174.q85/?fname=http%3A%2F%2Ft1.daumcdn.net%2Flbook%2Fimage%2F344950%3Ftimestamp%3D20231028175523</t>
        </is>
      </c>
    </row>
    <row r="552" ht="12.75" customHeight="1" s="118">
      <c r="A552" s="9" t="n"/>
      <c r="B552" s="10" t="inlineStr">
        <is>
          <t>빈센트 반고흐</t>
        </is>
      </c>
      <c r="C552" s="10" t="inlineStr">
        <is>
          <t>빈센트 반 고흐</t>
        </is>
      </c>
      <c r="D552" s="10" t="inlineStr">
        <is>
          <t>생각의 나무</t>
        </is>
      </c>
      <c r="E552" s="12">
        <f>_xludf.IFS(COUNTIF(보류목록!$B$3:$B$1000, B552)&gt;0, "-",COUNTIF(독서목록!$C$2:$C$1099, B552)=0, , COUNTIF(독서목록!$C$2:$C$1099, B552)&gt;0, COUNTIF(독서목록!$C$2:$C$1099, B552))</f>
        <v/>
      </c>
      <c r="F552" s="12">
        <f>_xludf.IFS(COUNTIF(보류목록!$C$3:$C$1000, B552)&gt;0, "-",COUNTIF(독서목록!$D$2:$D$1099, B552)=0, , COUNTIF(독서목록!$D$2:$D$1099, B552)&gt;0, COUNTIF(독서목록!$D$2:$D$1099, B552))</f>
        <v/>
      </c>
      <c r="G552" s="12" t="n"/>
      <c r="H552" s="13" t="inlineStr">
        <is>
          <t>판매</t>
        </is>
      </c>
      <c r="I552" s="13" t="inlineStr">
        <is>
          <t>판매</t>
        </is>
      </c>
      <c r="J552" s="16" t="inlineStr">
        <is>
          <t>8984987972 9788984987975</t>
        </is>
      </c>
      <c r="K552" s="17" t="inlineStr">
        <is>
          <t>https://search1.kakaocdn.net/thumb/R120x174.q85/?fname=http%3A%2F%2Ft1.daumcdn.net%2Flbook%2Fimage%2F1203183%3Ftimestamp%3D20221108001347</t>
        </is>
      </c>
    </row>
    <row r="553" ht="12.75" customHeight="1" s="118">
      <c r="A553" s="9" t="n"/>
      <c r="B553" s="10" t="inlineStr">
        <is>
          <t>신 - 3</t>
        </is>
      </c>
      <c r="C553" s="10" t="inlineStr">
        <is>
          <t>베르나르 베르베르</t>
        </is>
      </c>
      <c r="D553" s="10" t="inlineStr">
        <is>
          <t>열린책들</t>
        </is>
      </c>
      <c r="E553" s="12">
        <f>_xludf.IFS(COUNTIF(보류목록!$B$3:$B$1000, B553)&gt;0, "-",COUNTIF(독서목록!$C$2:$C$1099, B553)=0, , COUNTIF(독서목록!$C$2:$C$1099, B553)&gt;0, COUNTIF(독서목록!$C$2:$C$1099, B553))</f>
        <v/>
      </c>
      <c r="F553" s="12">
        <f>_xludf.IFS(COUNTIF(보류목록!$C$3:$C$1000, B553)&gt;0, "-",COUNTIF(독서목록!$D$2:$D$1099, B553)=0, , COUNTIF(독서목록!$D$2:$D$1099, B553)&gt;0, COUNTIF(독서목록!$D$2:$D$1099, B553))</f>
        <v/>
      </c>
      <c r="G553" s="12" t="n"/>
      <c r="H553" s="13" t="inlineStr">
        <is>
          <t>판매</t>
        </is>
      </c>
      <c r="I553" s="13" t="inlineStr">
        <is>
          <t>판매</t>
        </is>
      </c>
      <c r="J553" s="16" t="inlineStr">
        <is>
          <t>8932924074 9788932924076</t>
        </is>
      </c>
      <c r="K553" s="17" t="inlineStr">
        <is>
          <t>https://search1.kakaocdn.net/thumb/R120x174.q85/?fname=http%3A%2F%2Ft1.daumcdn.net%2Flbook%2Fimage%2F6545781%3Ftimestamp%3D20240215222036</t>
        </is>
      </c>
    </row>
    <row r="554" ht="12.75" customHeight="1" s="118">
      <c r="A554" s="9" t="n"/>
      <c r="B554" s="10" t="inlineStr">
        <is>
          <t>신 - 2</t>
        </is>
      </c>
      <c r="C554" s="10" t="inlineStr">
        <is>
          <t>베르나르 베르베르</t>
        </is>
      </c>
      <c r="D554" s="10" t="inlineStr">
        <is>
          <t>열린책들</t>
        </is>
      </c>
      <c r="E554" s="12">
        <f>_xludf.IFS(COUNTIF(보류목록!$B$3:$B$1000, B554)&gt;0, "-",COUNTIF(독서목록!$C$2:$C$1099, B554)=0, , COUNTIF(독서목록!$C$2:$C$1099, B554)&gt;0, COUNTIF(독서목록!$C$2:$C$1099, B554))</f>
        <v/>
      </c>
      <c r="F554" s="12">
        <f>_xludf.IFS(COUNTIF(보류목록!$C$3:$C$1000, B554)&gt;0, "-",COUNTIF(독서목록!$D$2:$D$1099, B554)=0, , COUNTIF(독서목록!$D$2:$D$1099, B554)&gt;0, COUNTIF(독서목록!$D$2:$D$1099, B554))</f>
        <v/>
      </c>
      <c r="G554" s="12" t="n"/>
      <c r="H554" s="13" t="inlineStr">
        <is>
          <t>판매</t>
        </is>
      </c>
      <c r="I554" s="13" t="inlineStr">
        <is>
          <t>판매</t>
        </is>
      </c>
      <c r="J554" s="16" t="inlineStr">
        <is>
          <t>8932924066 9788932924069</t>
        </is>
      </c>
      <c r="K554" s="17" t="inlineStr">
        <is>
          <t>https://search1.kakaocdn.net/thumb/R120x174.q85/?fname=http%3A%2F%2Ft1.daumcdn.net%2Flbook%2Fimage%2F6545483%3Ftimestamp%3D20240126164825</t>
        </is>
      </c>
    </row>
    <row r="555" ht="12.75" customHeight="1" s="118">
      <c r="A555" s="9" t="n"/>
      <c r="B555" s="10" t="inlineStr">
        <is>
          <t>신 - 1</t>
        </is>
      </c>
      <c r="C555" s="10" t="inlineStr">
        <is>
          <t>베르나르 베르베르</t>
        </is>
      </c>
      <c r="D555" s="10" t="inlineStr">
        <is>
          <t>열린책들</t>
        </is>
      </c>
      <c r="E555" s="12">
        <f>_xludf.IFS(COUNTIF(보류목록!$B$3:$B$1000, B555)&gt;0, "-",COUNTIF(독서목록!$C$2:$C$1099, B555)=0, , COUNTIF(독서목록!$C$2:$C$1099, B555)&gt;0, COUNTIF(독서목록!$C$2:$C$1099, B555))</f>
        <v/>
      </c>
      <c r="F555" s="12">
        <f>_xludf.IFS(COUNTIF(보류목록!$C$3:$C$1000, B555)&gt;0, "-",COUNTIF(독서목록!$D$2:$D$1099, B555)=0, , COUNTIF(독서목록!$D$2:$D$1099, B555)&gt;0, COUNTIF(독서목록!$D$2:$D$1099, B555))</f>
        <v/>
      </c>
      <c r="G555" s="12" t="n"/>
      <c r="H555" s="13" t="inlineStr">
        <is>
          <t>판매</t>
        </is>
      </c>
      <c r="I555" s="13" t="inlineStr">
        <is>
          <t>판매</t>
        </is>
      </c>
      <c r="J555" s="16" t="inlineStr">
        <is>
          <t>8932924058 9788932924052</t>
        </is>
      </c>
      <c r="K555" s="17" t="inlineStr">
        <is>
          <t>https://search1.kakaocdn.net/thumb/R120x174.q85/?fname=http%3A%2F%2Ft1.daumcdn.net%2Flbook%2Fimage%2F6545171%3Ftimestamp%3D20240531153540</t>
        </is>
      </c>
    </row>
    <row r="556" ht="12.75" customHeight="1" s="118">
      <c r="A556" s="9" t="n"/>
      <c r="B556" s="10" t="inlineStr">
        <is>
          <t>종이 여자</t>
        </is>
      </c>
      <c r="C556" s="10" t="inlineStr">
        <is>
          <t>기욤 뮈소</t>
        </is>
      </c>
      <c r="D556" s="10" t="inlineStr">
        <is>
          <t>밝은세상</t>
        </is>
      </c>
      <c r="E556" s="12">
        <f>_xludf.IFS(COUNTIF(보류목록!$B$3:$B$1000, B556)&gt;0, "-",COUNTIF(독서목록!$C$2:$C$1099, B556)=0, , COUNTIF(독서목록!$C$2:$C$1099, B556)&gt;0, COUNTIF(독서목록!$C$2:$C$1099, B556))</f>
        <v/>
      </c>
      <c r="F556" s="12">
        <f>_xludf.IFS(COUNTIF(보류목록!$C$3:$C$1000, B556)&gt;0, "-",COUNTIF(독서목록!$D$2:$D$1099, B556)=0, , COUNTIF(독서목록!$D$2:$D$1099, B556)&gt;0, COUNTIF(독서목록!$D$2:$D$1099, B556))</f>
        <v/>
      </c>
      <c r="G556" s="12" t="n"/>
      <c r="H556" s="13" t="inlineStr">
        <is>
          <t>판매</t>
        </is>
      </c>
      <c r="I556" s="13" t="inlineStr">
        <is>
          <t>판매</t>
        </is>
      </c>
      <c r="J556" s="16" t="inlineStr">
        <is>
          <t>8984371076 9788984371071</t>
        </is>
      </c>
      <c r="K556" s="17" t="inlineStr">
        <is>
          <t>https://search1.kakaocdn.net/thumb/R120x174.q85/?fname=http%3A%2F%2Ft1.daumcdn.net%2Flbook%2Fimage%2F1185398%3Ftimestamp%3D20240703112534</t>
        </is>
      </c>
    </row>
    <row r="557" ht="12.75" customHeight="1" s="118">
      <c r="A557" s="9" t="n"/>
      <c r="B557" s="10" t="inlineStr">
        <is>
          <t>구해줘</t>
        </is>
      </c>
      <c r="C557" s="10" t="inlineStr">
        <is>
          <t>기욤 뮈소</t>
        </is>
      </c>
      <c r="D557" s="10" t="inlineStr">
        <is>
          <t>밝은세상</t>
        </is>
      </c>
      <c r="E557" s="12">
        <f>_xludf.IFS(COUNTIF(보류목록!$B$3:$B$1000, B557)&gt;0, "-",COUNTIF(독서목록!$C$2:$C$1099, B557)=0, , COUNTIF(독서목록!$C$2:$C$1099, B557)&gt;0, COUNTIF(독서목록!$C$2:$C$1099, B557))</f>
        <v/>
      </c>
      <c r="F557" s="12">
        <f>_xludf.IFS(COUNTIF(보류목록!$C$3:$C$1000, B557)&gt;0, "-",COUNTIF(독서목록!$D$2:$D$1099, B557)=0, , COUNTIF(독서목록!$D$2:$D$1099, B557)&gt;0, COUNTIF(독서목록!$D$2:$D$1099, B557))</f>
        <v/>
      </c>
      <c r="G557" s="12" t="n"/>
      <c r="H557" s="13" t="inlineStr">
        <is>
          <t>판매</t>
        </is>
      </c>
      <c r="I557" s="13" t="inlineStr">
        <is>
          <t>판매</t>
        </is>
      </c>
      <c r="J557" s="16" t="inlineStr">
        <is>
          <t>8984370754 9788984370753</t>
        </is>
      </c>
      <c r="K557" s="17" t="inlineStr">
        <is>
          <t>https://search1.kakaocdn.net/thumb/R120x174.q85/?fname=http%3A%2F%2Ft1.daumcdn.net%2Flbook%2Fimage%2F1187452%3Ftimestamp%3D20251121110838</t>
        </is>
      </c>
    </row>
    <row r="558" ht="12.75" customHeight="1" s="118">
      <c r="A558" s="9" t="n"/>
      <c r="B558" s="10" t="inlineStr">
        <is>
          <t>돈 까밀로와 빼뽀네</t>
        </is>
      </c>
      <c r="C558" s="10" t="inlineStr">
        <is>
          <t>조반니노 과레스키</t>
        </is>
      </c>
      <c r="D558" s="10" t="inlineStr">
        <is>
          <t>민서출판사</t>
        </is>
      </c>
      <c r="E558" s="12">
        <f>_xludf.IFS(COUNTIF(보류목록!$B$3:$B$1000, B558)&gt;0, "-",COUNTIF(독서목록!$C$2:$C$1099, B558)=0, , COUNTIF(독서목록!$C$2:$C$1099, B558)&gt;0, COUNTIF(독서목록!$C$2:$C$1099, B558))</f>
        <v/>
      </c>
      <c r="F558" s="12">
        <f>_xludf.IFS(COUNTIF(보류목록!$C$3:$C$1000, B558)&gt;0, "-",COUNTIF(독서목록!$D$2:$D$1099, B558)=0, , COUNTIF(독서목록!$D$2:$D$1099, B558)&gt;0, COUNTIF(독서목록!$D$2:$D$1099, B558))</f>
        <v/>
      </c>
      <c r="G558" s="12" t="n"/>
      <c r="H558" s="13" t="inlineStr">
        <is>
          <t>판매</t>
        </is>
      </c>
      <c r="I558" s="13" t="inlineStr">
        <is>
          <t>판매</t>
        </is>
      </c>
      <c r="J558" s="16" t="inlineStr">
        <is>
          <t>8942220029 9788942220021</t>
        </is>
      </c>
      <c r="K558" s="17" t="inlineStr">
        <is>
          <t>https://search1.kakaocdn.net/thumb/R120x174.q85/?fname=http%3A%2F%2Ft1.daumcdn.net%2Flbook%2Fimage%2F83405%3Ftimestamp%3D20251205121419</t>
        </is>
      </c>
    </row>
    <row r="559" ht="12.75" customHeight="1" s="118">
      <c r="A559" s="9" t="n"/>
      <c r="B559" s="10" t="inlineStr">
        <is>
          <t>마음을 리셋할 때 읽으면 좋은 71가지 어드바이스</t>
        </is>
      </c>
      <c r="C559" s="10" t="inlineStr">
        <is>
          <t>사이토 시게타</t>
        </is>
      </c>
      <c r="D559" s="10" t="inlineStr">
        <is>
          <t>지식여행</t>
        </is>
      </c>
      <c r="E559" s="12">
        <f>_xludf.IFS(COUNTIF(보류목록!$B$3:$B$1000, B559)&gt;0, "-",COUNTIF(독서목록!$C$2:$C$1099, B559)=0, , COUNTIF(독서목록!$C$2:$C$1099, B559)&gt;0, COUNTIF(독서목록!$C$2:$C$1099, B559))</f>
        <v/>
      </c>
      <c r="F559" s="12">
        <f>_xludf.IFS(COUNTIF(보류목록!$C$3:$C$1000, B559)&gt;0, "-",COUNTIF(독서목록!$D$2:$D$1099, B559)=0, , COUNTIF(독서목록!$D$2:$D$1099, B559)&gt;0, COUNTIF(독서목록!$D$2:$D$1099, B559))</f>
        <v/>
      </c>
      <c r="G559" s="12" t="n"/>
      <c r="H559" s="13" t="inlineStr">
        <is>
          <t>판매</t>
        </is>
      </c>
      <c r="I559" s="13" t="inlineStr">
        <is>
          <t>판매</t>
        </is>
      </c>
      <c r="J559" s="16" t="inlineStr">
        <is>
          <t>8990054907 9788990054906</t>
        </is>
      </c>
      <c r="K559" s="17" t="inlineStr">
        <is>
          <t>https://search1.kakaocdn.net/thumb/R120x174.q85/?fname=http%3A%2F%2Ft1.daumcdn.net%2Flbook%2Fimage%2F1314087%3Ftimestamp%3D20260116110729</t>
        </is>
      </c>
    </row>
    <row r="560" ht="12.75" customHeight="1" s="118">
      <c r="A560" s="9" t="n"/>
      <c r="B560" s="10" t="inlineStr">
        <is>
          <t>헬가 게버트의 그림 동화</t>
        </is>
      </c>
      <c r="C560" s="10" t="inlineStr">
        <is>
          <t>헬가 게버트</t>
        </is>
      </c>
      <c r="D560" s="10" t="inlineStr">
        <is>
          <t>샘터</t>
        </is>
      </c>
      <c r="E560" s="12">
        <f>_xludf.IFS(COUNTIF(보류목록!$B$3:$B$1000, B560)&gt;0, "-",COUNTIF(독서목록!$C$2:$C$1099, B560)=0, , COUNTIF(독서목록!$C$2:$C$1099, B560)&gt;0, COUNTIF(독서목록!$C$2:$C$1099, B560))</f>
        <v/>
      </c>
      <c r="F560" s="12">
        <f>_xludf.IFS(COUNTIF(보류목록!$C$3:$C$1000, B560)&gt;0, "-",COUNTIF(독서목록!$D$2:$D$1099, B560)=0, , COUNTIF(독서목록!$D$2:$D$1099, B560)&gt;0, COUNTIF(독서목록!$D$2:$D$1099, B560))</f>
        <v/>
      </c>
      <c r="G560" s="12" t="n"/>
      <c r="H560" s="13" t="inlineStr">
        <is>
          <t>판매</t>
        </is>
      </c>
      <c r="I560" s="13" t="inlineStr">
        <is>
          <t>판매</t>
        </is>
      </c>
      <c r="J560" s="16" t="inlineStr">
        <is>
          <t>8946400870 9788946400870</t>
        </is>
      </c>
      <c r="K560" s="17" t="inlineStr">
        <is>
          <t>https://search1.kakaocdn.net/thumb/R120x174.q85/?fname=http%3A%2F%2Ft1.daumcdn.net%2Flbook%2Fimage%2F602912%3Ftimestamp%3D20230329170926</t>
        </is>
      </c>
    </row>
    <row r="561" ht="12.75" customHeight="1" s="118">
      <c r="A561" s="9" t="n"/>
      <c r="B561" s="10" t="inlineStr">
        <is>
          <t>소울메이트</t>
        </is>
      </c>
      <c r="C561" s="10" t="inlineStr">
        <is>
          <t>무라카미 하루키</t>
        </is>
      </c>
      <c r="D561" s="10" t="inlineStr">
        <is>
          <t>세시</t>
        </is>
      </c>
      <c r="E561" s="12">
        <f>_xludf.IFS(COUNTIF(보류목록!$B$3:$B$1000, B561)&gt;0, "-",COUNTIF(독서목록!$C$2:$C$1099, B561)=0, , COUNTIF(독서목록!$C$2:$C$1099, B561)&gt;0, COUNTIF(독서목록!$C$2:$C$1099, B561))</f>
        <v/>
      </c>
      <c r="F561" s="12">
        <f>_xludf.IFS(COUNTIF(보류목록!$C$3:$C$1000, B561)&gt;0, "-",COUNTIF(독서목록!$D$2:$D$1099, B561)=0, , COUNTIF(독서목록!$D$2:$D$1099, B561)&gt;0, COUNTIF(독서목록!$D$2:$D$1099, B561))</f>
        <v/>
      </c>
      <c r="G561" s="12" t="n"/>
      <c r="H561" s="13" t="inlineStr">
        <is>
          <t>판매</t>
        </is>
      </c>
      <c r="I561" s="13" t="inlineStr">
        <is>
          <t>판매</t>
        </is>
      </c>
      <c r="J561" s="16" t="inlineStr">
        <is>
          <t>8985982346 9788985982344</t>
        </is>
      </c>
      <c r="K561" s="17" t="inlineStr">
        <is>
          <t>https://search1.kakaocdn.net/thumb/R120x174.q85/?fname=http%3A%2F%2Ft1.daumcdn.net%2Flbook%2Fimage%2F1223821%3Ftimestamp%3D20200314134113</t>
        </is>
      </c>
    </row>
    <row r="562" ht="12.75" customHeight="1" s="118">
      <c r="A562" s="9" t="n"/>
      <c r="B562" s="10" t="inlineStr">
        <is>
          <t>달팽이 식당</t>
        </is>
      </c>
      <c r="C562" s="10" t="inlineStr">
        <is>
          <t>오가와 이토</t>
        </is>
      </c>
      <c r="D562" s="10" t="inlineStr">
        <is>
          <t>북폴리오</t>
        </is>
      </c>
      <c r="E562" s="12">
        <f>_xludf.IFS(COUNTIF(보류목록!$B$3:$B$1000, B562)&gt;0, "-",COUNTIF(독서목록!$C$2:$C$1099, B562)=0, , COUNTIF(독서목록!$C$2:$C$1099, B562)&gt;0, COUNTIF(독서목록!$C$2:$C$1099, B562))</f>
        <v/>
      </c>
      <c r="F562" s="12">
        <f>_xludf.IFS(COUNTIF(보류목록!$C$3:$C$1000, B562)&gt;0, "-",COUNTIF(독서목록!$D$2:$D$1099, B562)=0, , COUNTIF(독서목록!$D$2:$D$1099, B562)&gt;0, COUNTIF(독서목록!$D$2:$D$1099, B562))</f>
        <v/>
      </c>
      <c r="G562" s="12" t="n"/>
      <c r="H562" s="13" t="inlineStr">
        <is>
          <t>판매</t>
        </is>
      </c>
      <c r="I562" s="13" t="inlineStr">
        <is>
          <t>판매</t>
        </is>
      </c>
      <c r="J562" s="16" t="inlineStr">
        <is>
          <t>8937832674 9788937832673</t>
        </is>
      </c>
      <c r="K562" s="17" t="inlineStr">
        <is>
          <t>https://search1.kakaocdn.net/thumb/R120x174.q85/?fname=http%3A%2F%2Ft1.daumcdn.net%2Flbook%2Fimage%2F545655%3Ftimestamp%3D20220922042111</t>
        </is>
      </c>
    </row>
    <row r="563" ht="12.75" customHeight="1" s="118">
      <c r="A563" s="9" t="n"/>
      <c r="B563" s="10" t="inlineStr">
        <is>
          <t>인간의 증명</t>
        </is>
      </c>
      <c r="C563" s="10" t="inlineStr">
        <is>
          <t>모리무라 세이치</t>
        </is>
      </c>
      <c r="D563" s="10" t="inlineStr">
        <is>
          <t>해문</t>
        </is>
      </c>
      <c r="E563" s="12">
        <f>_xludf.IFS(COUNTIF(보류목록!$B$3:$B$1000, B563)&gt;0, "-",COUNTIF(독서목록!$C$2:$C$1099, B563)=0, , COUNTIF(독서목록!$C$2:$C$1099, B563)&gt;0, COUNTIF(독서목록!$C$2:$C$1099, B563))</f>
        <v/>
      </c>
      <c r="F563" s="12">
        <f>_xludf.IFS(COUNTIF(보류목록!$C$3:$C$1000, B563)&gt;0, "-",COUNTIF(독서목록!$D$2:$D$1099, B563)=0, , COUNTIF(독서목록!$D$2:$D$1099, B563)&gt;0, COUNTIF(독서목록!$D$2:$D$1099, B563))</f>
        <v/>
      </c>
      <c r="G563" s="12" t="n"/>
      <c r="H563" s="13" t="inlineStr">
        <is>
          <t>판매</t>
        </is>
      </c>
      <c r="I563" s="13" t="inlineStr">
        <is>
          <t>판매</t>
        </is>
      </c>
      <c r="J563" s="16" t="inlineStr">
        <is>
          <t>8938205126 9788938205124</t>
        </is>
      </c>
      <c r="K563" s="17" t="inlineStr">
        <is>
          <t>https://search1.kakaocdn.net/thumb/R120x174.q85/?fname=http%3A%2F%2Ft1.daumcdn.net%2Flbook%2Fimage%2F554237%3Ftimestamp%3D20250702153854</t>
        </is>
      </c>
    </row>
    <row r="564" ht="12.75" customHeight="1" s="118">
      <c r="A564" s="9" t="n"/>
      <c r="B564" s="10" t="inlineStr">
        <is>
          <t>사치코 서점</t>
        </is>
      </c>
      <c r="C564" s="10" t="inlineStr">
        <is>
          <t>슈카와 미나토</t>
        </is>
      </c>
      <c r="D564" s="10" t="inlineStr">
        <is>
          <t>북스토리</t>
        </is>
      </c>
      <c r="E564" s="12">
        <f>_xludf.IFS(COUNTIF(보류목록!$B$3:$B$1000, B564)&gt;0, "-",COUNTIF(독서목록!$C$2:$C$1099, B564)=0, , COUNTIF(독서목록!$C$2:$C$1099, B564)&gt;0, COUNTIF(독서목록!$C$2:$C$1099, B564))</f>
        <v/>
      </c>
      <c r="F564" s="12">
        <f>_xludf.IFS(COUNTIF(보류목록!$C$3:$C$1000, B564)&gt;0, "-",COUNTIF(독서목록!$D$2:$D$1099, B564)=0, , COUNTIF(독서목록!$D$2:$D$1099, B564)&gt;0, COUNTIF(독서목록!$D$2:$D$1099, B564))</f>
        <v/>
      </c>
      <c r="G564" s="12" t="n"/>
      <c r="H564" s="13" t="inlineStr">
        <is>
          <t>판매</t>
        </is>
      </c>
      <c r="I564" s="13" t="inlineStr">
        <is>
          <t>판매</t>
        </is>
      </c>
      <c r="J564" s="16" t="inlineStr">
        <is>
          <t>8993480532 9788993480535</t>
        </is>
      </c>
      <c r="K564" s="17" t="inlineStr">
        <is>
          <t>https://search1.kakaocdn.net/thumb/R120x174.q85/?fname=http%3A%2F%2Ft1.daumcdn.net%2Flbook%2Fimage%2F1398664%3Ftimestamp%3D20230227051232</t>
        </is>
      </c>
    </row>
    <row r="565" ht="12.75" customHeight="1" s="118">
      <c r="A565" s="9" t="n"/>
      <c r="B565" s="10" t="inlineStr">
        <is>
          <t>약속된 장소에서</t>
        </is>
      </c>
      <c r="C565" s="10" t="inlineStr">
        <is>
          <t>무라카미 하루키</t>
        </is>
      </c>
      <c r="D565" s="10" t="inlineStr">
        <is>
          <t>문학동네</t>
        </is>
      </c>
      <c r="E565" s="12">
        <f>_xludf.IFS(COUNTIF(보류목록!$B$3:$B$1000, B565)&gt;0, "-",COUNTIF(독서목록!$C$2:$C$1099, B565)=0, , COUNTIF(독서목록!$C$2:$C$1099, B565)&gt;0, COUNTIF(독서목록!$C$2:$C$1099, B565))</f>
        <v/>
      </c>
      <c r="F565" s="12">
        <f>_xludf.IFS(COUNTIF(보류목록!$C$3:$C$1000, B565)&gt;0, "-",COUNTIF(독서목록!$D$2:$D$1099, B565)=0, , COUNTIF(독서목록!$D$2:$D$1099, B565)&gt;0, COUNTIF(독서목록!$D$2:$D$1099, B565))</f>
        <v/>
      </c>
      <c r="G565" s="12" t="n"/>
      <c r="H565" s="13" t="inlineStr">
        <is>
          <t>판매</t>
        </is>
      </c>
      <c r="I565" s="13" t="inlineStr">
        <is>
          <t>판매</t>
        </is>
      </c>
      <c r="J565" s="16" t="inlineStr">
        <is>
          <t>8954613373 9788954613378</t>
        </is>
      </c>
      <c r="K565" s="17" t="inlineStr">
        <is>
          <t>https://search1.kakaocdn.net/thumb/R120x174.q85/?fname=http%3A%2F%2Ft1.daumcdn.net%2Flbook%2Fimage%2F690571%3Ftimestamp%3D20240803112755</t>
        </is>
      </c>
    </row>
    <row r="566" ht="12.75" customHeight="1" s="118">
      <c r="A566" s="9" t="n"/>
      <c r="B566" s="10" t="inlineStr">
        <is>
          <t>언더그라운드</t>
        </is>
      </c>
      <c r="C566" s="10" t="inlineStr">
        <is>
          <t>무라카미 하루키</t>
        </is>
      </c>
      <c r="D566" s="10" t="inlineStr">
        <is>
          <t>문학동네</t>
        </is>
      </c>
      <c r="E566" s="12">
        <f>_xludf.IFS(COUNTIF(보류목록!$B$3:$B$1000, B566)&gt;0, "-",COUNTIF(독서목록!$C$2:$C$1099, B566)=0, , COUNTIF(독서목록!$C$2:$C$1099, B566)&gt;0, COUNTIF(독서목록!$C$2:$C$1099, B566))</f>
        <v/>
      </c>
      <c r="F566" s="12">
        <f>_xludf.IFS(COUNTIF(보류목록!$C$3:$C$1000, B566)&gt;0, "-",COUNTIF(독서목록!$D$2:$D$1099, B566)=0, , COUNTIF(독서목록!$D$2:$D$1099, B566)&gt;0, COUNTIF(독서목록!$D$2:$D$1099, B566))</f>
        <v/>
      </c>
      <c r="G566" s="12" t="n"/>
      <c r="H566" s="13" t="inlineStr">
        <is>
          <t>판매</t>
        </is>
      </c>
      <c r="I566" s="13" t="inlineStr">
        <is>
          <t>판매</t>
        </is>
      </c>
      <c r="J566" s="16" t="inlineStr">
        <is>
          <t>8954613365 9788954613361</t>
        </is>
      </c>
      <c r="K566" s="17" t="inlineStr">
        <is>
          <t>https://search1.kakaocdn.net/thumb/R120x174.q85/?fname=http%3A%2F%2Ft1.daumcdn.net%2Flbook%2Fimage%2F690834%3Ftimestamp%3D20250125113042</t>
        </is>
      </c>
    </row>
    <row r="567" ht="12.75" customHeight="1" s="118">
      <c r="A567" s="9" t="n"/>
      <c r="B567" s="10" t="inlineStr">
        <is>
          <t>마음밭에 무얼 심지?</t>
        </is>
      </c>
      <c r="C567" s="10" t="inlineStr">
        <is>
          <t>최영순</t>
        </is>
      </c>
      <c r="D567" s="10" t="inlineStr">
        <is>
          <t>해토</t>
        </is>
      </c>
      <c r="E567" s="12">
        <f>_xludf.IFS(COUNTIF(보류목록!$B$3:$B$1000, B567)&gt;0, "-",COUNTIF(독서목록!$C$2:$C$1099, B567)=0, , COUNTIF(독서목록!$C$2:$C$1099, B567)&gt;0, COUNTIF(독서목록!$C$2:$C$1099, B567))</f>
        <v/>
      </c>
      <c r="F567" s="12">
        <f>_xludf.IFS(COUNTIF(보류목록!$C$3:$C$1000, B567)&gt;0, "-",COUNTIF(독서목록!$D$2:$D$1099, B567)=0, , COUNTIF(독서목록!$D$2:$D$1099, B567)&gt;0, COUNTIF(독서목록!$D$2:$D$1099, B567))</f>
        <v/>
      </c>
      <c r="G567" s="12" t="n"/>
      <c r="H567" s="13" t="inlineStr">
        <is>
          <t>판매</t>
        </is>
      </c>
      <c r="I567" s="13" t="inlineStr">
        <is>
          <t>판매</t>
        </is>
      </c>
      <c r="J567" s="16" t="inlineStr">
        <is>
          <t>8995400005 9788995400005</t>
        </is>
      </c>
      <c r="K567" s="17" t="inlineStr">
        <is>
          <t>https://search1.kakaocdn.net/thumb/R120x174.q85/?fname=http%3A%2F%2Ft1.daumcdn.net%2Flbook%2Fimage%2F1442122%3Ftimestamp%3D20221025150555</t>
        </is>
      </c>
    </row>
    <row r="568" ht="12.75" customHeight="1" s="118">
      <c r="A568" s="9" t="n"/>
      <c r="B568" s="10" t="inlineStr">
        <is>
          <t>파페포포 메모리즈</t>
        </is>
      </c>
      <c r="C568" s="10" t="inlineStr">
        <is>
          <t>심승현</t>
        </is>
      </c>
      <c r="D568" s="10" t="inlineStr">
        <is>
          <t>홍익출판사</t>
        </is>
      </c>
      <c r="E568" s="12">
        <f>_xludf.IFS(COUNTIF(보류목록!$B$3:$B$1000, B568)&gt;0, "-",COUNTIF(독서목록!$C$2:$C$1099, B568)=0, , COUNTIF(독서목록!$C$2:$C$1099, B568)&gt;0, COUNTIF(독서목록!$C$2:$C$1099, B568))</f>
        <v/>
      </c>
      <c r="F568" s="12">
        <f>_xludf.IFS(COUNTIF(보류목록!$C$3:$C$1000, B568)&gt;0, "-",COUNTIF(독서목록!$D$2:$D$1099, B568)=0, , COUNTIF(독서목록!$D$2:$D$1099, B568)&gt;0, COUNTIF(독서목록!$D$2:$D$1099, B568))</f>
        <v/>
      </c>
      <c r="G568" s="12" t="n"/>
      <c r="H568" s="13" t="inlineStr">
        <is>
          <t>판매</t>
        </is>
      </c>
      <c r="I568" s="13" t="inlineStr">
        <is>
          <t>판매</t>
        </is>
      </c>
      <c r="J568" s="16" t="inlineStr">
        <is>
          <t>8970659900 9788970659909</t>
        </is>
      </c>
      <c r="K568" s="19" t="inlineStr">
        <is>
          <t>https://search1.kakaocdn.net/thumb/R120x174.q85/?fname=http%3A%2F%2Ft1.daumcdn.net%2Flbook%2Fimage%2F964982%3Ftimestamp%3D20260401111031</t>
        </is>
      </c>
    </row>
    <row r="569" ht="12.75" customHeight="1" s="118">
      <c r="A569" s="9" t="n"/>
      <c r="B569" s="10" t="inlineStr">
        <is>
          <t>연을 쫓는 아이</t>
        </is>
      </c>
      <c r="C569" s="10" t="inlineStr">
        <is>
          <t>할레드 호세이니</t>
        </is>
      </c>
      <c r="D569" s="10" t="inlineStr">
        <is>
          <t>열림원</t>
        </is>
      </c>
      <c r="E569" s="12">
        <f>_xludf.IFS(COUNTIF(보류목록!$B$3:$B$1000, B569)&gt;0, "-",COUNTIF(독서목록!$C$2:$C$1099, B569)=0, , COUNTIF(독서목록!$C$2:$C$1099, B569)&gt;0, COUNTIF(독서목록!$C$2:$C$1099, B569))</f>
        <v/>
      </c>
      <c r="F569" s="12">
        <f>_xludf.IFS(COUNTIF(보류목록!$C$3:$C$1000, B569)&gt;0, "-",COUNTIF(독서목록!$D$2:$D$1099, B569)=0, , COUNTIF(독서목록!$D$2:$D$1099, B569)&gt;0, COUNTIF(독서목록!$D$2:$D$1099, B569))</f>
        <v/>
      </c>
      <c r="G569" s="12" t="n"/>
      <c r="H569" s="13" t="inlineStr">
        <is>
          <t>판매</t>
        </is>
      </c>
      <c r="I569" s="13" t="inlineStr">
        <is>
          <t>판매</t>
        </is>
      </c>
      <c r="J569" s="16" t="inlineStr">
        <is>
          <t>8970635750 9788970635750</t>
        </is>
      </c>
      <c r="K569" s="17" t="inlineStr">
        <is>
          <t>https://search1.kakaocdn.net/thumb/R120x174.q85/?fname=http%3A%2F%2Ft1.daumcdn.net%2Flbook%2Fimage%2F964380%3Ftimestamp%3D20230728202239</t>
        </is>
      </c>
    </row>
    <row r="570" ht="12.75" customHeight="1" s="118">
      <c r="A570" s="9" t="n"/>
      <c r="B570" s="10" t="inlineStr">
        <is>
          <t>청소부 밥</t>
        </is>
      </c>
      <c r="C570" s="10" t="inlineStr">
        <is>
          <t>토드 홉킨스, 레이 힐버트</t>
        </is>
      </c>
      <c r="D570" s="10" t="inlineStr">
        <is>
          <t>위즈덤하우스</t>
        </is>
      </c>
      <c r="E570" s="12">
        <f>_xludf.IFS(COUNTIF(보류목록!$B$3:$B$1000, B570)&gt;0, "-",COUNTIF(독서목록!$C$2:$C$1099, B570)=0, , COUNTIF(독서목록!$C$2:$C$1099, B570)&gt;0, COUNTIF(독서목록!$C$2:$C$1099, B570))</f>
        <v/>
      </c>
      <c r="F570" s="12">
        <f>_xludf.IFS(COUNTIF(보류목록!$C$3:$C$1000, B570)&gt;0, "-",COUNTIF(독서목록!$D$2:$D$1099, B570)=0, , COUNTIF(독서목록!$D$2:$D$1099, B570)&gt;0, COUNTIF(독서목록!$D$2:$D$1099, B570))</f>
        <v/>
      </c>
      <c r="G570" s="12" t="n"/>
      <c r="H570" s="13" t="inlineStr">
        <is>
          <t>판매</t>
        </is>
      </c>
      <c r="I570" s="13" t="inlineStr">
        <is>
          <t>판매</t>
        </is>
      </c>
      <c r="J570" s="16" t="inlineStr">
        <is>
          <t>898931397X 9788989313977</t>
        </is>
      </c>
      <c r="K570" s="17" t="inlineStr">
        <is>
          <t>https://search1.kakaocdn.net/thumb/R120x174.q85/?fname=http%3A%2F%2Ft1.daumcdn.net%2Flbook%2Fimage%2F1294764%3Ftimestamp%3D20251108110717</t>
        </is>
      </c>
    </row>
    <row r="571" ht="12.75" customHeight="1" s="118">
      <c r="A571" s="9" t="n"/>
      <c r="B571" s="10" t="inlineStr">
        <is>
          <t>인간의 두얼굴 : 내면의 진실</t>
        </is>
      </c>
      <c r="C571" s="10" t="inlineStr">
        <is>
          <t>EBS</t>
        </is>
      </c>
      <c r="D571" s="10" t="inlineStr">
        <is>
          <t>지식채널</t>
        </is>
      </c>
      <c r="E571" s="12">
        <f>_xludf.IFS(COUNTIF(보류목록!$B$3:$B$1000, B571)&gt;0, "-",COUNTIF(독서목록!$C$2:$C$1099, B571)=0, , COUNTIF(독서목록!$C$2:$C$1099, B571)&gt;0, COUNTIF(독서목록!$C$2:$C$1099, B571))</f>
        <v/>
      </c>
      <c r="F571" s="12">
        <f>_xludf.IFS(COUNTIF(보류목록!$C$3:$C$1000, B571)&gt;0, "-",COUNTIF(독서목록!$D$2:$D$1099, B571)=0, , COUNTIF(독서목록!$D$2:$D$1099, B571)&gt;0, COUNTIF(독서목록!$D$2:$D$1099, B571))</f>
        <v/>
      </c>
      <c r="G571" s="12" t="n"/>
      <c r="H571" s="13" t="inlineStr">
        <is>
          <t>판매</t>
        </is>
      </c>
      <c r="I571" s="13" t="inlineStr">
        <is>
          <t>판매</t>
        </is>
      </c>
      <c r="J571" s="16" t="inlineStr">
        <is>
          <t>8952758854 9788952758859</t>
        </is>
      </c>
      <c r="K571" s="17" t="inlineStr">
        <is>
          <t>https://search1.kakaocdn.net/thumb/R120x174.q85/?fname=http%3A%2F%2Ft1.daumcdn.net%2Flbook%2Fimage%2F644717%3Ftimestamp%3D20211219163732</t>
        </is>
      </c>
    </row>
    <row r="572" ht="12.75" customHeight="1" s="118">
      <c r="A572" s="9" t="n"/>
      <c r="B572" s="10" t="inlineStr">
        <is>
          <t>인간의 두얼굴 : 외부 조종자</t>
        </is>
      </c>
      <c r="C572" s="10" t="inlineStr">
        <is>
          <t>EBS, 김지승</t>
        </is>
      </c>
      <c r="D572" s="10" t="inlineStr">
        <is>
          <t>지식채널</t>
        </is>
      </c>
      <c r="E572" s="12">
        <f>_xludf.IFS(COUNTIF(보류목록!$B$3:$B$1000, B572)&gt;0, "-",COUNTIF(독서목록!$C$2:$C$1099, B572)=0, , COUNTIF(독서목록!$C$2:$C$1099, B572)&gt;0, COUNTIF(독서목록!$C$2:$C$1099, B572))</f>
        <v/>
      </c>
      <c r="F572" s="12">
        <f>_xludf.IFS(COUNTIF(보류목록!$C$3:$C$1000, B572)&gt;0, "-",COUNTIF(독서목록!$D$2:$D$1099, B572)=0, , COUNTIF(독서목록!$D$2:$D$1099, B572)&gt;0, COUNTIF(독서목록!$D$2:$D$1099, B572))</f>
        <v/>
      </c>
      <c r="G572" s="12" t="n"/>
      <c r="H572" s="13" t="inlineStr">
        <is>
          <t>판매</t>
        </is>
      </c>
      <c r="I572" s="13" t="inlineStr">
        <is>
          <t>판매</t>
        </is>
      </c>
      <c r="J572" s="16" t="inlineStr">
        <is>
          <t>8952758862 9788952758866</t>
        </is>
      </c>
      <c r="K572" s="19" t="inlineStr">
        <is>
          <t>https://search1.kakaocdn.net/thumb/R120x174.q85/?fname=http%3A%2F%2Ft1.daumcdn.net%2Flbook%2Fimage%2F644416%3Ftimestamp%3D20221025134359</t>
        </is>
      </c>
    </row>
    <row r="573" ht="12.75" customHeight="1" s="118">
      <c r="A573" s="9" t="n"/>
      <c r="B573" s="10" t="inlineStr">
        <is>
          <t>거의 모든 재난으로 부터 살아남는 법</t>
        </is>
      </c>
      <c r="C573" s="10" t="inlineStr">
        <is>
          <t>성상원, 전명윤</t>
        </is>
      </c>
      <c r="D573" s="10" t="inlineStr">
        <is>
          <t>웅진 리빙하우스</t>
        </is>
      </c>
      <c r="E573" s="12">
        <f>_xludf.IFS(COUNTIF(보류목록!$B$3:$B$1000, B573)&gt;0, "-",COUNTIF(독서목록!$C$2:$C$1099, B573)=0, , COUNTIF(독서목록!$C$2:$C$1099, B573)&gt;0, COUNTIF(독서목록!$C$2:$C$1099, B573))</f>
        <v/>
      </c>
      <c r="F573" s="12">
        <f>_xludf.IFS(COUNTIF(보류목록!$C$3:$C$1000, B573)&gt;0, "-",COUNTIF(독서목록!$D$2:$D$1099, B573)=0, , COUNTIF(독서목록!$D$2:$D$1099, B573)&gt;0, COUNTIF(독서목록!$D$2:$D$1099, B573))</f>
        <v/>
      </c>
      <c r="G573" s="12" t="n"/>
      <c r="H573" s="13" t="inlineStr">
        <is>
          <t>판매</t>
        </is>
      </c>
      <c r="I573" s="13" t="inlineStr">
        <is>
          <t>판매</t>
        </is>
      </c>
      <c r="J573" s="16" t="inlineStr">
        <is>
          <t>8901122839 9788901122830</t>
        </is>
      </c>
      <c r="K573" s="17" t="inlineStr">
        <is>
          <t>https://search1.kakaocdn.net/thumb/R120x174.q85/?fname=http%3A%2F%2Ft1.daumcdn.net%2Flbook%2Fimage%2F348978%3Ftimestamp%3D20190122165518</t>
        </is>
      </c>
    </row>
    <row r="574" ht="12.75" customHeight="1" s="118">
      <c r="A574" s="9" t="n"/>
      <c r="B574" s="10" t="inlineStr">
        <is>
          <t>바우돌리노(하)</t>
        </is>
      </c>
      <c r="C574" s="10" t="inlineStr">
        <is>
          <t>움베르토 에코</t>
        </is>
      </c>
      <c r="D574" s="10" t="inlineStr">
        <is>
          <t>열린책들</t>
        </is>
      </c>
      <c r="E574" s="12">
        <f>_xludf.IFS(COUNTIF(보류목록!$B$3:$B$1000, B574)&gt;0, "-",COUNTIF(독서목록!$C$2:$C$1099, B574)=0, , COUNTIF(독서목록!$C$2:$C$1099, B574)&gt;0, COUNTIF(독서목록!$C$2:$C$1099, B574))</f>
        <v/>
      </c>
      <c r="F574" s="12">
        <f>_xludf.IFS(COUNTIF(보류목록!$C$3:$C$1000, B574)&gt;0, "-",COUNTIF(독서목록!$D$2:$D$1099, B574)=0, , COUNTIF(독서목록!$D$2:$D$1099, B574)&gt;0, COUNTIF(독서목록!$D$2:$D$1099, B574))</f>
        <v/>
      </c>
      <c r="G574" s="12" t="n"/>
      <c r="H574" s="13" t="inlineStr">
        <is>
          <t>판매</t>
        </is>
      </c>
      <c r="I574" s="13" t="inlineStr">
        <is>
          <t>판매</t>
        </is>
      </c>
      <c r="J574" s="16" t="inlineStr">
        <is>
          <t>8932904308 9788932904306</t>
        </is>
      </c>
      <c r="K574" s="17" t="inlineStr">
        <is>
          <t>https://search1.kakaocdn.net/thumb/R120x174.q85/?fname=http%3A%2F%2Ft1.daumcdn.net%2Flbook%2Fimage%2F506089%3Ftimestamp%3D20250209113316</t>
        </is>
      </c>
    </row>
    <row r="575" ht="12.75" customHeight="1" s="118">
      <c r="A575" s="9" t="n"/>
      <c r="B575" s="10" t="inlineStr">
        <is>
          <t>바우돌리노(상)</t>
        </is>
      </c>
      <c r="C575" s="10" t="inlineStr">
        <is>
          <t>움베르토 에코</t>
        </is>
      </c>
      <c r="D575" s="10" t="inlineStr">
        <is>
          <t>열린책들</t>
        </is>
      </c>
      <c r="E575" s="12">
        <f>_xludf.IFS(COUNTIF(보류목록!$B$3:$B$1000, B575)&gt;0, "-",COUNTIF(독서목록!$C$2:$C$1099, B575)=0, , COUNTIF(독서목록!$C$2:$C$1099, B575)&gt;0, COUNTIF(독서목록!$C$2:$C$1099, B575))</f>
        <v/>
      </c>
      <c r="F575" s="12">
        <f>_xludf.IFS(COUNTIF(보류목록!$C$3:$C$1000, B575)&gt;0, "-",COUNTIF(독서목록!$D$2:$D$1099, B575)=0, , COUNTIF(독서목록!$D$2:$D$1099, B575)&gt;0, COUNTIF(독서목록!$D$2:$D$1099, B575))</f>
        <v/>
      </c>
      <c r="G575" s="12" t="n"/>
      <c r="H575" s="13" t="inlineStr">
        <is>
          <t>판매</t>
        </is>
      </c>
      <c r="I575" s="13" t="inlineStr">
        <is>
          <t>판매</t>
        </is>
      </c>
      <c r="J575" s="16" t="inlineStr">
        <is>
          <t>8932904294 9788932904290</t>
        </is>
      </c>
      <c r="K575" s="17" t="inlineStr">
        <is>
          <t>https://search1.kakaocdn.net/thumb/R120x174.q85/?fname=http%3A%2F%2Ft1.daumcdn.net%2Flbook%2Fimage%2F506328%3Ftimestamp%3D20250209113327</t>
        </is>
      </c>
    </row>
    <row r="576" ht="12.75" customHeight="1" s="118">
      <c r="A576" s="9" t="n"/>
      <c r="B576" s="10" t="inlineStr">
        <is>
          <t>필경사 바틀비</t>
        </is>
      </c>
      <c r="C576" s="10" t="inlineStr">
        <is>
          <t>허먼 멜빌</t>
        </is>
      </c>
      <c r="D576" s="10" t="inlineStr">
        <is>
          <t>문학동네</t>
        </is>
      </c>
      <c r="E576" s="12">
        <f>_xludf.IFS(COUNTIF(보류목록!$B$3:$B$1000, B576)&gt;0, "-",COUNTIF(독서목록!$C$2:$C$1099, B576)=0, , COUNTIF(독서목록!$C$2:$C$1099, B576)&gt;0, COUNTIF(독서목록!$C$2:$C$1099, B576))</f>
        <v/>
      </c>
      <c r="F576" s="12">
        <f>_xludf.IFS(COUNTIF(보류목록!$C$3:$C$1000, B576)&gt;0, "-",COUNTIF(독서목록!$D$2:$D$1099, B576)=0, , COUNTIF(독서목록!$D$2:$D$1099, B576)&gt;0, COUNTIF(독서목록!$D$2:$D$1099, B576))</f>
        <v/>
      </c>
      <c r="G576" s="12" t="n"/>
      <c r="H576" s="12" t="inlineStr">
        <is>
          <t>기부</t>
        </is>
      </c>
      <c r="I576" s="12" t="inlineStr">
        <is>
          <t>기부</t>
        </is>
      </c>
      <c r="J576" s="16" t="inlineStr">
        <is>
          <t>8954614442 9788954614443</t>
        </is>
      </c>
      <c r="K576" s="17" t="inlineStr">
        <is>
          <t>https://search1.kakaocdn.net/thumb/R120x174.q85/?fname=http%3A%2F%2Ft1.daumcdn.net%2Flbook%2Fimage%2F690750%3Ftimestamp%3D20260410110613</t>
        </is>
      </c>
    </row>
  </sheetData>
  <autoFilter ref="B2:H576"/>
  <mergeCells count="1">
    <mergeCell ref="C1:D1"/>
  </mergeCells>
  <conditionalFormatting sqref="E3:F576">
    <cfRule type="containsBlanks" priority="1" dxfId="0">
      <formula>LEN(TRIM(E3))=0</formula>
    </cfRule>
  </conditionalFormatting>
  <hyperlinks>
    <hyperlink xmlns:r="http://schemas.openxmlformats.org/officeDocument/2006/relationships" ref="K7" r:id="rId1"/>
    <hyperlink xmlns:r="http://schemas.openxmlformats.org/officeDocument/2006/relationships" ref="K8" r:id="rId2"/>
    <hyperlink xmlns:r="http://schemas.openxmlformats.org/officeDocument/2006/relationships" ref="K9" r:id="rId3"/>
    <hyperlink xmlns:r="http://schemas.openxmlformats.org/officeDocument/2006/relationships" ref="K10" r:id="rId4"/>
    <hyperlink xmlns:r="http://schemas.openxmlformats.org/officeDocument/2006/relationships" ref="K11" r:id="rId5"/>
    <hyperlink xmlns:r="http://schemas.openxmlformats.org/officeDocument/2006/relationships" ref="K12" r:id="rId6"/>
    <hyperlink xmlns:r="http://schemas.openxmlformats.org/officeDocument/2006/relationships" ref="K13" r:id="rId7"/>
    <hyperlink xmlns:r="http://schemas.openxmlformats.org/officeDocument/2006/relationships" ref="K14" r:id="rId8"/>
    <hyperlink xmlns:r="http://schemas.openxmlformats.org/officeDocument/2006/relationships" ref="K15" r:id="rId9"/>
    <hyperlink xmlns:r="http://schemas.openxmlformats.org/officeDocument/2006/relationships" ref="K16" r:id="rId10"/>
    <hyperlink xmlns:r="http://schemas.openxmlformats.org/officeDocument/2006/relationships" ref="K17" r:id="rId11"/>
    <hyperlink xmlns:r="http://schemas.openxmlformats.org/officeDocument/2006/relationships" ref="K18" r:id="rId12"/>
    <hyperlink xmlns:r="http://schemas.openxmlformats.org/officeDocument/2006/relationships" ref="K19" r:id="rId13"/>
    <hyperlink xmlns:r="http://schemas.openxmlformats.org/officeDocument/2006/relationships" ref="K20" r:id="rId14"/>
    <hyperlink xmlns:r="http://schemas.openxmlformats.org/officeDocument/2006/relationships" ref="K21" r:id="rId15"/>
    <hyperlink xmlns:r="http://schemas.openxmlformats.org/officeDocument/2006/relationships" ref="K22" r:id="rId16"/>
    <hyperlink xmlns:r="http://schemas.openxmlformats.org/officeDocument/2006/relationships" ref="K23" r:id="rId17"/>
    <hyperlink xmlns:r="http://schemas.openxmlformats.org/officeDocument/2006/relationships" ref="K24" r:id="rId18"/>
    <hyperlink xmlns:r="http://schemas.openxmlformats.org/officeDocument/2006/relationships" ref="K25" r:id="rId19"/>
    <hyperlink xmlns:r="http://schemas.openxmlformats.org/officeDocument/2006/relationships" ref="K26" r:id="rId20"/>
    <hyperlink xmlns:r="http://schemas.openxmlformats.org/officeDocument/2006/relationships" ref="K27" r:id="rId21"/>
    <hyperlink xmlns:r="http://schemas.openxmlformats.org/officeDocument/2006/relationships" ref="K28" r:id="rId22"/>
    <hyperlink xmlns:r="http://schemas.openxmlformats.org/officeDocument/2006/relationships" ref="K29" r:id="rId23"/>
    <hyperlink xmlns:r="http://schemas.openxmlformats.org/officeDocument/2006/relationships" ref="K30" r:id="rId24"/>
    <hyperlink xmlns:r="http://schemas.openxmlformats.org/officeDocument/2006/relationships" ref="K31" r:id="rId25"/>
    <hyperlink xmlns:r="http://schemas.openxmlformats.org/officeDocument/2006/relationships" ref="K32" r:id="rId26"/>
    <hyperlink xmlns:r="http://schemas.openxmlformats.org/officeDocument/2006/relationships" ref="K33" r:id="rId27"/>
    <hyperlink xmlns:r="http://schemas.openxmlformats.org/officeDocument/2006/relationships" ref="K34" r:id="rId28"/>
    <hyperlink xmlns:r="http://schemas.openxmlformats.org/officeDocument/2006/relationships" ref="K35" r:id="rId29"/>
    <hyperlink xmlns:r="http://schemas.openxmlformats.org/officeDocument/2006/relationships" ref="K36" r:id="rId30"/>
    <hyperlink xmlns:r="http://schemas.openxmlformats.org/officeDocument/2006/relationships" ref="K37" r:id="rId31"/>
    <hyperlink xmlns:r="http://schemas.openxmlformats.org/officeDocument/2006/relationships" ref="K38" r:id="rId32"/>
    <hyperlink xmlns:r="http://schemas.openxmlformats.org/officeDocument/2006/relationships" ref="K39" r:id="rId33"/>
    <hyperlink xmlns:r="http://schemas.openxmlformats.org/officeDocument/2006/relationships" ref="K40" r:id="rId34"/>
    <hyperlink xmlns:r="http://schemas.openxmlformats.org/officeDocument/2006/relationships" ref="K41" r:id="rId35"/>
    <hyperlink xmlns:r="http://schemas.openxmlformats.org/officeDocument/2006/relationships" ref="K42" r:id="rId36"/>
    <hyperlink xmlns:r="http://schemas.openxmlformats.org/officeDocument/2006/relationships" ref="K43" r:id="rId37"/>
    <hyperlink xmlns:r="http://schemas.openxmlformats.org/officeDocument/2006/relationships" ref="K44" r:id="rId38"/>
    <hyperlink xmlns:r="http://schemas.openxmlformats.org/officeDocument/2006/relationships" ref="K45" r:id="rId39"/>
    <hyperlink xmlns:r="http://schemas.openxmlformats.org/officeDocument/2006/relationships" ref="K46" r:id="rId40"/>
    <hyperlink xmlns:r="http://schemas.openxmlformats.org/officeDocument/2006/relationships" ref="K47" r:id="rId41"/>
    <hyperlink xmlns:r="http://schemas.openxmlformats.org/officeDocument/2006/relationships" ref="K48" r:id="rId42"/>
    <hyperlink xmlns:r="http://schemas.openxmlformats.org/officeDocument/2006/relationships" ref="K49" r:id="rId43"/>
    <hyperlink xmlns:r="http://schemas.openxmlformats.org/officeDocument/2006/relationships" ref="K50" r:id="rId44"/>
    <hyperlink xmlns:r="http://schemas.openxmlformats.org/officeDocument/2006/relationships" ref="K51" r:id="rId45"/>
    <hyperlink xmlns:r="http://schemas.openxmlformats.org/officeDocument/2006/relationships" ref="K52" r:id="rId46"/>
    <hyperlink xmlns:r="http://schemas.openxmlformats.org/officeDocument/2006/relationships" ref="K53" r:id="rId47"/>
    <hyperlink xmlns:r="http://schemas.openxmlformats.org/officeDocument/2006/relationships" ref="K54" r:id="rId48"/>
    <hyperlink xmlns:r="http://schemas.openxmlformats.org/officeDocument/2006/relationships" ref="K55" r:id="rId49"/>
    <hyperlink xmlns:r="http://schemas.openxmlformats.org/officeDocument/2006/relationships" ref="K56" r:id="rId50"/>
    <hyperlink xmlns:r="http://schemas.openxmlformats.org/officeDocument/2006/relationships" ref="K57" r:id="rId51"/>
    <hyperlink xmlns:r="http://schemas.openxmlformats.org/officeDocument/2006/relationships" ref="K58" r:id="rId52"/>
    <hyperlink xmlns:r="http://schemas.openxmlformats.org/officeDocument/2006/relationships" ref="K59" r:id="rId53"/>
    <hyperlink xmlns:r="http://schemas.openxmlformats.org/officeDocument/2006/relationships" ref="K60" r:id="rId54"/>
    <hyperlink xmlns:r="http://schemas.openxmlformats.org/officeDocument/2006/relationships" ref="K61" r:id="rId55"/>
    <hyperlink xmlns:r="http://schemas.openxmlformats.org/officeDocument/2006/relationships" ref="K62" r:id="rId56"/>
    <hyperlink xmlns:r="http://schemas.openxmlformats.org/officeDocument/2006/relationships" ref="K63" r:id="rId57"/>
    <hyperlink xmlns:r="http://schemas.openxmlformats.org/officeDocument/2006/relationships" ref="K64" r:id="rId58"/>
    <hyperlink xmlns:r="http://schemas.openxmlformats.org/officeDocument/2006/relationships" ref="K65" r:id="rId59"/>
    <hyperlink xmlns:r="http://schemas.openxmlformats.org/officeDocument/2006/relationships" ref="K66" r:id="rId60"/>
    <hyperlink xmlns:r="http://schemas.openxmlformats.org/officeDocument/2006/relationships" ref="K67" r:id="rId61"/>
    <hyperlink xmlns:r="http://schemas.openxmlformats.org/officeDocument/2006/relationships" ref="K68" r:id="rId62"/>
    <hyperlink xmlns:r="http://schemas.openxmlformats.org/officeDocument/2006/relationships" ref="K69" r:id="rId63"/>
    <hyperlink xmlns:r="http://schemas.openxmlformats.org/officeDocument/2006/relationships" ref="K70" r:id="rId64"/>
    <hyperlink xmlns:r="http://schemas.openxmlformats.org/officeDocument/2006/relationships" ref="K71" r:id="rId65"/>
    <hyperlink xmlns:r="http://schemas.openxmlformats.org/officeDocument/2006/relationships" ref="K72" r:id="rId66"/>
    <hyperlink xmlns:r="http://schemas.openxmlformats.org/officeDocument/2006/relationships" ref="K73" r:id="rId67"/>
    <hyperlink xmlns:r="http://schemas.openxmlformats.org/officeDocument/2006/relationships" ref="K74" r:id="rId68"/>
    <hyperlink xmlns:r="http://schemas.openxmlformats.org/officeDocument/2006/relationships" ref="K75" r:id="rId69"/>
    <hyperlink xmlns:r="http://schemas.openxmlformats.org/officeDocument/2006/relationships" ref="K76" r:id="rId70"/>
    <hyperlink xmlns:r="http://schemas.openxmlformats.org/officeDocument/2006/relationships" ref="K77" r:id="rId71"/>
    <hyperlink xmlns:r="http://schemas.openxmlformats.org/officeDocument/2006/relationships" ref="K78" r:id="rId72"/>
    <hyperlink xmlns:r="http://schemas.openxmlformats.org/officeDocument/2006/relationships" ref="K79" r:id="rId73"/>
    <hyperlink xmlns:r="http://schemas.openxmlformats.org/officeDocument/2006/relationships" ref="K80" r:id="rId74"/>
    <hyperlink xmlns:r="http://schemas.openxmlformats.org/officeDocument/2006/relationships" ref="K81" r:id="rId75"/>
    <hyperlink xmlns:r="http://schemas.openxmlformats.org/officeDocument/2006/relationships" ref="K82" r:id="rId76"/>
    <hyperlink xmlns:r="http://schemas.openxmlformats.org/officeDocument/2006/relationships" ref="K83" r:id="rId77"/>
    <hyperlink xmlns:r="http://schemas.openxmlformats.org/officeDocument/2006/relationships" ref="K84" r:id="rId78"/>
    <hyperlink xmlns:r="http://schemas.openxmlformats.org/officeDocument/2006/relationships" ref="K85" r:id="rId79"/>
    <hyperlink xmlns:r="http://schemas.openxmlformats.org/officeDocument/2006/relationships" ref="K86" r:id="rId80"/>
    <hyperlink xmlns:r="http://schemas.openxmlformats.org/officeDocument/2006/relationships" ref="K87" r:id="rId81"/>
    <hyperlink xmlns:r="http://schemas.openxmlformats.org/officeDocument/2006/relationships" ref="K88" r:id="rId82"/>
    <hyperlink xmlns:r="http://schemas.openxmlformats.org/officeDocument/2006/relationships" ref="K89" r:id="rId83"/>
    <hyperlink xmlns:r="http://schemas.openxmlformats.org/officeDocument/2006/relationships" ref="K90" r:id="rId84"/>
    <hyperlink xmlns:r="http://schemas.openxmlformats.org/officeDocument/2006/relationships" ref="K91" r:id="rId85"/>
    <hyperlink xmlns:r="http://schemas.openxmlformats.org/officeDocument/2006/relationships" ref="K92" r:id="rId86"/>
    <hyperlink xmlns:r="http://schemas.openxmlformats.org/officeDocument/2006/relationships" ref="K93" r:id="rId87"/>
    <hyperlink xmlns:r="http://schemas.openxmlformats.org/officeDocument/2006/relationships" ref="K94" r:id="rId88"/>
    <hyperlink xmlns:r="http://schemas.openxmlformats.org/officeDocument/2006/relationships" ref="K95" r:id="rId89"/>
    <hyperlink xmlns:r="http://schemas.openxmlformats.org/officeDocument/2006/relationships" ref="K96" r:id="rId90"/>
    <hyperlink xmlns:r="http://schemas.openxmlformats.org/officeDocument/2006/relationships" ref="K97" r:id="rId91"/>
    <hyperlink xmlns:r="http://schemas.openxmlformats.org/officeDocument/2006/relationships" ref="K98" r:id="rId92"/>
    <hyperlink xmlns:r="http://schemas.openxmlformats.org/officeDocument/2006/relationships" ref="K99" r:id="rId93"/>
    <hyperlink xmlns:r="http://schemas.openxmlformats.org/officeDocument/2006/relationships" ref="K100" r:id="rId94"/>
    <hyperlink xmlns:r="http://schemas.openxmlformats.org/officeDocument/2006/relationships" ref="K101" r:id="rId95"/>
    <hyperlink xmlns:r="http://schemas.openxmlformats.org/officeDocument/2006/relationships" ref="K102" r:id="rId96"/>
    <hyperlink xmlns:r="http://schemas.openxmlformats.org/officeDocument/2006/relationships" ref="K103" r:id="rId97"/>
    <hyperlink xmlns:r="http://schemas.openxmlformats.org/officeDocument/2006/relationships" ref="K104" r:id="rId98"/>
    <hyperlink xmlns:r="http://schemas.openxmlformats.org/officeDocument/2006/relationships" ref="K105" r:id="rId99"/>
    <hyperlink xmlns:r="http://schemas.openxmlformats.org/officeDocument/2006/relationships" ref="K106" r:id="rId100"/>
    <hyperlink xmlns:r="http://schemas.openxmlformats.org/officeDocument/2006/relationships" ref="K107" r:id="rId101"/>
    <hyperlink xmlns:r="http://schemas.openxmlformats.org/officeDocument/2006/relationships" ref="K108" r:id="rId102"/>
    <hyperlink xmlns:r="http://schemas.openxmlformats.org/officeDocument/2006/relationships" ref="K109" r:id="rId103"/>
    <hyperlink xmlns:r="http://schemas.openxmlformats.org/officeDocument/2006/relationships" ref="K110" r:id="rId104"/>
    <hyperlink xmlns:r="http://schemas.openxmlformats.org/officeDocument/2006/relationships" ref="K111" r:id="rId105"/>
    <hyperlink xmlns:r="http://schemas.openxmlformats.org/officeDocument/2006/relationships" ref="K112" r:id="rId106"/>
    <hyperlink xmlns:r="http://schemas.openxmlformats.org/officeDocument/2006/relationships" ref="K113" r:id="rId107"/>
    <hyperlink xmlns:r="http://schemas.openxmlformats.org/officeDocument/2006/relationships" ref="K114" r:id="rId108"/>
    <hyperlink xmlns:r="http://schemas.openxmlformats.org/officeDocument/2006/relationships" ref="K115" r:id="rId109"/>
    <hyperlink xmlns:r="http://schemas.openxmlformats.org/officeDocument/2006/relationships" ref="K116" r:id="rId110"/>
    <hyperlink xmlns:r="http://schemas.openxmlformats.org/officeDocument/2006/relationships" ref="K117" r:id="rId111"/>
    <hyperlink xmlns:r="http://schemas.openxmlformats.org/officeDocument/2006/relationships" ref="K118" r:id="rId112"/>
    <hyperlink xmlns:r="http://schemas.openxmlformats.org/officeDocument/2006/relationships" ref="K119" r:id="rId113"/>
    <hyperlink xmlns:r="http://schemas.openxmlformats.org/officeDocument/2006/relationships" ref="K120" r:id="rId114"/>
    <hyperlink xmlns:r="http://schemas.openxmlformats.org/officeDocument/2006/relationships" ref="K121" r:id="rId115"/>
    <hyperlink xmlns:r="http://schemas.openxmlformats.org/officeDocument/2006/relationships" ref="K122" r:id="rId116"/>
    <hyperlink xmlns:r="http://schemas.openxmlformats.org/officeDocument/2006/relationships" ref="K123" r:id="rId117"/>
    <hyperlink xmlns:r="http://schemas.openxmlformats.org/officeDocument/2006/relationships" ref="K124" r:id="rId118"/>
    <hyperlink xmlns:r="http://schemas.openxmlformats.org/officeDocument/2006/relationships" ref="K125" r:id="rId119"/>
    <hyperlink xmlns:r="http://schemas.openxmlformats.org/officeDocument/2006/relationships" ref="K126" r:id="rId120"/>
    <hyperlink xmlns:r="http://schemas.openxmlformats.org/officeDocument/2006/relationships" ref="K127" r:id="rId121"/>
    <hyperlink xmlns:r="http://schemas.openxmlformats.org/officeDocument/2006/relationships" ref="K128" r:id="rId122"/>
    <hyperlink xmlns:r="http://schemas.openxmlformats.org/officeDocument/2006/relationships" ref="K129" r:id="rId123"/>
    <hyperlink xmlns:r="http://schemas.openxmlformats.org/officeDocument/2006/relationships" ref="K130" r:id="rId124"/>
    <hyperlink xmlns:r="http://schemas.openxmlformats.org/officeDocument/2006/relationships" ref="K131" r:id="rId125"/>
    <hyperlink xmlns:r="http://schemas.openxmlformats.org/officeDocument/2006/relationships" ref="K132" r:id="rId126"/>
    <hyperlink xmlns:r="http://schemas.openxmlformats.org/officeDocument/2006/relationships" ref="K133" r:id="rId127"/>
    <hyperlink xmlns:r="http://schemas.openxmlformats.org/officeDocument/2006/relationships" ref="K134" r:id="rId128"/>
    <hyperlink xmlns:r="http://schemas.openxmlformats.org/officeDocument/2006/relationships" ref="K135" r:id="rId129"/>
    <hyperlink xmlns:r="http://schemas.openxmlformats.org/officeDocument/2006/relationships" ref="K136" r:id="rId130"/>
    <hyperlink xmlns:r="http://schemas.openxmlformats.org/officeDocument/2006/relationships" ref="K137" r:id="rId131"/>
    <hyperlink xmlns:r="http://schemas.openxmlformats.org/officeDocument/2006/relationships" ref="K138" r:id="rId132"/>
    <hyperlink xmlns:r="http://schemas.openxmlformats.org/officeDocument/2006/relationships" ref="K139" r:id="rId133"/>
    <hyperlink xmlns:r="http://schemas.openxmlformats.org/officeDocument/2006/relationships" ref="K140" r:id="rId134"/>
    <hyperlink xmlns:r="http://schemas.openxmlformats.org/officeDocument/2006/relationships" ref="K141" r:id="rId135"/>
    <hyperlink xmlns:r="http://schemas.openxmlformats.org/officeDocument/2006/relationships" ref="K142" r:id="rId136"/>
    <hyperlink xmlns:r="http://schemas.openxmlformats.org/officeDocument/2006/relationships" ref="K143" r:id="rId137"/>
    <hyperlink xmlns:r="http://schemas.openxmlformats.org/officeDocument/2006/relationships" ref="K144" r:id="rId138"/>
    <hyperlink xmlns:r="http://schemas.openxmlformats.org/officeDocument/2006/relationships" ref="K145" r:id="rId139"/>
    <hyperlink xmlns:r="http://schemas.openxmlformats.org/officeDocument/2006/relationships" ref="K146" r:id="rId140"/>
    <hyperlink xmlns:r="http://schemas.openxmlformats.org/officeDocument/2006/relationships" ref="K147" r:id="rId141"/>
    <hyperlink xmlns:r="http://schemas.openxmlformats.org/officeDocument/2006/relationships" ref="K148" r:id="rId142"/>
    <hyperlink xmlns:r="http://schemas.openxmlformats.org/officeDocument/2006/relationships" ref="K149" r:id="rId143"/>
    <hyperlink xmlns:r="http://schemas.openxmlformats.org/officeDocument/2006/relationships" ref="K150" r:id="rId144"/>
    <hyperlink xmlns:r="http://schemas.openxmlformats.org/officeDocument/2006/relationships" ref="K151" r:id="rId145"/>
    <hyperlink xmlns:r="http://schemas.openxmlformats.org/officeDocument/2006/relationships" ref="K152" r:id="rId146"/>
    <hyperlink xmlns:r="http://schemas.openxmlformats.org/officeDocument/2006/relationships" ref="K153" r:id="rId147"/>
    <hyperlink xmlns:r="http://schemas.openxmlformats.org/officeDocument/2006/relationships" ref="K154" r:id="rId148"/>
    <hyperlink xmlns:r="http://schemas.openxmlformats.org/officeDocument/2006/relationships" ref="K155" r:id="rId149"/>
    <hyperlink xmlns:r="http://schemas.openxmlformats.org/officeDocument/2006/relationships" ref="K156" r:id="rId150"/>
    <hyperlink xmlns:r="http://schemas.openxmlformats.org/officeDocument/2006/relationships" ref="K157" r:id="rId151"/>
    <hyperlink xmlns:r="http://schemas.openxmlformats.org/officeDocument/2006/relationships" ref="K158" r:id="rId152"/>
    <hyperlink xmlns:r="http://schemas.openxmlformats.org/officeDocument/2006/relationships" ref="K159" r:id="rId153"/>
    <hyperlink xmlns:r="http://schemas.openxmlformats.org/officeDocument/2006/relationships" ref="K160" r:id="rId154"/>
    <hyperlink xmlns:r="http://schemas.openxmlformats.org/officeDocument/2006/relationships" ref="K161" r:id="rId155"/>
    <hyperlink xmlns:r="http://schemas.openxmlformats.org/officeDocument/2006/relationships" ref="K162" r:id="rId156"/>
    <hyperlink xmlns:r="http://schemas.openxmlformats.org/officeDocument/2006/relationships" ref="K163" r:id="rId157"/>
    <hyperlink xmlns:r="http://schemas.openxmlformats.org/officeDocument/2006/relationships" ref="K164" r:id="rId158"/>
    <hyperlink xmlns:r="http://schemas.openxmlformats.org/officeDocument/2006/relationships" ref="K165" r:id="rId159"/>
    <hyperlink xmlns:r="http://schemas.openxmlformats.org/officeDocument/2006/relationships" ref="K166" r:id="rId160"/>
    <hyperlink xmlns:r="http://schemas.openxmlformats.org/officeDocument/2006/relationships" ref="K167" r:id="rId161"/>
    <hyperlink xmlns:r="http://schemas.openxmlformats.org/officeDocument/2006/relationships" ref="K168" r:id="rId162"/>
    <hyperlink xmlns:r="http://schemas.openxmlformats.org/officeDocument/2006/relationships" ref="K169" r:id="rId163"/>
    <hyperlink xmlns:r="http://schemas.openxmlformats.org/officeDocument/2006/relationships" ref="K170" r:id="rId164"/>
    <hyperlink xmlns:r="http://schemas.openxmlformats.org/officeDocument/2006/relationships" ref="K171" r:id="rId165"/>
    <hyperlink xmlns:r="http://schemas.openxmlformats.org/officeDocument/2006/relationships" ref="K172" r:id="rId166"/>
    <hyperlink xmlns:r="http://schemas.openxmlformats.org/officeDocument/2006/relationships" ref="K173" r:id="rId167"/>
    <hyperlink xmlns:r="http://schemas.openxmlformats.org/officeDocument/2006/relationships" ref="K174" r:id="rId168"/>
    <hyperlink xmlns:r="http://schemas.openxmlformats.org/officeDocument/2006/relationships" ref="K175" r:id="rId169"/>
    <hyperlink xmlns:r="http://schemas.openxmlformats.org/officeDocument/2006/relationships" ref="K176" r:id="rId170"/>
    <hyperlink xmlns:r="http://schemas.openxmlformats.org/officeDocument/2006/relationships" ref="K177" r:id="rId171"/>
    <hyperlink xmlns:r="http://schemas.openxmlformats.org/officeDocument/2006/relationships" ref="K178" r:id="rId172"/>
    <hyperlink xmlns:r="http://schemas.openxmlformats.org/officeDocument/2006/relationships" ref="K179" r:id="rId173"/>
    <hyperlink xmlns:r="http://schemas.openxmlformats.org/officeDocument/2006/relationships" ref="K180" r:id="rId174"/>
    <hyperlink xmlns:r="http://schemas.openxmlformats.org/officeDocument/2006/relationships" ref="K181" r:id="rId175"/>
    <hyperlink xmlns:r="http://schemas.openxmlformats.org/officeDocument/2006/relationships" ref="K182" r:id="rId176"/>
    <hyperlink xmlns:r="http://schemas.openxmlformats.org/officeDocument/2006/relationships" ref="K183" r:id="rId177"/>
    <hyperlink xmlns:r="http://schemas.openxmlformats.org/officeDocument/2006/relationships" ref="K184" r:id="rId178"/>
    <hyperlink xmlns:r="http://schemas.openxmlformats.org/officeDocument/2006/relationships" ref="K185" r:id="rId179"/>
    <hyperlink xmlns:r="http://schemas.openxmlformats.org/officeDocument/2006/relationships" ref="K186" r:id="rId180"/>
    <hyperlink xmlns:r="http://schemas.openxmlformats.org/officeDocument/2006/relationships" ref="K187" r:id="rId181"/>
    <hyperlink xmlns:r="http://schemas.openxmlformats.org/officeDocument/2006/relationships" ref="K188" r:id="rId182"/>
    <hyperlink xmlns:r="http://schemas.openxmlformats.org/officeDocument/2006/relationships" ref="K189" r:id="rId183"/>
    <hyperlink xmlns:r="http://schemas.openxmlformats.org/officeDocument/2006/relationships" ref="K190" r:id="rId184"/>
    <hyperlink xmlns:r="http://schemas.openxmlformats.org/officeDocument/2006/relationships" ref="K191" r:id="rId185"/>
    <hyperlink xmlns:r="http://schemas.openxmlformats.org/officeDocument/2006/relationships" ref="K192" r:id="rId186"/>
    <hyperlink xmlns:r="http://schemas.openxmlformats.org/officeDocument/2006/relationships" ref="K193" r:id="rId187"/>
    <hyperlink xmlns:r="http://schemas.openxmlformats.org/officeDocument/2006/relationships" ref="K194" r:id="rId188"/>
    <hyperlink xmlns:r="http://schemas.openxmlformats.org/officeDocument/2006/relationships" ref="K195" r:id="rId189"/>
    <hyperlink xmlns:r="http://schemas.openxmlformats.org/officeDocument/2006/relationships" ref="K196" r:id="rId190"/>
    <hyperlink xmlns:r="http://schemas.openxmlformats.org/officeDocument/2006/relationships" ref="K197" r:id="rId191"/>
    <hyperlink xmlns:r="http://schemas.openxmlformats.org/officeDocument/2006/relationships" ref="K198" r:id="rId192"/>
    <hyperlink xmlns:r="http://schemas.openxmlformats.org/officeDocument/2006/relationships" ref="K199" r:id="rId193"/>
    <hyperlink xmlns:r="http://schemas.openxmlformats.org/officeDocument/2006/relationships" ref="K200" r:id="rId194"/>
    <hyperlink xmlns:r="http://schemas.openxmlformats.org/officeDocument/2006/relationships" ref="K201" r:id="rId195"/>
    <hyperlink xmlns:r="http://schemas.openxmlformats.org/officeDocument/2006/relationships" ref="K202" r:id="rId196"/>
    <hyperlink xmlns:r="http://schemas.openxmlformats.org/officeDocument/2006/relationships" ref="K203" r:id="rId197"/>
    <hyperlink xmlns:r="http://schemas.openxmlformats.org/officeDocument/2006/relationships" ref="K204" r:id="rId198"/>
    <hyperlink xmlns:r="http://schemas.openxmlformats.org/officeDocument/2006/relationships" ref="K205" r:id="rId199"/>
    <hyperlink xmlns:r="http://schemas.openxmlformats.org/officeDocument/2006/relationships" ref="K206" r:id="rId200"/>
    <hyperlink xmlns:r="http://schemas.openxmlformats.org/officeDocument/2006/relationships" ref="K207" r:id="rId201"/>
    <hyperlink xmlns:r="http://schemas.openxmlformats.org/officeDocument/2006/relationships" ref="K208" r:id="rId202"/>
    <hyperlink xmlns:r="http://schemas.openxmlformats.org/officeDocument/2006/relationships" ref="K209" r:id="rId203"/>
    <hyperlink xmlns:r="http://schemas.openxmlformats.org/officeDocument/2006/relationships" ref="K210" r:id="rId204"/>
    <hyperlink xmlns:r="http://schemas.openxmlformats.org/officeDocument/2006/relationships" ref="K211" r:id="rId205"/>
    <hyperlink xmlns:r="http://schemas.openxmlformats.org/officeDocument/2006/relationships" ref="K212" r:id="rId206"/>
    <hyperlink xmlns:r="http://schemas.openxmlformats.org/officeDocument/2006/relationships" ref="K213" r:id="rId207"/>
    <hyperlink xmlns:r="http://schemas.openxmlformats.org/officeDocument/2006/relationships" ref="K214" r:id="rId208"/>
    <hyperlink xmlns:r="http://schemas.openxmlformats.org/officeDocument/2006/relationships" ref="K215" r:id="rId209"/>
    <hyperlink xmlns:r="http://schemas.openxmlformats.org/officeDocument/2006/relationships" ref="K216" r:id="rId210"/>
    <hyperlink xmlns:r="http://schemas.openxmlformats.org/officeDocument/2006/relationships" ref="K217" r:id="rId211"/>
    <hyperlink xmlns:r="http://schemas.openxmlformats.org/officeDocument/2006/relationships" ref="K218" r:id="rId212"/>
    <hyperlink xmlns:r="http://schemas.openxmlformats.org/officeDocument/2006/relationships" ref="K219" r:id="rId213"/>
    <hyperlink xmlns:r="http://schemas.openxmlformats.org/officeDocument/2006/relationships" ref="K220" r:id="rId214"/>
    <hyperlink xmlns:r="http://schemas.openxmlformats.org/officeDocument/2006/relationships" ref="K221" r:id="rId215"/>
    <hyperlink xmlns:r="http://schemas.openxmlformats.org/officeDocument/2006/relationships" ref="K222" r:id="rId216"/>
    <hyperlink xmlns:r="http://schemas.openxmlformats.org/officeDocument/2006/relationships" ref="K223" r:id="rId217"/>
    <hyperlink xmlns:r="http://schemas.openxmlformats.org/officeDocument/2006/relationships" ref="K224" r:id="rId218"/>
    <hyperlink xmlns:r="http://schemas.openxmlformats.org/officeDocument/2006/relationships" ref="K225" r:id="rId219"/>
    <hyperlink xmlns:r="http://schemas.openxmlformats.org/officeDocument/2006/relationships" ref="K226" r:id="rId220"/>
    <hyperlink xmlns:r="http://schemas.openxmlformats.org/officeDocument/2006/relationships" ref="K227" r:id="rId221"/>
    <hyperlink xmlns:r="http://schemas.openxmlformats.org/officeDocument/2006/relationships" ref="K228" r:id="rId222"/>
    <hyperlink xmlns:r="http://schemas.openxmlformats.org/officeDocument/2006/relationships" ref="K229" r:id="rId223"/>
    <hyperlink xmlns:r="http://schemas.openxmlformats.org/officeDocument/2006/relationships" ref="K230" r:id="rId224"/>
    <hyperlink xmlns:r="http://schemas.openxmlformats.org/officeDocument/2006/relationships" ref="K231" r:id="rId225"/>
    <hyperlink xmlns:r="http://schemas.openxmlformats.org/officeDocument/2006/relationships" ref="K232" r:id="rId226"/>
    <hyperlink xmlns:r="http://schemas.openxmlformats.org/officeDocument/2006/relationships" ref="K233" r:id="rId227"/>
    <hyperlink xmlns:r="http://schemas.openxmlformats.org/officeDocument/2006/relationships" ref="K234" r:id="rId228"/>
    <hyperlink xmlns:r="http://schemas.openxmlformats.org/officeDocument/2006/relationships" ref="K235" r:id="rId229"/>
    <hyperlink xmlns:r="http://schemas.openxmlformats.org/officeDocument/2006/relationships" ref="K236" r:id="rId230"/>
    <hyperlink xmlns:r="http://schemas.openxmlformats.org/officeDocument/2006/relationships" ref="K237" r:id="rId231"/>
    <hyperlink xmlns:r="http://schemas.openxmlformats.org/officeDocument/2006/relationships" ref="K238" r:id="rId232"/>
    <hyperlink xmlns:r="http://schemas.openxmlformats.org/officeDocument/2006/relationships" ref="K239" r:id="rId233"/>
    <hyperlink xmlns:r="http://schemas.openxmlformats.org/officeDocument/2006/relationships" ref="K240" r:id="rId234"/>
    <hyperlink xmlns:r="http://schemas.openxmlformats.org/officeDocument/2006/relationships" ref="K241" r:id="rId235"/>
    <hyperlink xmlns:r="http://schemas.openxmlformats.org/officeDocument/2006/relationships" ref="K242" r:id="rId236"/>
    <hyperlink xmlns:r="http://schemas.openxmlformats.org/officeDocument/2006/relationships" ref="K243" r:id="rId237"/>
    <hyperlink xmlns:r="http://schemas.openxmlformats.org/officeDocument/2006/relationships" ref="K244" r:id="rId238"/>
    <hyperlink xmlns:r="http://schemas.openxmlformats.org/officeDocument/2006/relationships" ref="K245" r:id="rId239"/>
    <hyperlink xmlns:r="http://schemas.openxmlformats.org/officeDocument/2006/relationships" ref="K246" r:id="rId240"/>
    <hyperlink xmlns:r="http://schemas.openxmlformats.org/officeDocument/2006/relationships" ref="K247" r:id="rId241"/>
    <hyperlink xmlns:r="http://schemas.openxmlformats.org/officeDocument/2006/relationships" ref="K248" r:id="rId242"/>
    <hyperlink xmlns:r="http://schemas.openxmlformats.org/officeDocument/2006/relationships" ref="K249" r:id="rId243"/>
    <hyperlink xmlns:r="http://schemas.openxmlformats.org/officeDocument/2006/relationships" ref="K250" r:id="rId244"/>
    <hyperlink xmlns:r="http://schemas.openxmlformats.org/officeDocument/2006/relationships" ref="K251" r:id="rId245"/>
    <hyperlink xmlns:r="http://schemas.openxmlformats.org/officeDocument/2006/relationships" ref="K252" r:id="rId246"/>
    <hyperlink xmlns:r="http://schemas.openxmlformats.org/officeDocument/2006/relationships" ref="K253" r:id="rId247"/>
    <hyperlink xmlns:r="http://schemas.openxmlformats.org/officeDocument/2006/relationships" ref="K254" r:id="rId248"/>
    <hyperlink xmlns:r="http://schemas.openxmlformats.org/officeDocument/2006/relationships" ref="K255" r:id="rId249"/>
    <hyperlink xmlns:r="http://schemas.openxmlformats.org/officeDocument/2006/relationships" ref="K256" r:id="rId250"/>
    <hyperlink xmlns:r="http://schemas.openxmlformats.org/officeDocument/2006/relationships" ref="K257" r:id="rId251"/>
    <hyperlink xmlns:r="http://schemas.openxmlformats.org/officeDocument/2006/relationships" ref="K258" r:id="rId252"/>
    <hyperlink xmlns:r="http://schemas.openxmlformats.org/officeDocument/2006/relationships" ref="K259" r:id="rId253"/>
    <hyperlink xmlns:r="http://schemas.openxmlformats.org/officeDocument/2006/relationships" ref="K260" r:id="rId254"/>
    <hyperlink xmlns:r="http://schemas.openxmlformats.org/officeDocument/2006/relationships" ref="K261" r:id="rId255"/>
    <hyperlink xmlns:r="http://schemas.openxmlformats.org/officeDocument/2006/relationships" ref="K262" r:id="rId256"/>
    <hyperlink xmlns:r="http://schemas.openxmlformats.org/officeDocument/2006/relationships" ref="K263" r:id="rId257"/>
    <hyperlink xmlns:r="http://schemas.openxmlformats.org/officeDocument/2006/relationships" ref="K264" r:id="rId258"/>
    <hyperlink xmlns:r="http://schemas.openxmlformats.org/officeDocument/2006/relationships" ref="K265" r:id="rId259"/>
    <hyperlink xmlns:r="http://schemas.openxmlformats.org/officeDocument/2006/relationships" ref="K266" r:id="rId260"/>
    <hyperlink xmlns:r="http://schemas.openxmlformats.org/officeDocument/2006/relationships" ref="K267" r:id="rId261"/>
    <hyperlink xmlns:r="http://schemas.openxmlformats.org/officeDocument/2006/relationships" ref="K268" r:id="rId262"/>
    <hyperlink xmlns:r="http://schemas.openxmlformats.org/officeDocument/2006/relationships" ref="K269" r:id="rId263"/>
    <hyperlink xmlns:r="http://schemas.openxmlformats.org/officeDocument/2006/relationships" ref="K270" r:id="rId264"/>
    <hyperlink xmlns:r="http://schemas.openxmlformats.org/officeDocument/2006/relationships" ref="K271" r:id="rId265"/>
    <hyperlink xmlns:r="http://schemas.openxmlformats.org/officeDocument/2006/relationships" ref="K272" r:id="rId266"/>
    <hyperlink xmlns:r="http://schemas.openxmlformats.org/officeDocument/2006/relationships" ref="K273" r:id="rId267"/>
    <hyperlink xmlns:r="http://schemas.openxmlformats.org/officeDocument/2006/relationships" ref="K274" r:id="rId268"/>
    <hyperlink xmlns:r="http://schemas.openxmlformats.org/officeDocument/2006/relationships" ref="K275" r:id="rId269"/>
    <hyperlink xmlns:r="http://schemas.openxmlformats.org/officeDocument/2006/relationships" ref="K276" r:id="rId270"/>
    <hyperlink xmlns:r="http://schemas.openxmlformats.org/officeDocument/2006/relationships" ref="K277" r:id="rId271"/>
    <hyperlink xmlns:r="http://schemas.openxmlformats.org/officeDocument/2006/relationships" ref="K278" r:id="rId272"/>
    <hyperlink xmlns:r="http://schemas.openxmlformats.org/officeDocument/2006/relationships" ref="K279" r:id="rId273"/>
    <hyperlink xmlns:r="http://schemas.openxmlformats.org/officeDocument/2006/relationships" ref="K280" r:id="rId274"/>
    <hyperlink xmlns:r="http://schemas.openxmlformats.org/officeDocument/2006/relationships" ref="K281" r:id="rId275"/>
    <hyperlink xmlns:r="http://schemas.openxmlformats.org/officeDocument/2006/relationships" ref="K282" r:id="rId276"/>
    <hyperlink xmlns:r="http://schemas.openxmlformats.org/officeDocument/2006/relationships" ref="K283" r:id="rId277"/>
    <hyperlink xmlns:r="http://schemas.openxmlformats.org/officeDocument/2006/relationships" ref="K284" r:id="rId278"/>
    <hyperlink xmlns:r="http://schemas.openxmlformats.org/officeDocument/2006/relationships" ref="K285" r:id="rId279"/>
    <hyperlink xmlns:r="http://schemas.openxmlformats.org/officeDocument/2006/relationships" ref="K286" r:id="rId280"/>
    <hyperlink xmlns:r="http://schemas.openxmlformats.org/officeDocument/2006/relationships" ref="K287" r:id="rId281"/>
    <hyperlink xmlns:r="http://schemas.openxmlformats.org/officeDocument/2006/relationships" ref="K288" r:id="rId282"/>
    <hyperlink xmlns:r="http://schemas.openxmlformats.org/officeDocument/2006/relationships" ref="K289" r:id="rId283"/>
    <hyperlink xmlns:r="http://schemas.openxmlformats.org/officeDocument/2006/relationships" ref="K290" r:id="rId284"/>
    <hyperlink xmlns:r="http://schemas.openxmlformats.org/officeDocument/2006/relationships" ref="K291" r:id="rId285"/>
    <hyperlink xmlns:r="http://schemas.openxmlformats.org/officeDocument/2006/relationships" ref="K292" r:id="rId286"/>
    <hyperlink xmlns:r="http://schemas.openxmlformats.org/officeDocument/2006/relationships" ref="K293" r:id="rId287"/>
    <hyperlink xmlns:r="http://schemas.openxmlformats.org/officeDocument/2006/relationships" ref="K294" r:id="rId288"/>
    <hyperlink xmlns:r="http://schemas.openxmlformats.org/officeDocument/2006/relationships" ref="K295" r:id="rId289"/>
    <hyperlink xmlns:r="http://schemas.openxmlformats.org/officeDocument/2006/relationships" ref="K296" r:id="rId290"/>
    <hyperlink xmlns:r="http://schemas.openxmlformats.org/officeDocument/2006/relationships" ref="K297" r:id="rId291"/>
    <hyperlink xmlns:r="http://schemas.openxmlformats.org/officeDocument/2006/relationships" ref="K298" r:id="rId292"/>
    <hyperlink xmlns:r="http://schemas.openxmlformats.org/officeDocument/2006/relationships" ref="K299" r:id="rId293"/>
    <hyperlink xmlns:r="http://schemas.openxmlformats.org/officeDocument/2006/relationships" ref="K300" r:id="rId294"/>
    <hyperlink xmlns:r="http://schemas.openxmlformats.org/officeDocument/2006/relationships" ref="K301" r:id="rId295"/>
    <hyperlink xmlns:r="http://schemas.openxmlformats.org/officeDocument/2006/relationships" ref="K302" r:id="rId296"/>
    <hyperlink xmlns:r="http://schemas.openxmlformats.org/officeDocument/2006/relationships" ref="K303" r:id="rId297"/>
    <hyperlink xmlns:r="http://schemas.openxmlformats.org/officeDocument/2006/relationships" ref="K304" r:id="rId298"/>
    <hyperlink xmlns:r="http://schemas.openxmlformats.org/officeDocument/2006/relationships" ref="K305" r:id="rId299"/>
    <hyperlink xmlns:r="http://schemas.openxmlformats.org/officeDocument/2006/relationships" ref="K306" r:id="rId300"/>
    <hyperlink xmlns:r="http://schemas.openxmlformats.org/officeDocument/2006/relationships" ref="K307" r:id="rId301"/>
    <hyperlink xmlns:r="http://schemas.openxmlformats.org/officeDocument/2006/relationships" ref="K308" r:id="rId302"/>
    <hyperlink xmlns:r="http://schemas.openxmlformats.org/officeDocument/2006/relationships" ref="K309" r:id="rId303"/>
    <hyperlink xmlns:r="http://schemas.openxmlformats.org/officeDocument/2006/relationships" ref="K310" r:id="rId304"/>
    <hyperlink xmlns:r="http://schemas.openxmlformats.org/officeDocument/2006/relationships" ref="K311" r:id="rId305"/>
    <hyperlink xmlns:r="http://schemas.openxmlformats.org/officeDocument/2006/relationships" ref="K312" r:id="rId306"/>
    <hyperlink xmlns:r="http://schemas.openxmlformats.org/officeDocument/2006/relationships" ref="K313" r:id="rId307"/>
    <hyperlink xmlns:r="http://schemas.openxmlformats.org/officeDocument/2006/relationships" ref="K314" r:id="rId308"/>
    <hyperlink xmlns:r="http://schemas.openxmlformats.org/officeDocument/2006/relationships" ref="K315" r:id="rId309"/>
    <hyperlink xmlns:r="http://schemas.openxmlformats.org/officeDocument/2006/relationships" ref="K316" r:id="rId310"/>
    <hyperlink xmlns:r="http://schemas.openxmlformats.org/officeDocument/2006/relationships" ref="K317" r:id="rId311"/>
    <hyperlink xmlns:r="http://schemas.openxmlformats.org/officeDocument/2006/relationships" ref="K318" r:id="rId312"/>
    <hyperlink xmlns:r="http://schemas.openxmlformats.org/officeDocument/2006/relationships" ref="K319" r:id="rId313"/>
    <hyperlink xmlns:r="http://schemas.openxmlformats.org/officeDocument/2006/relationships" ref="K320" r:id="rId314"/>
    <hyperlink xmlns:r="http://schemas.openxmlformats.org/officeDocument/2006/relationships" ref="K321" r:id="rId315"/>
    <hyperlink xmlns:r="http://schemas.openxmlformats.org/officeDocument/2006/relationships" ref="K322" r:id="rId316"/>
    <hyperlink xmlns:r="http://schemas.openxmlformats.org/officeDocument/2006/relationships" ref="K323" r:id="rId317"/>
    <hyperlink xmlns:r="http://schemas.openxmlformats.org/officeDocument/2006/relationships" ref="K324" r:id="rId318"/>
    <hyperlink xmlns:r="http://schemas.openxmlformats.org/officeDocument/2006/relationships" ref="K325" r:id="rId319"/>
    <hyperlink xmlns:r="http://schemas.openxmlformats.org/officeDocument/2006/relationships" ref="K326" r:id="rId320"/>
    <hyperlink xmlns:r="http://schemas.openxmlformats.org/officeDocument/2006/relationships" ref="K327" r:id="rId321"/>
    <hyperlink xmlns:r="http://schemas.openxmlformats.org/officeDocument/2006/relationships" ref="K328" r:id="rId322"/>
    <hyperlink xmlns:r="http://schemas.openxmlformats.org/officeDocument/2006/relationships" ref="K329" r:id="rId323"/>
    <hyperlink xmlns:r="http://schemas.openxmlformats.org/officeDocument/2006/relationships" ref="K330" r:id="rId324"/>
    <hyperlink xmlns:r="http://schemas.openxmlformats.org/officeDocument/2006/relationships" ref="K331" r:id="rId325"/>
    <hyperlink xmlns:r="http://schemas.openxmlformats.org/officeDocument/2006/relationships" ref="K332" r:id="rId326"/>
    <hyperlink xmlns:r="http://schemas.openxmlformats.org/officeDocument/2006/relationships" ref="K333" r:id="rId327"/>
    <hyperlink xmlns:r="http://schemas.openxmlformats.org/officeDocument/2006/relationships" ref="K334" r:id="rId328"/>
    <hyperlink xmlns:r="http://schemas.openxmlformats.org/officeDocument/2006/relationships" ref="K335" r:id="rId329"/>
    <hyperlink xmlns:r="http://schemas.openxmlformats.org/officeDocument/2006/relationships" ref="K336" r:id="rId330"/>
    <hyperlink xmlns:r="http://schemas.openxmlformats.org/officeDocument/2006/relationships" ref="K337" r:id="rId331"/>
    <hyperlink xmlns:r="http://schemas.openxmlformats.org/officeDocument/2006/relationships" ref="K338" r:id="rId332"/>
    <hyperlink xmlns:r="http://schemas.openxmlformats.org/officeDocument/2006/relationships" ref="K339" r:id="rId333"/>
    <hyperlink xmlns:r="http://schemas.openxmlformats.org/officeDocument/2006/relationships" ref="K340" r:id="rId334"/>
    <hyperlink xmlns:r="http://schemas.openxmlformats.org/officeDocument/2006/relationships" ref="K341" r:id="rId335"/>
    <hyperlink xmlns:r="http://schemas.openxmlformats.org/officeDocument/2006/relationships" ref="K342" r:id="rId336"/>
    <hyperlink xmlns:r="http://schemas.openxmlformats.org/officeDocument/2006/relationships" ref="K343" r:id="rId337"/>
    <hyperlink xmlns:r="http://schemas.openxmlformats.org/officeDocument/2006/relationships" ref="K344" r:id="rId338"/>
    <hyperlink xmlns:r="http://schemas.openxmlformats.org/officeDocument/2006/relationships" ref="K345" r:id="rId339"/>
    <hyperlink xmlns:r="http://schemas.openxmlformats.org/officeDocument/2006/relationships" ref="K346" r:id="rId340"/>
    <hyperlink xmlns:r="http://schemas.openxmlformats.org/officeDocument/2006/relationships" ref="K347" r:id="rId341"/>
    <hyperlink xmlns:r="http://schemas.openxmlformats.org/officeDocument/2006/relationships" ref="K348" r:id="rId342"/>
    <hyperlink xmlns:r="http://schemas.openxmlformats.org/officeDocument/2006/relationships" ref="K349" r:id="rId343"/>
    <hyperlink xmlns:r="http://schemas.openxmlformats.org/officeDocument/2006/relationships" ref="K350" r:id="rId344"/>
    <hyperlink xmlns:r="http://schemas.openxmlformats.org/officeDocument/2006/relationships" ref="K351" r:id="rId345"/>
    <hyperlink xmlns:r="http://schemas.openxmlformats.org/officeDocument/2006/relationships" ref="K352" r:id="rId346"/>
    <hyperlink xmlns:r="http://schemas.openxmlformats.org/officeDocument/2006/relationships" ref="K353" r:id="rId347"/>
    <hyperlink xmlns:r="http://schemas.openxmlformats.org/officeDocument/2006/relationships" ref="K354" r:id="rId348"/>
    <hyperlink xmlns:r="http://schemas.openxmlformats.org/officeDocument/2006/relationships" ref="K355" r:id="rId349"/>
    <hyperlink xmlns:r="http://schemas.openxmlformats.org/officeDocument/2006/relationships" ref="K356" r:id="rId350"/>
    <hyperlink xmlns:r="http://schemas.openxmlformats.org/officeDocument/2006/relationships" ref="K357" r:id="rId351"/>
    <hyperlink xmlns:r="http://schemas.openxmlformats.org/officeDocument/2006/relationships" ref="K358" r:id="rId352"/>
    <hyperlink xmlns:r="http://schemas.openxmlformats.org/officeDocument/2006/relationships" ref="K359" r:id="rId353"/>
    <hyperlink xmlns:r="http://schemas.openxmlformats.org/officeDocument/2006/relationships" ref="K360" r:id="rId354"/>
    <hyperlink xmlns:r="http://schemas.openxmlformats.org/officeDocument/2006/relationships" ref="K361" r:id="rId355"/>
    <hyperlink xmlns:r="http://schemas.openxmlformats.org/officeDocument/2006/relationships" ref="K362" r:id="rId356"/>
    <hyperlink xmlns:r="http://schemas.openxmlformats.org/officeDocument/2006/relationships" ref="K363" r:id="rId357"/>
    <hyperlink xmlns:r="http://schemas.openxmlformats.org/officeDocument/2006/relationships" ref="K364" r:id="rId358"/>
    <hyperlink xmlns:r="http://schemas.openxmlformats.org/officeDocument/2006/relationships" ref="K365" r:id="rId359"/>
    <hyperlink xmlns:r="http://schemas.openxmlformats.org/officeDocument/2006/relationships" ref="K366" r:id="rId360"/>
    <hyperlink xmlns:r="http://schemas.openxmlformats.org/officeDocument/2006/relationships" ref="K367" r:id="rId361"/>
    <hyperlink xmlns:r="http://schemas.openxmlformats.org/officeDocument/2006/relationships" ref="K368" r:id="rId362"/>
    <hyperlink xmlns:r="http://schemas.openxmlformats.org/officeDocument/2006/relationships" ref="K369" r:id="rId363"/>
    <hyperlink xmlns:r="http://schemas.openxmlformats.org/officeDocument/2006/relationships" ref="K370" r:id="rId364"/>
    <hyperlink xmlns:r="http://schemas.openxmlformats.org/officeDocument/2006/relationships" ref="K371" r:id="rId365"/>
    <hyperlink xmlns:r="http://schemas.openxmlformats.org/officeDocument/2006/relationships" ref="K372" r:id="rId366"/>
    <hyperlink xmlns:r="http://schemas.openxmlformats.org/officeDocument/2006/relationships" ref="K373" r:id="rId367"/>
    <hyperlink xmlns:r="http://schemas.openxmlformats.org/officeDocument/2006/relationships" ref="K374" r:id="rId368"/>
    <hyperlink xmlns:r="http://schemas.openxmlformats.org/officeDocument/2006/relationships" ref="K375" r:id="rId369"/>
    <hyperlink xmlns:r="http://schemas.openxmlformats.org/officeDocument/2006/relationships" ref="K376" r:id="rId370"/>
    <hyperlink xmlns:r="http://schemas.openxmlformats.org/officeDocument/2006/relationships" ref="K377" r:id="rId371"/>
    <hyperlink xmlns:r="http://schemas.openxmlformats.org/officeDocument/2006/relationships" ref="K378" r:id="rId372"/>
    <hyperlink xmlns:r="http://schemas.openxmlformats.org/officeDocument/2006/relationships" ref="K379" r:id="rId373"/>
    <hyperlink xmlns:r="http://schemas.openxmlformats.org/officeDocument/2006/relationships" ref="K380" r:id="rId374"/>
    <hyperlink xmlns:r="http://schemas.openxmlformats.org/officeDocument/2006/relationships" ref="K381" r:id="rId375"/>
    <hyperlink xmlns:r="http://schemas.openxmlformats.org/officeDocument/2006/relationships" ref="K382" r:id="rId376"/>
    <hyperlink xmlns:r="http://schemas.openxmlformats.org/officeDocument/2006/relationships" ref="K383" r:id="rId377"/>
    <hyperlink xmlns:r="http://schemas.openxmlformats.org/officeDocument/2006/relationships" ref="K384" r:id="rId378"/>
    <hyperlink xmlns:r="http://schemas.openxmlformats.org/officeDocument/2006/relationships" ref="K385" r:id="rId379"/>
    <hyperlink xmlns:r="http://schemas.openxmlformats.org/officeDocument/2006/relationships" ref="K386" r:id="rId380"/>
    <hyperlink xmlns:r="http://schemas.openxmlformats.org/officeDocument/2006/relationships" ref="K387" r:id="rId381"/>
    <hyperlink xmlns:r="http://schemas.openxmlformats.org/officeDocument/2006/relationships" ref="K388" r:id="rId382"/>
    <hyperlink xmlns:r="http://schemas.openxmlformats.org/officeDocument/2006/relationships" ref="K389" r:id="rId383"/>
    <hyperlink xmlns:r="http://schemas.openxmlformats.org/officeDocument/2006/relationships" ref="K390" r:id="rId384"/>
    <hyperlink xmlns:r="http://schemas.openxmlformats.org/officeDocument/2006/relationships" ref="K391" r:id="rId385"/>
    <hyperlink xmlns:r="http://schemas.openxmlformats.org/officeDocument/2006/relationships" ref="K392" r:id="rId386"/>
    <hyperlink xmlns:r="http://schemas.openxmlformats.org/officeDocument/2006/relationships" ref="K393" r:id="rId387"/>
    <hyperlink xmlns:r="http://schemas.openxmlformats.org/officeDocument/2006/relationships" ref="K394" r:id="rId388"/>
    <hyperlink xmlns:r="http://schemas.openxmlformats.org/officeDocument/2006/relationships" ref="K395" r:id="rId389"/>
    <hyperlink xmlns:r="http://schemas.openxmlformats.org/officeDocument/2006/relationships" ref="K396" r:id="rId390"/>
    <hyperlink xmlns:r="http://schemas.openxmlformats.org/officeDocument/2006/relationships" ref="K397" r:id="rId391"/>
    <hyperlink xmlns:r="http://schemas.openxmlformats.org/officeDocument/2006/relationships" ref="K398" r:id="rId392"/>
    <hyperlink xmlns:r="http://schemas.openxmlformats.org/officeDocument/2006/relationships" ref="K399" r:id="rId393"/>
    <hyperlink xmlns:r="http://schemas.openxmlformats.org/officeDocument/2006/relationships" ref="K400" r:id="rId394"/>
    <hyperlink xmlns:r="http://schemas.openxmlformats.org/officeDocument/2006/relationships" ref="K401" r:id="rId395"/>
    <hyperlink xmlns:r="http://schemas.openxmlformats.org/officeDocument/2006/relationships" ref="K402" r:id="rId396"/>
    <hyperlink xmlns:r="http://schemas.openxmlformats.org/officeDocument/2006/relationships" ref="K403" r:id="rId397"/>
    <hyperlink xmlns:r="http://schemas.openxmlformats.org/officeDocument/2006/relationships" ref="K404" r:id="rId398"/>
    <hyperlink xmlns:r="http://schemas.openxmlformats.org/officeDocument/2006/relationships" ref="K405" r:id="rId399"/>
    <hyperlink xmlns:r="http://schemas.openxmlformats.org/officeDocument/2006/relationships" ref="K406" r:id="rId400"/>
    <hyperlink xmlns:r="http://schemas.openxmlformats.org/officeDocument/2006/relationships" ref="K407" r:id="rId401"/>
    <hyperlink xmlns:r="http://schemas.openxmlformats.org/officeDocument/2006/relationships" ref="K408" r:id="rId402"/>
    <hyperlink xmlns:r="http://schemas.openxmlformats.org/officeDocument/2006/relationships" ref="K409" r:id="rId403"/>
    <hyperlink xmlns:r="http://schemas.openxmlformats.org/officeDocument/2006/relationships" ref="K410" r:id="rId404"/>
    <hyperlink xmlns:r="http://schemas.openxmlformats.org/officeDocument/2006/relationships" ref="K411" r:id="rId405"/>
    <hyperlink xmlns:r="http://schemas.openxmlformats.org/officeDocument/2006/relationships" ref="K412" r:id="rId406"/>
    <hyperlink xmlns:r="http://schemas.openxmlformats.org/officeDocument/2006/relationships" ref="K413" r:id="rId407"/>
    <hyperlink xmlns:r="http://schemas.openxmlformats.org/officeDocument/2006/relationships" ref="K414" r:id="rId408"/>
    <hyperlink xmlns:r="http://schemas.openxmlformats.org/officeDocument/2006/relationships" ref="K415" r:id="rId409"/>
    <hyperlink xmlns:r="http://schemas.openxmlformats.org/officeDocument/2006/relationships" ref="K416" r:id="rId410"/>
    <hyperlink xmlns:r="http://schemas.openxmlformats.org/officeDocument/2006/relationships" ref="K417" r:id="rId411"/>
    <hyperlink xmlns:r="http://schemas.openxmlformats.org/officeDocument/2006/relationships" ref="K418" r:id="rId412"/>
    <hyperlink xmlns:r="http://schemas.openxmlformats.org/officeDocument/2006/relationships" ref="K419" r:id="rId413"/>
    <hyperlink xmlns:r="http://schemas.openxmlformats.org/officeDocument/2006/relationships" ref="K420" r:id="rId414"/>
    <hyperlink xmlns:r="http://schemas.openxmlformats.org/officeDocument/2006/relationships" ref="K421" r:id="rId415"/>
    <hyperlink xmlns:r="http://schemas.openxmlformats.org/officeDocument/2006/relationships" ref="K422" r:id="rId416"/>
    <hyperlink xmlns:r="http://schemas.openxmlformats.org/officeDocument/2006/relationships" ref="K423" r:id="rId417"/>
    <hyperlink xmlns:r="http://schemas.openxmlformats.org/officeDocument/2006/relationships" ref="K424" r:id="rId418"/>
    <hyperlink xmlns:r="http://schemas.openxmlformats.org/officeDocument/2006/relationships" ref="K425" r:id="rId419"/>
    <hyperlink xmlns:r="http://schemas.openxmlformats.org/officeDocument/2006/relationships" ref="K426" r:id="rId420"/>
    <hyperlink xmlns:r="http://schemas.openxmlformats.org/officeDocument/2006/relationships" ref="K427" r:id="rId421"/>
    <hyperlink xmlns:r="http://schemas.openxmlformats.org/officeDocument/2006/relationships" ref="K428" r:id="rId422"/>
    <hyperlink xmlns:r="http://schemas.openxmlformats.org/officeDocument/2006/relationships" ref="K429" r:id="rId423"/>
    <hyperlink xmlns:r="http://schemas.openxmlformats.org/officeDocument/2006/relationships" ref="K430" r:id="rId424"/>
    <hyperlink xmlns:r="http://schemas.openxmlformats.org/officeDocument/2006/relationships" ref="K431" r:id="rId425"/>
    <hyperlink xmlns:r="http://schemas.openxmlformats.org/officeDocument/2006/relationships" ref="K432" r:id="rId426"/>
    <hyperlink xmlns:r="http://schemas.openxmlformats.org/officeDocument/2006/relationships" ref="K433" r:id="rId427"/>
    <hyperlink xmlns:r="http://schemas.openxmlformats.org/officeDocument/2006/relationships" ref="K434" r:id="rId428"/>
    <hyperlink xmlns:r="http://schemas.openxmlformats.org/officeDocument/2006/relationships" ref="K435" r:id="rId429"/>
    <hyperlink xmlns:r="http://schemas.openxmlformats.org/officeDocument/2006/relationships" ref="K436" r:id="rId430"/>
    <hyperlink xmlns:r="http://schemas.openxmlformats.org/officeDocument/2006/relationships" ref="K437" r:id="rId431"/>
    <hyperlink xmlns:r="http://schemas.openxmlformats.org/officeDocument/2006/relationships" ref="K438" r:id="rId432"/>
    <hyperlink xmlns:r="http://schemas.openxmlformats.org/officeDocument/2006/relationships" ref="K439" r:id="rId433"/>
    <hyperlink xmlns:r="http://schemas.openxmlformats.org/officeDocument/2006/relationships" ref="K440" r:id="rId434"/>
    <hyperlink xmlns:r="http://schemas.openxmlformats.org/officeDocument/2006/relationships" ref="K441" r:id="rId435"/>
    <hyperlink xmlns:r="http://schemas.openxmlformats.org/officeDocument/2006/relationships" ref="K442" r:id="rId436"/>
    <hyperlink xmlns:r="http://schemas.openxmlformats.org/officeDocument/2006/relationships" ref="K443" r:id="rId437"/>
    <hyperlink xmlns:r="http://schemas.openxmlformats.org/officeDocument/2006/relationships" ref="K444" r:id="rId438"/>
    <hyperlink xmlns:r="http://schemas.openxmlformats.org/officeDocument/2006/relationships" ref="K445" r:id="rId439"/>
    <hyperlink xmlns:r="http://schemas.openxmlformats.org/officeDocument/2006/relationships" ref="K446" r:id="rId440"/>
    <hyperlink xmlns:r="http://schemas.openxmlformats.org/officeDocument/2006/relationships" ref="K447" r:id="rId441"/>
    <hyperlink xmlns:r="http://schemas.openxmlformats.org/officeDocument/2006/relationships" ref="K448" r:id="rId442"/>
    <hyperlink xmlns:r="http://schemas.openxmlformats.org/officeDocument/2006/relationships" ref="K449" r:id="rId443"/>
    <hyperlink xmlns:r="http://schemas.openxmlformats.org/officeDocument/2006/relationships" ref="K450" r:id="rId444"/>
    <hyperlink xmlns:r="http://schemas.openxmlformats.org/officeDocument/2006/relationships" ref="K451" r:id="rId445"/>
    <hyperlink xmlns:r="http://schemas.openxmlformats.org/officeDocument/2006/relationships" ref="K452" r:id="rId446"/>
    <hyperlink xmlns:r="http://schemas.openxmlformats.org/officeDocument/2006/relationships" ref="K453" r:id="rId447"/>
    <hyperlink xmlns:r="http://schemas.openxmlformats.org/officeDocument/2006/relationships" ref="K454" r:id="rId448"/>
    <hyperlink xmlns:r="http://schemas.openxmlformats.org/officeDocument/2006/relationships" ref="K455" r:id="rId449"/>
    <hyperlink xmlns:r="http://schemas.openxmlformats.org/officeDocument/2006/relationships" ref="K456" r:id="rId450"/>
    <hyperlink xmlns:r="http://schemas.openxmlformats.org/officeDocument/2006/relationships" ref="K457" r:id="rId451"/>
    <hyperlink xmlns:r="http://schemas.openxmlformats.org/officeDocument/2006/relationships" ref="K458" r:id="rId452"/>
    <hyperlink xmlns:r="http://schemas.openxmlformats.org/officeDocument/2006/relationships" ref="K459" r:id="rId453"/>
    <hyperlink xmlns:r="http://schemas.openxmlformats.org/officeDocument/2006/relationships" ref="K460" r:id="rId454"/>
    <hyperlink xmlns:r="http://schemas.openxmlformats.org/officeDocument/2006/relationships" ref="K461" r:id="rId455"/>
    <hyperlink xmlns:r="http://schemas.openxmlformats.org/officeDocument/2006/relationships" ref="K462" r:id="rId456"/>
    <hyperlink xmlns:r="http://schemas.openxmlformats.org/officeDocument/2006/relationships" ref="K463" r:id="rId457"/>
    <hyperlink xmlns:r="http://schemas.openxmlformats.org/officeDocument/2006/relationships" ref="K464" r:id="rId458"/>
    <hyperlink xmlns:r="http://schemas.openxmlformats.org/officeDocument/2006/relationships" ref="K465" r:id="rId459"/>
    <hyperlink xmlns:r="http://schemas.openxmlformats.org/officeDocument/2006/relationships" ref="K466" r:id="rId460"/>
    <hyperlink xmlns:r="http://schemas.openxmlformats.org/officeDocument/2006/relationships" ref="K467" r:id="rId461"/>
    <hyperlink xmlns:r="http://schemas.openxmlformats.org/officeDocument/2006/relationships" ref="K468" r:id="rId462"/>
    <hyperlink xmlns:r="http://schemas.openxmlformats.org/officeDocument/2006/relationships" ref="K469" r:id="rId463"/>
    <hyperlink xmlns:r="http://schemas.openxmlformats.org/officeDocument/2006/relationships" ref="K470" r:id="rId464"/>
    <hyperlink xmlns:r="http://schemas.openxmlformats.org/officeDocument/2006/relationships" ref="K471" r:id="rId465"/>
    <hyperlink xmlns:r="http://schemas.openxmlformats.org/officeDocument/2006/relationships" ref="K472" r:id="rId466"/>
    <hyperlink xmlns:r="http://schemas.openxmlformats.org/officeDocument/2006/relationships" ref="K473" r:id="rId467"/>
    <hyperlink xmlns:r="http://schemas.openxmlformats.org/officeDocument/2006/relationships" ref="K474" r:id="rId468"/>
    <hyperlink xmlns:r="http://schemas.openxmlformats.org/officeDocument/2006/relationships" ref="K475" r:id="rId469"/>
    <hyperlink xmlns:r="http://schemas.openxmlformats.org/officeDocument/2006/relationships" ref="K476" r:id="rId470"/>
    <hyperlink xmlns:r="http://schemas.openxmlformats.org/officeDocument/2006/relationships" ref="K477" r:id="rId471"/>
    <hyperlink xmlns:r="http://schemas.openxmlformats.org/officeDocument/2006/relationships" ref="K478" r:id="rId472"/>
    <hyperlink xmlns:r="http://schemas.openxmlformats.org/officeDocument/2006/relationships" ref="K479" r:id="rId473"/>
    <hyperlink xmlns:r="http://schemas.openxmlformats.org/officeDocument/2006/relationships" ref="K480" r:id="rId474"/>
    <hyperlink xmlns:r="http://schemas.openxmlformats.org/officeDocument/2006/relationships" ref="K481" r:id="rId475"/>
    <hyperlink xmlns:r="http://schemas.openxmlformats.org/officeDocument/2006/relationships" ref="K482" r:id="rId476"/>
    <hyperlink xmlns:r="http://schemas.openxmlformats.org/officeDocument/2006/relationships" ref="K483" r:id="rId477"/>
    <hyperlink xmlns:r="http://schemas.openxmlformats.org/officeDocument/2006/relationships" ref="K484" r:id="rId478"/>
    <hyperlink xmlns:r="http://schemas.openxmlformats.org/officeDocument/2006/relationships" ref="K485" r:id="rId479"/>
    <hyperlink xmlns:r="http://schemas.openxmlformats.org/officeDocument/2006/relationships" ref="K486" r:id="rId480"/>
    <hyperlink xmlns:r="http://schemas.openxmlformats.org/officeDocument/2006/relationships" ref="K487" r:id="rId481"/>
    <hyperlink xmlns:r="http://schemas.openxmlformats.org/officeDocument/2006/relationships" ref="K488" r:id="rId482"/>
    <hyperlink xmlns:r="http://schemas.openxmlformats.org/officeDocument/2006/relationships" ref="K489" r:id="rId483"/>
    <hyperlink xmlns:r="http://schemas.openxmlformats.org/officeDocument/2006/relationships" ref="K490" r:id="rId484"/>
    <hyperlink xmlns:r="http://schemas.openxmlformats.org/officeDocument/2006/relationships" ref="K491" r:id="rId485"/>
    <hyperlink xmlns:r="http://schemas.openxmlformats.org/officeDocument/2006/relationships" ref="K492" r:id="rId486"/>
    <hyperlink xmlns:r="http://schemas.openxmlformats.org/officeDocument/2006/relationships" ref="K493" r:id="rId487"/>
    <hyperlink xmlns:r="http://schemas.openxmlformats.org/officeDocument/2006/relationships" ref="K494" r:id="rId488"/>
    <hyperlink xmlns:r="http://schemas.openxmlformats.org/officeDocument/2006/relationships" ref="K495" r:id="rId489"/>
    <hyperlink xmlns:r="http://schemas.openxmlformats.org/officeDocument/2006/relationships" ref="K496" r:id="rId490"/>
    <hyperlink xmlns:r="http://schemas.openxmlformats.org/officeDocument/2006/relationships" ref="K497" r:id="rId491"/>
    <hyperlink xmlns:r="http://schemas.openxmlformats.org/officeDocument/2006/relationships" ref="K498" r:id="rId492"/>
    <hyperlink xmlns:r="http://schemas.openxmlformats.org/officeDocument/2006/relationships" ref="K499" r:id="rId493"/>
    <hyperlink xmlns:r="http://schemas.openxmlformats.org/officeDocument/2006/relationships" ref="K500" r:id="rId494"/>
    <hyperlink xmlns:r="http://schemas.openxmlformats.org/officeDocument/2006/relationships" ref="K501" r:id="rId495"/>
    <hyperlink xmlns:r="http://schemas.openxmlformats.org/officeDocument/2006/relationships" ref="K502" r:id="rId496"/>
    <hyperlink xmlns:r="http://schemas.openxmlformats.org/officeDocument/2006/relationships" ref="K503" r:id="rId497"/>
    <hyperlink xmlns:r="http://schemas.openxmlformats.org/officeDocument/2006/relationships" ref="K504" r:id="rId498"/>
    <hyperlink xmlns:r="http://schemas.openxmlformats.org/officeDocument/2006/relationships" ref="K505" r:id="rId499"/>
    <hyperlink xmlns:r="http://schemas.openxmlformats.org/officeDocument/2006/relationships" ref="K506" r:id="rId500"/>
    <hyperlink xmlns:r="http://schemas.openxmlformats.org/officeDocument/2006/relationships" ref="K507" r:id="rId501"/>
    <hyperlink xmlns:r="http://schemas.openxmlformats.org/officeDocument/2006/relationships" ref="K508" r:id="rId502"/>
    <hyperlink xmlns:r="http://schemas.openxmlformats.org/officeDocument/2006/relationships" ref="K509" r:id="rId503"/>
    <hyperlink xmlns:r="http://schemas.openxmlformats.org/officeDocument/2006/relationships" ref="K510" r:id="rId504"/>
    <hyperlink xmlns:r="http://schemas.openxmlformats.org/officeDocument/2006/relationships" ref="K511" r:id="rId505"/>
    <hyperlink xmlns:r="http://schemas.openxmlformats.org/officeDocument/2006/relationships" ref="K512" r:id="rId506"/>
    <hyperlink xmlns:r="http://schemas.openxmlformats.org/officeDocument/2006/relationships" ref="K513" r:id="rId507"/>
    <hyperlink xmlns:r="http://schemas.openxmlformats.org/officeDocument/2006/relationships" ref="K514" r:id="rId508"/>
    <hyperlink xmlns:r="http://schemas.openxmlformats.org/officeDocument/2006/relationships" ref="K515" r:id="rId509"/>
    <hyperlink xmlns:r="http://schemas.openxmlformats.org/officeDocument/2006/relationships" ref="K516" r:id="rId510"/>
    <hyperlink xmlns:r="http://schemas.openxmlformats.org/officeDocument/2006/relationships" ref="K517" r:id="rId511"/>
    <hyperlink xmlns:r="http://schemas.openxmlformats.org/officeDocument/2006/relationships" ref="K518" r:id="rId512"/>
    <hyperlink xmlns:r="http://schemas.openxmlformats.org/officeDocument/2006/relationships" ref="K519" r:id="rId513"/>
    <hyperlink xmlns:r="http://schemas.openxmlformats.org/officeDocument/2006/relationships" ref="K520" r:id="rId514"/>
    <hyperlink xmlns:r="http://schemas.openxmlformats.org/officeDocument/2006/relationships" ref="K521" r:id="rId515"/>
    <hyperlink xmlns:r="http://schemas.openxmlformats.org/officeDocument/2006/relationships" ref="K522" r:id="rId516"/>
    <hyperlink xmlns:r="http://schemas.openxmlformats.org/officeDocument/2006/relationships" ref="K523" r:id="rId517"/>
    <hyperlink xmlns:r="http://schemas.openxmlformats.org/officeDocument/2006/relationships" ref="K524" r:id="rId518"/>
    <hyperlink xmlns:r="http://schemas.openxmlformats.org/officeDocument/2006/relationships" ref="K525" r:id="rId519"/>
    <hyperlink xmlns:r="http://schemas.openxmlformats.org/officeDocument/2006/relationships" ref="K526" r:id="rId520"/>
    <hyperlink xmlns:r="http://schemas.openxmlformats.org/officeDocument/2006/relationships" ref="K527" r:id="rId521"/>
    <hyperlink xmlns:r="http://schemas.openxmlformats.org/officeDocument/2006/relationships" ref="K528" r:id="rId522"/>
    <hyperlink xmlns:r="http://schemas.openxmlformats.org/officeDocument/2006/relationships" ref="K529" r:id="rId523"/>
    <hyperlink xmlns:r="http://schemas.openxmlformats.org/officeDocument/2006/relationships" ref="K530" r:id="rId524"/>
    <hyperlink xmlns:r="http://schemas.openxmlformats.org/officeDocument/2006/relationships" ref="K531" r:id="rId525"/>
    <hyperlink xmlns:r="http://schemas.openxmlformats.org/officeDocument/2006/relationships" ref="K532" r:id="rId526"/>
    <hyperlink xmlns:r="http://schemas.openxmlformats.org/officeDocument/2006/relationships" ref="K533" r:id="rId527"/>
    <hyperlink xmlns:r="http://schemas.openxmlformats.org/officeDocument/2006/relationships" ref="K534" r:id="rId528"/>
    <hyperlink xmlns:r="http://schemas.openxmlformats.org/officeDocument/2006/relationships" ref="K535" r:id="rId529"/>
    <hyperlink xmlns:r="http://schemas.openxmlformats.org/officeDocument/2006/relationships" ref="K536" r:id="rId530"/>
    <hyperlink xmlns:r="http://schemas.openxmlformats.org/officeDocument/2006/relationships" ref="K537" r:id="rId531"/>
    <hyperlink xmlns:r="http://schemas.openxmlformats.org/officeDocument/2006/relationships" ref="K538" r:id="rId532"/>
    <hyperlink xmlns:r="http://schemas.openxmlformats.org/officeDocument/2006/relationships" ref="K539" r:id="rId533"/>
    <hyperlink xmlns:r="http://schemas.openxmlformats.org/officeDocument/2006/relationships" ref="K540" r:id="rId534"/>
    <hyperlink xmlns:r="http://schemas.openxmlformats.org/officeDocument/2006/relationships" ref="K541" r:id="rId535"/>
    <hyperlink xmlns:r="http://schemas.openxmlformats.org/officeDocument/2006/relationships" ref="K542" r:id="rId536"/>
    <hyperlink xmlns:r="http://schemas.openxmlformats.org/officeDocument/2006/relationships" ref="K543" r:id="rId537"/>
    <hyperlink xmlns:r="http://schemas.openxmlformats.org/officeDocument/2006/relationships" ref="K544" r:id="rId538"/>
    <hyperlink xmlns:r="http://schemas.openxmlformats.org/officeDocument/2006/relationships" ref="K545" r:id="rId539"/>
    <hyperlink xmlns:r="http://schemas.openxmlformats.org/officeDocument/2006/relationships" ref="K546" r:id="rId540"/>
    <hyperlink xmlns:r="http://schemas.openxmlformats.org/officeDocument/2006/relationships" ref="K547" r:id="rId541"/>
    <hyperlink xmlns:r="http://schemas.openxmlformats.org/officeDocument/2006/relationships" ref="K548" r:id="rId542"/>
    <hyperlink xmlns:r="http://schemas.openxmlformats.org/officeDocument/2006/relationships" ref="K549" r:id="rId543"/>
    <hyperlink xmlns:r="http://schemas.openxmlformats.org/officeDocument/2006/relationships" ref="K550" r:id="rId544"/>
    <hyperlink xmlns:r="http://schemas.openxmlformats.org/officeDocument/2006/relationships" ref="K551" r:id="rId545"/>
    <hyperlink xmlns:r="http://schemas.openxmlformats.org/officeDocument/2006/relationships" ref="K552" r:id="rId546"/>
    <hyperlink xmlns:r="http://schemas.openxmlformats.org/officeDocument/2006/relationships" ref="K553" r:id="rId547"/>
    <hyperlink xmlns:r="http://schemas.openxmlformats.org/officeDocument/2006/relationships" ref="K554" r:id="rId548"/>
    <hyperlink xmlns:r="http://schemas.openxmlformats.org/officeDocument/2006/relationships" ref="K555" r:id="rId549"/>
    <hyperlink xmlns:r="http://schemas.openxmlformats.org/officeDocument/2006/relationships" ref="K556" r:id="rId550"/>
    <hyperlink xmlns:r="http://schemas.openxmlformats.org/officeDocument/2006/relationships" ref="K557" r:id="rId551"/>
    <hyperlink xmlns:r="http://schemas.openxmlformats.org/officeDocument/2006/relationships" ref="K558" r:id="rId552"/>
    <hyperlink xmlns:r="http://schemas.openxmlformats.org/officeDocument/2006/relationships" ref="K559" r:id="rId553"/>
    <hyperlink xmlns:r="http://schemas.openxmlformats.org/officeDocument/2006/relationships" ref="K560" r:id="rId554"/>
    <hyperlink xmlns:r="http://schemas.openxmlformats.org/officeDocument/2006/relationships" ref="K561" r:id="rId555"/>
    <hyperlink xmlns:r="http://schemas.openxmlformats.org/officeDocument/2006/relationships" ref="K562" r:id="rId556"/>
    <hyperlink xmlns:r="http://schemas.openxmlformats.org/officeDocument/2006/relationships" ref="K563" r:id="rId557"/>
    <hyperlink xmlns:r="http://schemas.openxmlformats.org/officeDocument/2006/relationships" ref="K564" r:id="rId558"/>
    <hyperlink xmlns:r="http://schemas.openxmlformats.org/officeDocument/2006/relationships" ref="K565" r:id="rId559"/>
    <hyperlink xmlns:r="http://schemas.openxmlformats.org/officeDocument/2006/relationships" ref="K566" r:id="rId560"/>
    <hyperlink xmlns:r="http://schemas.openxmlformats.org/officeDocument/2006/relationships" ref="K567" r:id="rId561"/>
    <hyperlink xmlns:r="http://schemas.openxmlformats.org/officeDocument/2006/relationships" ref="K568" r:id="rId562"/>
    <hyperlink xmlns:r="http://schemas.openxmlformats.org/officeDocument/2006/relationships" ref="K569" r:id="rId563"/>
    <hyperlink xmlns:r="http://schemas.openxmlformats.org/officeDocument/2006/relationships" ref="K570" r:id="rId564"/>
    <hyperlink xmlns:r="http://schemas.openxmlformats.org/officeDocument/2006/relationships" ref="K571" r:id="rId565"/>
    <hyperlink xmlns:r="http://schemas.openxmlformats.org/officeDocument/2006/relationships" ref="K572" r:id="rId566"/>
    <hyperlink xmlns:r="http://schemas.openxmlformats.org/officeDocument/2006/relationships" ref="K573" r:id="rId567"/>
    <hyperlink xmlns:r="http://schemas.openxmlformats.org/officeDocument/2006/relationships" ref="K574" r:id="rId568"/>
    <hyperlink xmlns:r="http://schemas.openxmlformats.org/officeDocument/2006/relationships" ref="K575" r:id="rId569"/>
    <hyperlink xmlns:r="http://schemas.openxmlformats.org/officeDocument/2006/relationships" ref="K576" r:id="rId570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K67"/>
  <sheetViews>
    <sheetView workbookViewId="0">
      <pane ySplit="2" topLeftCell="A35" activePane="bottomLeft" state="frozen"/>
      <selection pane="bottomLeft" activeCell="B69" sqref="B69"/>
    </sheetView>
  </sheetViews>
  <sheetFormatPr baseColWidth="8" defaultColWidth="12.5703125" defaultRowHeight="15" customHeight="1"/>
  <cols>
    <col width="3.5703125" customWidth="1" style="118" min="1" max="1"/>
    <col width="44.5703125" customWidth="1" style="118" min="2" max="2"/>
    <col width="22.7109375" customWidth="1" style="118" min="3" max="3"/>
    <col width="16.7109375" customWidth="1" style="118" min="4" max="4"/>
    <col width="10.28515625" customWidth="1" style="118" min="5" max="6"/>
    <col width="13.85546875" customWidth="1" style="118" min="7" max="9"/>
    <col width="23" customWidth="1" style="118" min="10" max="10"/>
    <col width="40.140625" customWidth="1" style="118" min="11" max="11"/>
  </cols>
  <sheetData>
    <row r="1" ht="23.25" customHeight="1" s="118">
      <c r="A1" s="37" t="n"/>
      <c r="B1" s="120" t="n"/>
      <c r="C1" s="120" t="inlineStr">
        <is>
          <t>IT BOOKS</t>
        </is>
      </c>
      <c r="D1" s="121" t="n"/>
    </row>
    <row r="2" ht="21" customHeight="1" s="118">
      <c r="A2" s="6" t="n"/>
      <c r="B2" s="38" t="inlineStr">
        <is>
          <t>책 이름</t>
        </is>
      </c>
      <c r="C2" s="38" t="inlineStr">
        <is>
          <t>작가</t>
        </is>
      </c>
      <c r="D2" s="38" t="inlineStr">
        <is>
          <t>출판사</t>
        </is>
      </c>
      <c r="E2" s="38" t="inlineStr">
        <is>
          <t>대현</t>
        </is>
      </c>
      <c r="F2" s="38" t="inlineStr">
        <is>
          <t>문선</t>
        </is>
      </c>
      <c r="G2" s="38" t="inlineStr">
        <is>
          <t>구입 날짜</t>
        </is>
      </c>
      <c r="H2" s="119" t="inlineStr">
        <is>
          <t>상태</t>
        </is>
      </c>
      <c r="I2" s="38" t="n"/>
      <c r="J2" s="38" t="inlineStr">
        <is>
          <t>isbn</t>
        </is>
      </c>
      <c r="K2" s="38" t="inlineStr">
        <is>
          <t>coverUrl</t>
        </is>
      </c>
    </row>
    <row r="3" hidden="1" ht="12.75" customHeight="1" s="118">
      <c r="A3" s="39" t="n"/>
      <c r="B3" s="40" t="n"/>
      <c r="C3" s="41" t="n"/>
      <c r="D3" s="42" t="n"/>
      <c r="E3" s="43" t="n"/>
      <c r="F3" s="43" t="n"/>
      <c r="G3" s="43" t="n"/>
      <c r="H3" s="43" t="n"/>
      <c r="I3" s="43" t="n"/>
      <c r="J3" s="44" t="n"/>
      <c r="K3" s="44" t="n"/>
    </row>
    <row r="4" ht="12.75" customHeight="1" s="118">
      <c r="A4" s="39" t="n"/>
      <c r="B4" s="10" t="inlineStr">
        <is>
          <t>요즘 당근 AI 개발</t>
        </is>
      </c>
      <c r="C4" s="11" t="inlineStr">
        <is>
          <t>당근팀</t>
        </is>
      </c>
      <c r="D4" s="11" t="inlineStr">
        <is>
          <t>골든래빗</t>
        </is>
      </c>
      <c r="E4" s="43" t="n"/>
      <c r="F4" s="43" t="n"/>
      <c r="G4" s="13" t="inlineStr">
        <is>
          <t>2025.11.03</t>
        </is>
      </c>
      <c r="H4" s="13" t="n"/>
      <c r="I4" s="13" t="n"/>
      <c r="J4" s="16" t="inlineStr">
        <is>
          <t>1194383475 9791194383475</t>
        </is>
      </c>
      <c r="K4" s="18" t="inlineStr">
        <is>
          <t>https://search1.kakaocdn.net/thumb/R120x174.q85/?fname=http%3A%2F%2Ft1.daumcdn.net%2Flbook%2Fimage%2F7032004%3Ftimestamp%3D20251101145452</t>
        </is>
      </c>
    </row>
    <row r="5" ht="12.75" customHeight="1" s="118">
      <c r="A5" s="39" t="n"/>
      <c r="B5" s="40" t="inlineStr">
        <is>
          <t>MCP로 똑똑하게 일하는 법</t>
        </is>
      </c>
      <c r="C5" s="41" t="inlineStr">
        <is>
          <t>케이트리</t>
        </is>
      </c>
      <c r="D5" s="42" t="inlineStr">
        <is>
          <t>제이펍</t>
        </is>
      </c>
      <c r="E5" s="43" t="n"/>
      <c r="F5" s="43" t="n"/>
      <c r="G5" s="43" t="inlineStr">
        <is>
          <t>2025.08.07</t>
        </is>
      </c>
      <c r="H5" s="43" t="n"/>
      <c r="I5" s="43" t="n"/>
      <c r="J5" s="16" t="inlineStr">
        <is>
          <t>1194587542 9791194587545</t>
        </is>
      </c>
      <c r="K5" s="18" t="inlineStr">
        <is>
          <t>https://search1.kakaocdn.net/thumb/R120x174.q85/?fname=http%3A%2F%2Ft1.daumcdn.net%2Flbook%2Fimage%2F6938906%3Ftimestamp%3D20260206151043</t>
        </is>
      </c>
    </row>
    <row r="6" ht="12.75" customHeight="1" s="118">
      <c r="A6" s="39" t="n"/>
      <c r="B6" s="40" t="inlineStr">
        <is>
          <t>개발자를 넘어 기술 리더로 가는 길</t>
        </is>
      </c>
      <c r="C6" s="41" t="inlineStr">
        <is>
          <t>타냐 라일리</t>
        </is>
      </c>
      <c r="D6" s="42" t="inlineStr">
        <is>
          <t>디코딩</t>
        </is>
      </c>
      <c r="E6" s="43" t="n"/>
      <c r="F6" s="43" t="n"/>
      <c r="G6" s="43" t="inlineStr">
        <is>
          <t>2025.04.08</t>
        </is>
      </c>
      <c r="H6" s="43" t="n"/>
      <c r="I6" s="43" t="n"/>
      <c r="J6" s="16" t="inlineStr">
        <is>
          <t>1198140828 9791198140821</t>
        </is>
      </c>
      <c r="K6" s="18" t="inlineStr">
        <is>
          <t>https://search1.kakaocdn.net/thumb/R120x174.q85/?fname=http%3A%2F%2Ft1.daumcdn.net%2Flbook%2Fimage%2F6347405%3Ftimestamp%3D20260101151713</t>
        </is>
      </c>
    </row>
    <row r="7" ht="12.75" customHeight="1" s="118">
      <c r="A7" s="39" t="n"/>
      <c r="B7" s="40" t="inlineStr">
        <is>
          <t>데이터 메시</t>
        </is>
      </c>
      <c r="C7" s="41" t="inlineStr">
        <is>
          <t>세막 데그하니</t>
        </is>
      </c>
      <c r="D7" s="42" t="inlineStr">
        <is>
          <t>한빛미디어</t>
        </is>
      </c>
      <c r="E7" s="43" t="n"/>
      <c r="F7" s="43" t="n"/>
      <c r="G7" s="43" t="inlineStr">
        <is>
          <t>2025.04.08</t>
        </is>
      </c>
      <c r="H7" s="43" t="n"/>
      <c r="I7" s="43" t="n"/>
      <c r="J7" s="16" t="inlineStr">
        <is>
          <t>1169211704 9791169211703</t>
        </is>
      </c>
      <c r="K7" s="18" t="inlineStr">
        <is>
          <t>https://search1.kakaocdn.net/thumb/R120x174.q85/?fname=http%3A%2F%2Ft1.daumcdn.net%2Flbook%2Fimage%2F6502426%3Ftimestamp%3D20251122150701</t>
        </is>
      </c>
    </row>
    <row r="8" ht="12.75" customHeight="1" s="118">
      <c r="A8" s="39" t="n"/>
      <c r="B8" s="40" t="inlineStr">
        <is>
          <t>모던 리액트 Deep Dive</t>
        </is>
      </c>
      <c r="C8" s="41" t="inlineStr">
        <is>
          <t>김용찬</t>
        </is>
      </c>
      <c r="D8" s="42" t="inlineStr">
        <is>
          <t>위키북스</t>
        </is>
      </c>
      <c r="E8" s="43" t="inlineStr">
        <is>
          <t>O</t>
        </is>
      </c>
      <c r="F8" s="43" t="n"/>
      <c r="G8" s="43" t="inlineStr">
        <is>
          <t>2025.02.06</t>
        </is>
      </c>
      <c r="H8" s="43" t="n"/>
      <c r="I8" s="43" t="n"/>
      <c r="J8" s="16" t="inlineStr">
        <is>
          <t>1158394640 9791158394646</t>
        </is>
      </c>
      <c r="K8" s="18" t="inlineStr">
        <is>
          <t>https://search1.kakaocdn.net/thumb/R120x174.q85/?fname=http%3A%2F%2Ft1.daumcdn.net%2Flbook%2Fimage%2F6473568%3Ftimestamp%3D20250823141306</t>
        </is>
      </c>
    </row>
    <row r="9" ht="12.75" customHeight="1" s="118">
      <c r="A9" s="39" t="n"/>
      <c r="B9" s="40" t="inlineStr">
        <is>
          <t>생활코딩! Ract 리액트 프로그래밍</t>
        </is>
      </c>
      <c r="C9" s="41" t="inlineStr">
        <is>
          <t>이고잉</t>
        </is>
      </c>
      <c r="D9" s="42" t="inlineStr">
        <is>
          <t>위키북스</t>
        </is>
      </c>
      <c r="E9" s="43" t="inlineStr">
        <is>
          <t>O</t>
        </is>
      </c>
      <c r="F9" s="43" t="n"/>
      <c r="G9" s="43" t="inlineStr">
        <is>
          <t>2025.01.07</t>
        </is>
      </c>
      <c r="H9" s="43" t="n"/>
      <c r="I9" s="43" t="n"/>
      <c r="J9" s="16" t="inlineStr">
        <is>
          <t>1158394209 9791158394202</t>
        </is>
      </c>
      <c r="K9" s="19" t="inlineStr">
        <is>
          <t>https://search1.kakaocdn.net/thumb/R120x174.q85/?fname=http%3A%2F%2Ft1.daumcdn.net%2Flbook%2Fimage%2F6285091%3Ftimestamp%3D20240530180801</t>
        </is>
      </c>
    </row>
    <row r="10" ht="12.75" customHeight="1" s="118">
      <c r="A10" s="39" t="n"/>
      <c r="B10" s="40" t="inlineStr">
        <is>
          <t>소프트웨어 설계의 정석</t>
        </is>
      </c>
      <c r="C10" s="41" t="inlineStr">
        <is>
          <t>요시하라 쇼자부로</t>
        </is>
      </c>
      <c r="D10" s="42" t="inlineStr">
        <is>
          <t>한빛미디어</t>
        </is>
      </c>
      <c r="E10" s="43" t="n"/>
      <c r="F10" s="43" t="n"/>
      <c r="G10" s="43" t="inlineStr">
        <is>
          <t>2024.12.02</t>
        </is>
      </c>
      <c r="H10" s="43" t="n"/>
      <c r="I10" s="43" t="n"/>
      <c r="J10" s="16" t="inlineStr">
        <is>
          <t>116921262X 9791169212625</t>
        </is>
      </c>
      <c r="K10" s="17" t="inlineStr">
        <is>
          <t>https://search1.kakaocdn.net/thumb/R120x174.q85/?fname=http%3A%2F%2Ft1.daumcdn.net%2Flbook%2Fimage%2F6719446%3Ftimestamp%3D20251029151928</t>
        </is>
      </c>
    </row>
    <row r="11" ht="12.75" customHeight="1" s="118">
      <c r="A11" s="39" t="n"/>
      <c r="B11" s="40" t="inlineStr">
        <is>
          <t>개발자 원칙</t>
        </is>
      </c>
      <c r="C11" s="41" t="inlineStr">
        <is>
          <t>박성철, 강대명, 공용준, 김정, 박미정, 박종천</t>
        </is>
      </c>
      <c r="D11" s="42" t="inlineStr">
        <is>
          <t>골든래빗</t>
        </is>
      </c>
      <c r="E11" s="43" t="n"/>
      <c r="F11" s="43" t="inlineStr">
        <is>
          <t>O</t>
        </is>
      </c>
      <c r="G11" s="43" t="inlineStr">
        <is>
          <t>2024.10.11</t>
        </is>
      </c>
      <c r="H11" s="43" t="n"/>
      <c r="I11" s="43" t="n"/>
      <c r="J11" s="16" t="inlineStr">
        <is>
          <t>1191905233 9791191905236</t>
        </is>
      </c>
      <c r="K11" s="19" t="inlineStr">
        <is>
          <t>https://search1.kakaocdn.net/thumb/R120x174.q85/?fname=http%3A%2F%2Ft1.daumcdn.net%2Flbook%2Fimage%2F6233152%3Ftimestamp%3D20250712142417</t>
        </is>
      </c>
    </row>
    <row r="12" ht="12.75" customHeight="1" s="118">
      <c r="A12" s="39" t="n"/>
      <c r="B12" s="40" t="inlineStr">
        <is>
          <t>코드 밖 커뮤니케이션</t>
        </is>
      </c>
      <c r="C12" s="41" t="inlineStr">
        <is>
          <t>재퀴 리드</t>
        </is>
      </c>
      <c r="D12" s="42" t="inlineStr">
        <is>
          <t>한빛미디어</t>
        </is>
      </c>
      <c r="E12" s="43" t="n"/>
      <c r="F12" s="43" t="inlineStr">
        <is>
          <t>O</t>
        </is>
      </c>
      <c r="G12" s="43" t="inlineStr">
        <is>
          <t>2024.10.11</t>
        </is>
      </c>
      <c r="H12" s="43" t="n"/>
      <c r="I12" s="43" t="n"/>
      <c r="J12" s="16" t="inlineStr">
        <is>
          <t>1169212476 9791169212472</t>
        </is>
      </c>
      <c r="K12" s="17" t="inlineStr">
        <is>
          <t>https://search1.kakaocdn.net/thumb/R120x174.q85/?fname=http%3A%2F%2Ft1.daumcdn.net%2Flbook%2Fimage%2F6709859%3Ftimestamp%3D20251214121503</t>
        </is>
      </c>
    </row>
    <row r="13" ht="12.75" customHeight="1" s="118">
      <c r="A13" s="39" t="n"/>
      <c r="B13" s="40" t="inlineStr">
        <is>
          <t>Do it! Vue.js 입문</t>
        </is>
      </c>
      <c r="C13" s="41" t="inlineStr">
        <is>
          <t>장기효</t>
        </is>
      </c>
      <c r="D13" s="42" t="inlineStr">
        <is>
          <t>이지스퍼블리싱</t>
        </is>
      </c>
      <c r="E13" s="43" t="inlineStr">
        <is>
          <t>O</t>
        </is>
      </c>
      <c r="F13" s="43" t="n"/>
      <c r="G13" s="43" t="inlineStr">
        <is>
          <t>2024.07.04</t>
        </is>
      </c>
      <c r="H13" s="43" t="n"/>
      <c r="I13" s="43" t="n"/>
      <c r="J13" s="16" t="inlineStr">
        <is>
          <t>1188612786 9791188612789</t>
        </is>
      </c>
      <c r="K13" s="17" t="inlineStr">
        <is>
          <t>https://search1.kakaocdn.net/thumb/R120x174.q85/?fname=http%3A%2F%2Ft1.daumcdn.net%2Flbook%2Fimage%2F1651447%3Ftimestamp%3D20250709110623</t>
        </is>
      </c>
    </row>
    <row r="14" ht="12.75" customHeight="1" s="118">
      <c r="A14" s="39" t="n"/>
      <c r="B14" s="40" t="inlineStr">
        <is>
          <t xml:space="preserve">데이터아키텍처 준전문가(DAsP) 한 권으로 끝내기 </t>
        </is>
      </c>
      <c r="C14" s="41" t="inlineStr">
        <is>
          <t>김상목</t>
        </is>
      </c>
      <c r="D14" s="42" t="inlineStr">
        <is>
          <t>마크리더</t>
        </is>
      </c>
      <c r="E14" s="43" t="n"/>
      <c r="F14" s="43" t="n"/>
      <c r="G14" s="43" t="inlineStr">
        <is>
          <t>2024.07.04</t>
        </is>
      </c>
      <c r="H14" s="43" t="n"/>
      <c r="I14" s="43" t="n"/>
      <c r="J14" s="16" t="inlineStr">
        <is>
          <t>1190215020 9791190215022</t>
        </is>
      </c>
      <c r="K14" s="17" t="inlineStr">
        <is>
          <t>https://search1.kakaocdn.net/thumb/R120x174.q85/?fname=http%3A%2F%2Ft1.daumcdn.net%2Flbook%2Fimage%2F5360954%3Ftimestamp%3D20250903131910</t>
        </is>
      </c>
    </row>
    <row r="15" ht="12.75" customHeight="1" s="118">
      <c r="A15" s="39" t="n"/>
      <c r="B15" s="40" t="inlineStr">
        <is>
          <t>SQL 자격검정 실전문제</t>
        </is>
      </c>
      <c r="C15" s="41" t="inlineStr">
        <is>
          <t>한국데이터산업진흥원</t>
        </is>
      </c>
      <c r="D15" s="42" t="inlineStr">
        <is>
          <t>한국데이터산업진흥원</t>
        </is>
      </c>
      <c r="E15" s="43" t="n"/>
      <c r="F15" s="43" t="n"/>
      <c r="G15" s="43" t="inlineStr">
        <is>
          <t>2024.05.11</t>
        </is>
      </c>
      <c r="H15" s="43" t="n"/>
      <c r="I15" s="43" t="n"/>
      <c r="J15" s="16" t="inlineStr">
        <is>
          <t>8988474910 9788988474914</t>
        </is>
      </c>
      <c r="K15" s="17" t="inlineStr">
        <is>
          <t>https://search1.kakaocdn.net/thumb/R120x174.q85/?fname=http%3A%2F%2Ft1.daumcdn.net%2Flbook%2Fimage%2F6542297%3Ftimestamp%3D20240517160806</t>
        </is>
      </c>
    </row>
    <row r="16" ht="12.75" customHeight="1" s="118">
      <c r="A16" s="39" t="n"/>
      <c r="B16" s="40" t="inlineStr">
        <is>
          <t>피닉스 프로젝트</t>
        </is>
      </c>
      <c r="C16" s="41" t="inlineStr">
        <is>
          <t>진 킴, 진 킴, 조지 스패포드</t>
        </is>
      </c>
      <c r="D16" s="42" t="inlineStr">
        <is>
          <t>에이콘</t>
        </is>
      </c>
      <c r="E16" s="43" t="n"/>
      <c r="F16" s="43" t="n"/>
      <c r="G16" s="43" t="inlineStr">
        <is>
          <t>2023.08.22</t>
        </is>
      </c>
      <c r="H16" s="43" t="n"/>
      <c r="I16" s="43" t="n"/>
      <c r="J16" s="16" t="inlineStr">
        <is>
          <t>1161755624 9791161755625</t>
        </is>
      </c>
      <c r="K16" s="17" t="inlineStr">
        <is>
          <t>https://search1.kakaocdn.net/thumb/R120x174.q85/?fname=http%3A%2F%2Ft1.daumcdn.net%2Flbook%2Fimage%2F5818515%3Ftimestamp%3D20250314151407</t>
        </is>
      </c>
    </row>
    <row r="17" ht="12.75" customHeight="1" s="118">
      <c r="A17" s="39" t="n"/>
      <c r="B17" s="40" t="inlineStr">
        <is>
          <t>데이터 모델링 실전처럼 시작하기</t>
        </is>
      </c>
      <c r="C17" s="41" t="inlineStr">
        <is>
          <t>박종원</t>
        </is>
      </c>
      <c r="D17" s="42" t="inlineStr">
        <is>
          <t>세나북스</t>
        </is>
      </c>
      <c r="E17" s="43" t="inlineStr">
        <is>
          <t>O</t>
        </is>
      </c>
      <c r="F17" s="43" t="inlineStr">
        <is>
          <t>O</t>
        </is>
      </c>
      <c r="G17" s="43" t="inlineStr">
        <is>
          <t>2023.05.20</t>
        </is>
      </c>
      <c r="H17" s="43" t="n"/>
      <c r="I17" s="43" t="n"/>
      <c r="J17" s="16" t="inlineStr">
        <is>
          <t>1187316865 9791187316862</t>
        </is>
      </c>
      <c r="K17" s="17" t="inlineStr">
        <is>
          <t>https://search1.kakaocdn.net/thumb/R120x174.q85/?fname=http%3A%2F%2Ft1.daumcdn.net%2Flbook%2Fimage%2F5797868%3Ftimestamp%3D20220930210814</t>
        </is>
      </c>
    </row>
    <row r="18" ht="12.75" customHeight="1" s="118">
      <c r="A18" s="39" t="n"/>
      <c r="B18" s="40" t="inlineStr">
        <is>
          <t>데이터 분석 준전문가</t>
        </is>
      </c>
      <c r="C18" s="41" t="inlineStr">
        <is>
          <t>윤종식</t>
        </is>
      </c>
      <c r="D18" s="42" t="inlineStr">
        <is>
          <t>데이터에듀</t>
        </is>
      </c>
      <c r="E18" s="43" t="n"/>
      <c r="F18" s="43" t="n"/>
      <c r="G18" s="43" t="inlineStr">
        <is>
          <t>2023.03.10</t>
        </is>
      </c>
      <c r="H18" s="43" t="n"/>
      <c r="I18" s="43" t="n"/>
      <c r="J18" s="16" t="inlineStr">
        <is>
          <t>1197889582 9791197889585</t>
        </is>
      </c>
      <c r="K18" s="17" t="inlineStr">
        <is>
          <t>https://search1.kakaocdn.net/thumb/R120x174.q85/?fname=http%3A%2F%2Ft1.daumcdn.net%2Flbook%2Fimage%2F6258120%3Ftimestamp%3D20250629130058</t>
        </is>
      </c>
    </row>
    <row r="19" ht="12.75" customHeight="1" s="118">
      <c r="A19" s="39" t="n"/>
      <c r="B19" s="40" t="inlineStr">
        <is>
          <t>데이터 모델링 이야기</t>
        </is>
      </c>
      <c r="C19" s="41" t="inlineStr">
        <is>
          <t>김상래</t>
        </is>
      </c>
      <c r="D19" s="42" t="inlineStr">
        <is>
          <t>한빛미디어</t>
        </is>
      </c>
      <c r="E19" s="43" t="inlineStr">
        <is>
          <t>O</t>
        </is>
      </c>
      <c r="F19" s="43" t="inlineStr">
        <is>
          <t>O</t>
        </is>
      </c>
      <c r="G19" s="43" t="inlineStr">
        <is>
          <t>2023.01.05</t>
        </is>
      </c>
      <c r="H19" s="43" t="n"/>
      <c r="I19" s="43" t="n"/>
      <c r="J19" s="16" t="inlineStr">
        <is>
          <t>8968482217 9788968482212</t>
        </is>
      </c>
      <c r="K19" s="17" t="inlineStr">
        <is>
          <t>https://search1.kakaocdn.net/thumb/R120x174.q85/?fname=http%3A%2F%2Ft1.daumcdn.net%2Flbook%2Fimage%2F944668%3Ftimestamp%3D20260319110822</t>
        </is>
      </c>
    </row>
    <row r="20" ht="12.75" customHeight="1" s="118">
      <c r="A20" s="39" t="n"/>
      <c r="B20" s="40" t="inlineStr">
        <is>
          <t>IT 엔지니어를 위한 네트워크 입문</t>
        </is>
      </c>
      <c r="C20" s="41" t="inlineStr">
        <is>
          <t>고재성, 이상훈</t>
        </is>
      </c>
      <c r="D20" s="42" t="inlineStr">
        <is>
          <t>길벗</t>
        </is>
      </c>
      <c r="E20" s="43" t="n"/>
      <c r="F20" s="43" t="inlineStr">
        <is>
          <t>O</t>
        </is>
      </c>
      <c r="G20" s="43" t="inlineStr">
        <is>
          <t>2022.12.09</t>
        </is>
      </c>
      <c r="H20" s="43" t="n"/>
      <c r="I20" s="43" t="n"/>
      <c r="J20" s="16" t="inlineStr">
        <is>
          <t>1165213184 9791165213183</t>
        </is>
      </c>
      <c r="K20" s="17" t="inlineStr">
        <is>
          <t>https://search1.kakaocdn.net/thumb/R120x174.q85/?fname=http%3A%2F%2Ft1.daumcdn.net%2Flbook%2Fimage%2F5501243%3Ftimestamp%3D20251011132622</t>
        </is>
      </c>
    </row>
    <row r="21" ht="12.75" customHeight="1" s="118">
      <c r="A21" s="39" t="n"/>
      <c r="B21" s="40" t="inlineStr">
        <is>
          <t>사용자 스토리</t>
        </is>
      </c>
      <c r="C21" s="41" t="inlineStr">
        <is>
          <t>마이크 콘</t>
        </is>
      </c>
      <c r="D21" s="42" t="inlineStr">
        <is>
          <t>인사이트</t>
        </is>
      </c>
      <c r="E21" s="43" t="inlineStr">
        <is>
          <t>O</t>
        </is>
      </c>
      <c r="F21" s="43" t="inlineStr">
        <is>
          <t>O</t>
        </is>
      </c>
      <c r="G21" s="43" t="inlineStr">
        <is>
          <t>2022.09.05</t>
        </is>
      </c>
      <c r="H21" s="43" t="n"/>
      <c r="I21" s="43" t="n"/>
      <c r="J21" s="16" t="inlineStr">
        <is>
          <t>9788966263004</t>
        </is>
      </c>
      <c r="K21" s="17" t="inlineStr">
        <is>
          <t>https://search1.kakaocdn.net/thumb/R120x174.q85/?fname=http%3A%2F%2Ft1.daumcdn.net%2Flbook%2Fimage%2F7149925%3Ftimestamp%3D20260206151805</t>
        </is>
      </c>
    </row>
    <row r="22" ht="12.75" customHeight="1" s="118">
      <c r="A22" s="39" t="n"/>
      <c r="B22" s="40" t="inlineStr">
        <is>
          <t>익스트림 프로그래밍</t>
        </is>
      </c>
      <c r="C22" s="41" t="inlineStr">
        <is>
          <t>켄트 벡, 신시아 안드레스</t>
        </is>
      </c>
      <c r="D22" s="42" t="inlineStr">
        <is>
          <t>인사이트</t>
        </is>
      </c>
      <c r="E22" s="43" t="inlineStr">
        <is>
          <t>O</t>
        </is>
      </c>
      <c r="F22" s="43" t="inlineStr">
        <is>
          <t>O</t>
        </is>
      </c>
      <c r="G22" s="43" t="inlineStr">
        <is>
          <t>2022.08.05</t>
        </is>
      </c>
      <c r="H22" s="43" t="n"/>
      <c r="I22" s="43" t="n"/>
      <c r="J22" s="16" t="inlineStr">
        <is>
          <t>9788966262052</t>
        </is>
      </c>
      <c r="K22" s="17" t="inlineStr">
        <is>
          <t>https://search1.kakaocdn.net/thumb/R120x174.q85/?fname=http%3A%2F%2Ft1.daumcdn.net%2Flbook%2Fimage%2F7149639%3Ftimestamp%3D20260206151522</t>
        </is>
      </c>
    </row>
    <row r="23" ht="12.75" customHeight="1" s="118">
      <c r="A23" s="39" t="n"/>
      <c r="B23" s="40" t="inlineStr">
        <is>
          <t>애자일 회고</t>
        </is>
      </c>
      <c r="C23" s="41" t="inlineStr">
        <is>
          <t>에스더 더비, 다이애나 라센</t>
        </is>
      </c>
      <c r="D23" s="42" t="inlineStr">
        <is>
          <t>인사이트</t>
        </is>
      </c>
      <c r="E23" s="43" t="inlineStr">
        <is>
          <t>O</t>
        </is>
      </c>
      <c r="F23" s="43" t="inlineStr">
        <is>
          <t>O</t>
        </is>
      </c>
      <c r="G23" s="43" t="inlineStr">
        <is>
          <t>2022.08.05</t>
        </is>
      </c>
      <c r="H23" s="43" t="n"/>
      <c r="I23" s="43" t="n"/>
      <c r="J23" s="16" t="inlineStr">
        <is>
          <t>8991268382 9788991268388</t>
        </is>
      </c>
      <c r="K23" s="17" t="inlineStr">
        <is>
          <t>https://search1.kakaocdn.net/thumb/R120x174.q85/?fname=http%3A%2F%2Ft1.daumcdn.net%2Flbook%2Fimage%2F1346801%3Ftimestamp%3D20221011180257</t>
        </is>
      </c>
    </row>
    <row r="24" ht="12.75" customHeight="1" s="118">
      <c r="A24" s="39" t="n"/>
      <c r="B24" s="42" t="inlineStr">
        <is>
          <t>클린 코더</t>
        </is>
      </c>
      <c r="C24" s="42" t="inlineStr">
        <is>
          <t>로버트 마틴</t>
        </is>
      </c>
      <c r="D24" s="42" t="inlineStr">
        <is>
          <t>에이콘출판</t>
        </is>
      </c>
      <c r="E24" s="43" t="inlineStr">
        <is>
          <t>O</t>
        </is>
      </c>
      <c r="F24" s="43" t="inlineStr">
        <is>
          <t>O</t>
        </is>
      </c>
      <c r="G24" s="43" t="inlineStr">
        <is>
          <t>2022.06.08</t>
        </is>
      </c>
      <c r="H24" s="43" t="n"/>
      <c r="I24" s="43" t="n"/>
      <c r="J24" s="16" t="inlineStr">
        <is>
          <t>8960778818 9788960778818</t>
        </is>
      </c>
      <c r="K24" s="17" t="inlineStr">
        <is>
          <t>https://search1.kakaocdn.net/thumb/R120x174.q85/?fname=http%3A%2F%2Ft1.daumcdn.net%2Flbook%2Fimage%2F838240%3Ftimestamp%3D20231227144954</t>
        </is>
      </c>
    </row>
    <row r="25" ht="12.75" customHeight="1" s="118">
      <c r="A25" s="39" t="n"/>
      <c r="B25" s="42" t="inlineStr">
        <is>
          <t>읽기 좋은 코드가 좋은 코드다</t>
        </is>
      </c>
      <c r="C25" s="42" t="inlineStr">
        <is>
          <t>더스틴 보즈웰, 트레버 파우커</t>
        </is>
      </c>
      <c r="D25" s="42" t="inlineStr">
        <is>
          <t>한빛미디어</t>
        </is>
      </c>
      <c r="E25" s="43" t="inlineStr">
        <is>
          <t>O</t>
        </is>
      </c>
      <c r="F25" s="22" t="inlineStr">
        <is>
          <t>O</t>
        </is>
      </c>
      <c r="G25" s="43" t="inlineStr">
        <is>
          <t>2022.06.08</t>
        </is>
      </c>
      <c r="H25" s="43" t="n"/>
      <c r="I25" s="43" t="n"/>
      <c r="J25" s="16" t="inlineStr">
        <is>
          <t>897914914X 9788979149142</t>
        </is>
      </c>
      <c r="K25" s="19" t="inlineStr">
        <is>
          <t>https://search1.kakaocdn.net/thumb/R120x174.q85/?fname=http%3A%2F%2Ft1.daumcdn.net%2Flbook%2Fimage%2F1103346%3Ftimestamp%3D20251111110830</t>
        </is>
      </c>
    </row>
    <row r="26" ht="12.75" customHeight="1" s="118">
      <c r="A26" s="39" t="n"/>
      <c r="B26" s="42" t="inlineStr">
        <is>
          <t>레거시 코드 활용 전략</t>
        </is>
      </c>
      <c r="C26" s="42" t="inlineStr">
        <is>
          <t>마이클 C. 페더스</t>
        </is>
      </c>
      <c r="D26" s="42" t="inlineStr">
        <is>
          <t>에이콘</t>
        </is>
      </c>
      <c r="E26" s="43" t="n"/>
      <c r="F26" s="43" t="n"/>
      <c r="G26" s="43" t="inlineStr">
        <is>
          <t>2022.05.11</t>
        </is>
      </c>
      <c r="H26" s="43" t="n"/>
      <c r="I26" s="43" t="n"/>
      <c r="J26" s="16" t="inlineStr">
        <is>
          <t>8989975921 9788989975922</t>
        </is>
      </c>
      <c r="K26" s="17" t="inlineStr">
        <is>
          <t>https://search1.kakaocdn.net/thumb/R120x174.q85/?fname=http%3A%2F%2Ft1.daumcdn.net%2Flbook%2Fimage%2F1309793%3Ftimestamp%3D20220929034411</t>
        </is>
      </c>
    </row>
    <row r="27" ht="12.75" customHeight="1" s="118">
      <c r="A27" s="39" t="n"/>
      <c r="B27" s="42" t="inlineStr">
        <is>
          <t>함께 자라기</t>
        </is>
      </c>
      <c r="C27" s="42" t="inlineStr">
        <is>
          <t>김창준</t>
        </is>
      </c>
      <c r="D27" s="42" t="inlineStr">
        <is>
          <t>인사이트</t>
        </is>
      </c>
      <c r="E27" s="43" t="inlineStr">
        <is>
          <t>O</t>
        </is>
      </c>
      <c r="F27" s="22" t="inlineStr">
        <is>
          <t>O</t>
        </is>
      </c>
      <c r="G27" s="43" t="inlineStr">
        <is>
          <t>2022.05.11</t>
        </is>
      </c>
      <c r="H27" s="43" t="n"/>
      <c r="I27" s="43" t="n"/>
      <c r="J27" s="16" t="inlineStr">
        <is>
          <t>8966262333 9788966262335</t>
        </is>
      </c>
      <c r="K27" s="17" t="inlineStr">
        <is>
          <t>https://search1.kakaocdn.net/thumb/R120x174.q85/?fname=http%3A%2F%2Ft1.daumcdn.net%2Flbook%2Fimage%2F4833808%3Ftimestamp%3D20260322113351</t>
        </is>
      </c>
    </row>
    <row r="28" ht="12.75" customHeight="1" s="118">
      <c r="A28" s="39" t="n"/>
      <c r="B28" s="42" t="inlineStr">
        <is>
          <t>도메인 주도 개발 시작하기</t>
        </is>
      </c>
      <c r="C28" s="42" t="inlineStr">
        <is>
          <t>최범균</t>
        </is>
      </c>
      <c r="D28" s="42" t="inlineStr">
        <is>
          <t>한빛미디어</t>
        </is>
      </c>
      <c r="E28" s="43" t="inlineStr">
        <is>
          <t>O</t>
        </is>
      </c>
      <c r="F28" s="43" t="n"/>
      <c r="G28" s="43" t="inlineStr">
        <is>
          <t>2022.04.13</t>
        </is>
      </c>
      <c r="H28" s="43" t="n"/>
      <c r="I28" s="43" t="n"/>
      <c r="J28" s="16" t="inlineStr">
        <is>
          <t>1162245387 9791162245385</t>
        </is>
      </c>
      <c r="K28" s="17" t="inlineStr">
        <is>
          <t>https://search1.kakaocdn.net/thumb/R120x174.q85/?fname=http%3A%2F%2Ft1.daumcdn.net%2Flbook%2Fimage%2F6043526%3Ftimestamp%3D20251203150535</t>
        </is>
      </c>
    </row>
    <row r="29" ht="12.75" customHeight="1" s="118">
      <c r="A29" s="39" t="n"/>
      <c r="B29" s="42" t="inlineStr">
        <is>
          <t>테스트 주도 개발</t>
        </is>
      </c>
      <c r="C29" s="42" t="inlineStr">
        <is>
          <t>켄트 벡</t>
        </is>
      </c>
      <c r="D29" s="42" t="inlineStr">
        <is>
          <t>인사이트</t>
        </is>
      </c>
      <c r="E29" s="43" t="inlineStr">
        <is>
          <t>O</t>
        </is>
      </c>
      <c r="F29" s="43" t="inlineStr">
        <is>
          <t>O</t>
        </is>
      </c>
      <c r="G29" s="43" t="inlineStr">
        <is>
          <t>2022.04.13</t>
        </is>
      </c>
      <c r="H29" s="43" t="n"/>
      <c r="I29" s="43" t="n"/>
      <c r="J29" s="16" t="inlineStr">
        <is>
          <t>8966261027 9788966261024</t>
        </is>
      </c>
      <c r="K29" s="17" t="inlineStr">
        <is>
          <t>https://search1.kakaocdn.net/thumb/R120x174.q85/?fname=http%3A%2F%2Ft1.daumcdn.net%2Flbook%2Fimage%2F924406%3Ftimestamp%3D20250207113236</t>
        </is>
      </c>
    </row>
    <row r="30" ht="12.75" customHeight="1" s="118">
      <c r="A30" s="39" t="n"/>
      <c r="B30" s="42" t="inlineStr">
        <is>
          <t>코드로 배우는 스프링 부트 웹 프로젝트</t>
        </is>
      </c>
      <c r="C30" s="42" t="inlineStr">
        <is>
          <t>구멍가게 코딩단</t>
        </is>
      </c>
      <c r="D30" s="42" t="inlineStr">
        <is>
          <t>남가람북스</t>
        </is>
      </c>
      <c r="E30" s="43" t="n"/>
      <c r="F30" s="43" t="inlineStr">
        <is>
          <t>O</t>
        </is>
      </c>
      <c r="G30" s="43" t="inlineStr">
        <is>
          <t>2022.03.13</t>
        </is>
      </c>
      <c r="H30" s="43" t="n"/>
      <c r="I30" s="43" t="n"/>
      <c r="J30" s="16" t="inlineStr">
        <is>
          <t>1189184079 9791189184070</t>
        </is>
      </c>
      <c r="K30" s="17" t="inlineStr">
        <is>
          <t>https://search1.kakaocdn.net/thumb/R120x174.q85/?fname=http%3A%2F%2Ft1.daumcdn.net%2Flbook%2Fimage%2F5542232%3Ftimestamp%3D20240803145609</t>
        </is>
      </c>
    </row>
    <row r="31" ht="12.75" customHeight="1" s="118">
      <c r="A31" s="39" t="n"/>
      <c r="B31" s="42" t="inlineStr">
        <is>
          <t>아파치 카프가</t>
        </is>
      </c>
      <c r="C31" s="42" t="inlineStr">
        <is>
          <t>최원영</t>
        </is>
      </c>
      <c r="D31" s="42" t="inlineStr">
        <is>
          <t>비제이퍼블릭</t>
        </is>
      </c>
      <c r="E31" s="43" t="n"/>
      <c r="F31" s="43" t="n"/>
      <c r="G31" s="43" t="inlineStr">
        <is>
          <t>2022.02.03</t>
        </is>
      </c>
      <c r="H31" s="43" t="n"/>
      <c r="I31" s="43" t="n"/>
      <c r="J31" s="16" t="inlineStr">
        <is>
          <t>1165920549 9791165920548</t>
        </is>
      </c>
      <c r="K31" s="19" t="inlineStr">
        <is>
          <t>https://search1.kakaocdn.net/thumb/R120x174.q85/?fname=http%3A%2F%2Ft1.daumcdn.net%2Flbook%2Fimage%2F5639382%3Ftimestamp%3D20250719134716</t>
        </is>
      </c>
    </row>
    <row r="32" ht="12.75" customHeight="1" s="118">
      <c r="A32" s="39" t="n"/>
      <c r="B32" s="40" t="inlineStr">
        <is>
          <t>클린 코드</t>
        </is>
      </c>
      <c r="C32" s="41" t="inlineStr">
        <is>
          <t>로버트 C.마틴</t>
        </is>
      </c>
      <c r="D32" s="42" t="inlineStr">
        <is>
          <t>인사이트</t>
        </is>
      </c>
      <c r="E32" s="43" t="inlineStr">
        <is>
          <t>O</t>
        </is>
      </c>
      <c r="F32" s="43" t="inlineStr">
        <is>
          <t>O</t>
        </is>
      </c>
      <c r="G32" s="43" t="inlineStr">
        <is>
          <t>2022.06.08</t>
        </is>
      </c>
      <c r="H32" s="43" t="n"/>
      <c r="I32" s="43" t="n"/>
      <c r="J32" s="16" t="inlineStr">
        <is>
          <t>8966260950 9788966260959</t>
        </is>
      </c>
      <c r="K32" s="17" t="inlineStr">
        <is>
          <t>https://search1.kakaocdn.net/thumb/R120x174.q85/?fname=http%3A%2F%2Ft1.daumcdn.net%2Flbook%2Fimage%2F927035%3Ftimestamp%3D20260403110919</t>
        </is>
      </c>
    </row>
    <row r="33" ht="12.75" customHeight="1" s="118">
      <c r="A33" s="39" t="n"/>
      <c r="B33" s="42" t="inlineStr">
        <is>
          <t>클린 아키텍처</t>
        </is>
      </c>
      <c r="C33" s="42" t="inlineStr">
        <is>
          <t>로버트 C.마틴</t>
        </is>
      </c>
      <c r="D33" s="42" t="inlineStr">
        <is>
          <t>인사이트</t>
        </is>
      </c>
      <c r="E33" s="43" t="inlineStr">
        <is>
          <t>O</t>
        </is>
      </c>
      <c r="F33" s="43" t="inlineStr">
        <is>
          <t>O</t>
        </is>
      </c>
      <c r="G33" s="43" t="inlineStr">
        <is>
          <t>2022.06.08</t>
        </is>
      </c>
      <c r="H33" s="43" t="n"/>
      <c r="I33" s="43" t="n"/>
      <c r="J33" s="16" t="inlineStr">
        <is>
          <t>8966262473 9788966262472</t>
        </is>
      </c>
      <c r="K33" s="17" t="inlineStr">
        <is>
          <t>https://search1.kakaocdn.net/thumb/R120x174.q85/?fname=http%3A%2F%2Ft1.daumcdn.net%2Flbook%2Fimage%2F5035062%3Ftimestamp%3D20260319115159</t>
        </is>
      </c>
    </row>
    <row r="34" ht="12.75" customHeight="1" s="118">
      <c r="A34" s="39" t="n"/>
      <c r="B34" s="42" t="inlineStr">
        <is>
          <t>데이터 중심 애플리케이션 설계</t>
        </is>
      </c>
      <c r="C34" s="42" t="inlineStr">
        <is>
          <t>마틴 클레프만</t>
        </is>
      </c>
      <c r="D34" s="42" t="inlineStr">
        <is>
          <t>위키북스</t>
        </is>
      </c>
      <c r="E34" s="43" t="n"/>
      <c r="F34" s="43" t="n"/>
      <c r="G34" s="43" t="inlineStr">
        <is>
          <t>2021.12.30</t>
        </is>
      </c>
      <c r="H34" s="43" t="n"/>
      <c r="I34" s="43" t="n"/>
      <c r="J34" s="16" t="inlineStr">
        <is>
          <t>115839098X 9791158390983</t>
        </is>
      </c>
      <c r="K34" s="19" t="inlineStr">
        <is>
          <t>https://search1.kakaocdn.net/thumb/R120x174.q85/?fname=http%3A%2F%2Ft1.daumcdn.net%2Flbook%2Fimage%2F1583723%3Ftimestamp%3D20260314110553</t>
        </is>
      </c>
    </row>
    <row r="35" ht="12.75" customHeight="1" s="118">
      <c r="A35" s="39" t="n"/>
      <c r="B35" s="42" t="inlineStr">
        <is>
          <t>클린 애자일</t>
        </is>
      </c>
      <c r="C35" s="42" t="inlineStr">
        <is>
          <t>로버트 C.마틴</t>
        </is>
      </c>
      <c r="D35" s="42" t="inlineStr">
        <is>
          <t>인사이트</t>
        </is>
      </c>
      <c r="E35" s="22" t="inlineStr">
        <is>
          <t>O</t>
        </is>
      </c>
      <c r="F35" s="43" t="n"/>
      <c r="G35" s="43" t="inlineStr">
        <is>
          <t>2021.12.30</t>
        </is>
      </c>
      <c r="H35" s="43" t="n"/>
      <c r="I35" s="43" t="n"/>
      <c r="J35" s="124" t="inlineStr">
        <is>
          <t>8966260950 9788966262861</t>
        </is>
      </c>
      <c r="K35" s="17" t="inlineStr">
        <is>
          <t>https://search1.kakaocdn.net/thumb/R120x174.q85/?fname=http%3A%2F%2Ft1.daumcdn.net%2Flbook%2Fimage%2F927035%3Ftimestamp%3D20260403110919</t>
        </is>
      </c>
    </row>
    <row r="36" ht="12.75" customHeight="1" s="118">
      <c r="A36" s="39" t="n"/>
      <c r="B36" s="42" t="inlineStr">
        <is>
          <t>스프링 부트와 AWS로 혼자 구현하는 웹 서비스</t>
        </is>
      </c>
      <c r="C36" s="42" t="inlineStr">
        <is>
          <t>이동욱</t>
        </is>
      </c>
      <c r="D36" s="42" t="inlineStr">
        <is>
          <t>프리렉</t>
        </is>
      </c>
      <c r="E36" s="22" t="n"/>
      <c r="F36" s="43" t="n"/>
      <c r="G36" s="43" t="inlineStr">
        <is>
          <t>2021.11.23</t>
        </is>
      </c>
      <c r="H36" s="43" t="n"/>
      <c r="I36" s="43" t="n"/>
      <c r="J36" s="16" t="inlineStr">
        <is>
          <t>8965402603 9788965402602</t>
        </is>
      </c>
      <c r="K36" s="17" t="inlineStr">
        <is>
          <t>https://search1.kakaocdn.net/thumb/R120x174.q85/?fname=http%3A%2F%2Ft1.daumcdn.net%2Flbook%2Fimage%2F5140806%3Ftimestamp%3D20260410114205</t>
        </is>
      </c>
    </row>
    <row r="37" ht="12.75" customHeight="1" s="118">
      <c r="A37" s="39" t="n"/>
      <c r="B37" s="42" t="inlineStr">
        <is>
          <t>배워서 바로 쓰는 14가지 AWS 구축 패턴</t>
        </is>
      </c>
      <c r="C37" s="42" t="inlineStr">
        <is>
          <t>가와카미 아키히사</t>
        </is>
      </c>
      <c r="D37" s="42" t="inlineStr">
        <is>
          <t>한빛미디어</t>
        </is>
      </c>
      <c r="E37" s="22" t="inlineStr">
        <is>
          <t>O</t>
        </is>
      </c>
      <c r="F37" s="43" t="n"/>
      <c r="G37" s="43" t="inlineStr">
        <is>
          <t>2021.11.23</t>
        </is>
      </c>
      <c r="H37" s="43" t="n"/>
      <c r="I37" s="43" t="n"/>
      <c r="J37" s="16" t="inlineStr">
        <is>
          <t>1162242841 9791162242841</t>
        </is>
      </c>
      <c r="K37" s="17" t="inlineStr">
        <is>
          <t>https://search1.kakaocdn.net/thumb/R120x174.q85/?fname=http%3A%2F%2Ft1.daumcdn.net%2Flbook%2Fimage%2F5241455%3Ftimestamp%3D20251125132421</t>
        </is>
      </c>
    </row>
    <row r="38" ht="12.75" customHeight="1" s="118">
      <c r="A38" s="39" t="n"/>
      <c r="B38" s="42" t="inlineStr">
        <is>
          <t>클라우드 네이티브 인프라스트럭처</t>
        </is>
      </c>
      <c r="C38" s="42" t="inlineStr">
        <is>
          <t>저스틴 개리슨, 크리스 노바</t>
        </is>
      </c>
      <c r="D38" s="42" t="inlineStr">
        <is>
          <t>책만</t>
        </is>
      </c>
      <c r="E38" s="43" t="n"/>
      <c r="F38" s="43" t="n"/>
      <c r="G38" s="43" t="inlineStr">
        <is>
          <t>2021.10.29</t>
        </is>
      </c>
      <c r="H38" s="43" t="n"/>
      <c r="I38" s="43" t="n"/>
      <c r="J38" s="16" t="inlineStr">
        <is>
          <t>1196203741 9791196203740</t>
        </is>
      </c>
      <c r="K38" s="19" t="inlineStr">
        <is>
          <t>https://search1.kakaocdn.net/thumb/R120x174.q85/?fname=http%3A%2F%2Ft1.daumcdn.net%2Flbook%2Fimage%2F3755762%3Ftimestamp%3D20260409110806</t>
        </is>
      </c>
    </row>
    <row r="39" ht="12.75" customHeight="1" s="118">
      <c r="A39" s="39" t="n"/>
      <c r="B39" s="42" t="inlineStr">
        <is>
          <t>마이크로서비스 도입 이렇게 한다</t>
        </is>
      </c>
      <c r="C39" s="42" t="inlineStr">
        <is>
          <t>샘 뉴먼</t>
        </is>
      </c>
      <c r="D39" s="42" t="inlineStr">
        <is>
          <t>책만</t>
        </is>
      </c>
      <c r="E39" s="22" t="inlineStr">
        <is>
          <t>O</t>
        </is>
      </c>
      <c r="F39" s="43" t="n"/>
      <c r="G39" s="43" t="inlineStr">
        <is>
          <t>2021.10.29</t>
        </is>
      </c>
      <c r="H39" s="43" t="n"/>
      <c r="I39" s="43" t="n"/>
      <c r="J39" s="16" t="inlineStr">
        <is>
          <t>1189909251 9791189909253</t>
        </is>
      </c>
      <c r="K39" s="17" t="inlineStr">
        <is>
          <t>https://search1.kakaocdn.net/thumb/R120x174.q85/?fname=http%3A%2F%2Ft1.daumcdn.net%2Flbook%2Fimage%2F5567671%3Ftimestamp%3D20260411120121</t>
        </is>
      </c>
    </row>
    <row r="40" ht="12.75" customHeight="1" s="118">
      <c r="A40" s="39" t="n"/>
      <c r="B40" s="45" t="inlineStr">
        <is>
          <t>도메인 주도 설계 철저 입문</t>
        </is>
      </c>
      <c r="C40" s="41" t="inlineStr">
        <is>
          <t>나루세 마사노부</t>
        </is>
      </c>
      <c r="D40" s="42" t="inlineStr">
        <is>
          <t>위키북스</t>
        </is>
      </c>
      <c r="E40" s="43" t="n"/>
      <c r="F40" s="22" t="inlineStr">
        <is>
          <t>O</t>
        </is>
      </c>
      <c r="G40" s="43" t="inlineStr">
        <is>
          <t>2021.09.27</t>
        </is>
      </c>
      <c r="H40" s="43" t="n"/>
      <c r="I40" s="43" t="n"/>
      <c r="J40" s="16" t="inlineStr">
        <is>
          <t>1158392249 9791158392246</t>
        </is>
      </c>
      <c r="K40" s="17" t="inlineStr">
        <is>
          <t>https://search1.kakaocdn.net/thumb/R120x174.q85/?fname=http%3A%2F%2Ft1.daumcdn.net%2Flbook%2Fimage%2F5479179%3Ftimestamp%3D20250806135125</t>
        </is>
      </c>
    </row>
    <row r="41" ht="12.75" customHeight="1" s="118">
      <c r="A41" s="39" t="n"/>
      <c r="B41" s="46" t="inlineStr">
        <is>
          <t>소프트웨어 아키텍처 : 이론과 실제 - 개정3판</t>
        </is>
      </c>
      <c r="C41" s="42" t="inlineStr">
        <is>
          <t>렌 베스</t>
        </is>
      </c>
      <c r="D41" s="42" t="inlineStr">
        <is>
          <t>에이콘출판</t>
        </is>
      </c>
      <c r="E41" s="22" t="inlineStr">
        <is>
          <t>O</t>
        </is>
      </c>
      <c r="F41" s="43" t="n"/>
      <c r="G41" s="43" t="inlineStr">
        <is>
          <t>2021.07.29</t>
        </is>
      </c>
      <c r="H41" s="43" t="n"/>
      <c r="I41" s="43" t="n"/>
      <c r="J41" s="16" t="inlineStr">
        <is>
          <t>8960777501 9788960777507</t>
        </is>
      </c>
      <c r="K41" s="17" t="inlineStr">
        <is>
          <t>https://search1.kakaocdn.net/thumb/R120x174.q85/?fname=http%3A%2F%2Ft1.daumcdn.net%2Flbook%2Fimage%2F838283%3Ftimestamp%3D20220818180405</t>
        </is>
      </c>
    </row>
    <row r="42" ht="12.75" customHeight="1" s="118">
      <c r="A42" s="39" t="n"/>
      <c r="B42" s="47" t="inlineStr">
        <is>
          <t>개발자에서 아키텍트로 - 38가지 팀 활동을 활용한 실전 소프트웨어 아키텍트 훈련법</t>
        </is>
      </c>
      <c r="C42" s="42" t="inlineStr">
        <is>
          <t>마이클 킬링</t>
        </is>
      </c>
      <c r="D42" s="42" t="inlineStr">
        <is>
          <t>한빛미디어</t>
        </is>
      </c>
      <c r="E42" s="43" t="inlineStr">
        <is>
          <t>O</t>
        </is>
      </c>
      <c r="F42" s="22" t="inlineStr">
        <is>
          <t>O</t>
        </is>
      </c>
      <c r="G42" s="43" t="inlineStr">
        <is>
          <t>2021.06.21</t>
        </is>
      </c>
      <c r="H42" s="43" t="n"/>
      <c r="I42" s="43" t="n"/>
      <c r="J42" s="16" t="inlineStr">
        <is>
          <t>1162244321 9791162244326</t>
        </is>
      </c>
      <c r="K42" s="17" t="inlineStr">
        <is>
          <t>https://search1.kakaocdn.net/thumb/R120x174.q85/?fname=http%3A%2F%2Ft1.daumcdn.net%2Flbook%2Fimage%2F5696393%3Ftimestamp%3D20251029144109</t>
        </is>
      </c>
    </row>
    <row r="43" ht="12.75" customHeight="1" s="118">
      <c r="A43" s="39" t="n"/>
      <c r="B43" s="47" t="inlineStr">
        <is>
          <t>자바 ORM 표준 JPA 프로그래밍</t>
        </is>
      </c>
      <c r="C43" s="42" t="inlineStr">
        <is>
          <t>김영한</t>
        </is>
      </c>
      <c r="D43" s="42" t="inlineStr">
        <is>
          <t>에이콘출판</t>
        </is>
      </c>
      <c r="E43" s="43" t="inlineStr">
        <is>
          <t>읽는 중</t>
        </is>
      </c>
      <c r="F43" s="43" t="n"/>
      <c r="G43" s="43" t="inlineStr">
        <is>
          <t>2021.06.21</t>
        </is>
      </c>
      <c r="H43" s="43" t="n"/>
      <c r="I43" s="43" t="n"/>
      <c r="J43" s="16" t="inlineStr">
        <is>
          <t>8960777331 9788960777330</t>
        </is>
      </c>
      <c r="K43" s="17" t="inlineStr">
        <is>
          <t>https://search1.kakaocdn.net/thumb/R120x174.q85/?fname=http%3A%2F%2Ft1.daumcdn.net%2Flbook%2Fimage%2F838090%3Ftimestamp%3D20260225110844</t>
        </is>
      </c>
    </row>
    <row r="44" ht="12.75" customHeight="1" s="118">
      <c r="A44" s="39" t="n"/>
      <c r="B44" s="48" t="inlineStr">
        <is>
          <t>생각하는 프로그래밍 - 프로그래밍 본질에 관한 15가지 에세이</t>
        </is>
      </c>
      <c r="C44" s="42" t="inlineStr">
        <is>
          <t>존 벤틀리</t>
        </is>
      </c>
      <c r="D44" s="42" t="inlineStr">
        <is>
          <t>인사이트</t>
        </is>
      </c>
      <c r="E44" s="22" t="inlineStr">
        <is>
          <t>O</t>
        </is>
      </c>
      <c r="F44" s="43" t="n"/>
      <c r="G44" s="43" t="inlineStr">
        <is>
          <t>2021.05.24</t>
        </is>
      </c>
      <c r="H44" s="43" t="n"/>
      <c r="I44" s="43" t="n"/>
      <c r="J44" s="16" t="inlineStr">
        <is>
          <t>8966260993 9788966260997</t>
        </is>
      </c>
      <c r="K44" s="17" t="inlineStr">
        <is>
          <t>https://search1.kakaocdn.net/thumb/R120x174.q85/?fname=http%3A%2F%2Ft1.daumcdn.net%2Flbook%2Fimage%2F927039%3Ftimestamp%3D20240615113127</t>
        </is>
      </c>
    </row>
    <row r="45" ht="12.75" customHeight="1" s="118">
      <c r="A45" s="39" t="n"/>
      <c r="B45" s="49" t="inlineStr">
        <is>
          <t>스프링 부트 코딩 공작소</t>
        </is>
      </c>
      <c r="C45" s="42" t="inlineStr">
        <is>
          <t>크레이그 월즈</t>
        </is>
      </c>
      <c r="D45" s="42" t="inlineStr">
        <is>
          <t>길벗</t>
        </is>
      </c>
      <c r="E45" s="22" t="inlineStr">
        <is>
          <t>O</t>
        </is>
      </c>
      <c r="F45" s="22" t="inlineStr">
        <is>
          <t>O</t>
        </is>
      </c>
      <c r="G45" s="43" t="inlineStr">
        <is>
          <t>2021.05.24</t>
        </is>
      </c>
      <c r="H45" s="43" t="n"/>
      <c r="I45" s="43" t="n"/>
      <c r="J45" s="16" t="inlineStr">
        <is>
          <t>1187345539 9791187345534</t>
        </is>
      </c>
      <c r="K45" s="17" t="inlineStr">
        <is>
          <t>https://search1.kakaocdn.net/thumb/R120x174.q85/?fname=http%3A%2F%2Ft1.daumcdn.net%2Flbook%2Fimage%2F1639838%3Ftimestamp%3D20230616183909</t>
        </is>
      </c>
    </row>
    <row r="46" ht="12.75" customHeight="1" s="118">
      <c r="A46" s="39" t="n"/>
      <c r="B46" s="47" t="inlineStr">
        <is>
          <t>객체지향의 사실과 오해 - 역할, 책임, 협력 관점에서 본 객체지향</t>
        </is>
      </c>
      <c r="C46" s="42" t="inlineStr">
        <is>
          <t>조영호</t>
        </is>
      </c>
      <c r="D46" s="42" t="inlineStr">
        <is>
          <t>위키북스</t>
        </is>
      </c>
      <c r="E46" s="22" t="inlineStr">
        <is>
          <t>O</t>
        </is>
      </c>
      <c r="F46" s="43" t="n"/>
      <c r="G46" s="43" t="inlineStr">
        <is>
          <t>2021.04.19</t>
        </is>
      </c>
      <c r="H46" s="43" t="n"/>
      <c r="I46" s="43" t="n"/>
      <c r="J46" s="16" t="inlineStr">
        <is>
          <t>8998139766 9788998139766</t>
        </is>
      </c>
      <c r="K46" s="17" t="inlineStr">
        <is>
          <t>https://search1.kakaocdn.net/thumb/R120x174.q85/?fname=http%3A%2F%2Ft1.daumcdn.net%2Flbook%2Fimage%2F1502595%3Ftimestamp%3D20260325110913</t>
        </is>
      </c>
    </row>
    <row r="47" ht="12.75" customHeight="1" s="118">
      <c r="A47" s="39" t="n"/>
      <c r="B47" s="49" t="inlineStr">
        <is>
          <t>엔터프라이즈 애플리케이션 아키텍처 패턴</t>
        </is>
      </c>
      <c r="C47" s="42" t="inlineStr">
        <is>
          <t>마틴 파울러</t>
        </is>
      </c>
      <c r="D47" s="42" t="inlineStr">
        <is>
          <t>위키북스</t>
        </is>
      </c>
      <c r="E47" s="22" t="inlineStr">
        <is>
          <t>O</t>
        </is>
      </c>
      <c r="F47" s="43" t="n"/>
      <c r="G47" s="43" t="inlineStr">
        <is>
          <t>2021.04.19</t>
        </is>
      </c>
      <c r="H47" s="43" t="n"/>
      <c r="I47" s="43" t="n"/>
      <c r="J47" s="16" t="inlineStr">
        <is>
          <t>1158390173 9791158390174</t>
        </is>
      </c>
      <c r="K47" s="17" t="inlineStr">
        <is>
          <t>https://search1.kakaocdn.net/thumb/R120x174.q85/?fname=http%3A%2F%2Ft1.daumcdn.net%2Flbook%2Fimage%2F1584142%3Ftimestamp%3D20231115150805</t>
        </is>
      </c>
    </row>
    <row r="48" ht="12.75" customHeight="1" s="118">
      <c r="A48" s="39" t="n"/>
      <c r="B48" s="42" t="inlineStr">
        <is>
          <t>리펙터링 2판</t>
        </is>
      </c>
      <c r="C48" s="42" t="inlineStr">
        <is>
          <t>마틴 파울러</t>
        </is>
      </c>
      <c r="D48" s="42" t="inlineStr">
        <is>
          <t>한빛미디어</t>
        </is>
      </c>
      <c r="E48" s="22" t="inlineStr">
        <is>
          <t>O</t>
        </is>
      </c>
      <c r="F48" s="22" t="inlineStr">
        <is>
          <t>O</t>
        </is>
      </c>
      <c r="G48" s="43" t="inlineStr">
        <is>
          <t>2021.03.11</t>
        </is>
      </c>
      <c r="H48" s="43" t="n"/>
      <c r="I48" s="43" t="n"/>
      <c r="J48" s="16" t="inlineStr">
        <is>
          <t>1162242744 9791162242742</t>
        </is>
      </c>
      <c r="K48" s="17" t="inlineStr">
        <is>
          <t>https://search1.kakaocdn.net/thumb/R120x174.q85/?fname=http%3A%2F%2Ft1.daumcdn.net%2Flbook%2Fimage%2F5326912%3Ftimestamp%3D20251129134834</t>
        </is>
      </c>
    </row>
    <row r="49" ht="12.75" customHeight="1" s="118">
      <c r="A49" s="39" t="n"/>
      <c r="B49" s="49" t="inlineStr">
        <is>
          <t>개발자의 글쓰기</t>
        </is>
      </c>
      <c r="C49" s="50" t="inlineStr">
        <is>
          <t>김철수</t>
        </is>
      </c>
      <c r="D49" s="42" t="inlineStr">
        <is>
          <t>위키북스</t>
        </is>
      </c>
      <c r="E49" s="43" t="n"/>
      <c r="F49" s="22" t="inlineStr">
        <is>
          <t>O</t>
        </is>
      </c>
      <c r="G49" s="43" t="inlineStr">
        <is>
          <t>2021.03.08</t>
        </is>
      </c>
      <c r="H49" s="43" t="n"/>
      <c r="I49" s="43" t="n"/>
      <c r="J49" s="16" t="inlineStr">
        <is>
          <t>1158391749 9791158391744</t>
        </is>
      </c>
      <c r="K49" s="17" t="inlineStr">
        <is>
          <t>https://search1.kakaocdn.net/thumb/R120x174.q85/?fname=http%3A%2F%2Ft1.daumcdn.net%2Flbook%2Fimage%2F5082951%3Ftimestamp%3D20240905134429</t>
        </is>
      </c>
    </row>
    <row r="50" ht="12.75" customHeight="1" s="118">
      <c r="A50" s="39" t="n"/>
      <c r="B50" s="49" t="inlineStr">
        <is>
          <t>gRPC 시작에서 운영까지</t>
        </is>
      </c>
      <c r="C50" s="50" t="inlineStr">
        <is>
          <t>카순</t>
        </is>
      </c>
      <c r="D50" s="42" t="inlineStr">
        <is>
          <t>에이콘출판</t>
        </is>
      </c>
      <c r="E50" s="43" t="inlineStr">
        <is>
          <t>-</t>
        </is>
      </c>
      <c r="F50" s="43" t="n"/>
      <c r="G50" s="43" t="inlineStr">
        <is>
          <t>2021.02.01</t>
        </is>
      </c>
      <c r="H50" s="43" t="n"/>
      <c r="I50" s="43" t="n"/>
      <c r="J50" s="16" t="inlineStr">
        <is>
          <t>1161754636 9791161754635</t>
        </is>
      </c>
      <c r="K50" s="17" t="inlineStr">
        <is>
          <t>https://search1.kakaocdn.net/thumb/R120x174.q85/?fname=http%3A%2F%2Ft1.daumcdn.net%2Flbook%2Fimage%2F5506678%3Ftimestamp%3D20250829134005</t>
        </is>
      </c>
    </row>
    <row r="51" ht="12.75" customHeight="1" s="118">
      <c r="A51" s="39" t="n"/>
      <c r="B51" s="49" t="inlineStr">
        <is>
          <t>도메인 주도 설계</t>
        </is>
      </c>
      <c r="C51" s="42" t="inlineStr">
        <is>
          <t>에릭 에반스</t>
        </is>
      </c>
      <c r="D51" s="42" t="inlineStr">
        <is>
          <t>위키북스</t>
        </is>
      </c>
      <c r="E51" s="22" t="inlineStr">
        <is>
          <t>O</t>
        </is>
      </c>
      <c r="F51" s="43" t="n"/>
      <c r="G51" s="43" t="inlineStr">
        <is>
          <t>2021.02.01</t>
        </is>
      </c>
      <c r="H51" s="43" t="n"/>
      <c r="I51" s="43" t="n"/>
      <c r="J51" s="16" t="inlineStr">
        <is>
          <t>899293985X 9788992939850</t>
        </is>
      </c>
      <c r="K51" s="17" t="inlineStr">
        <is>
          <t>https://search1.kakaocdn.net/thumb/R120x174.q85/?fname=http%3A%2F%2Ft1.daumcdn.net%2Flbook%2Fimage%2F1385182%3Ftimestamp%3D20250925110333</t>
        </is>
      </c>
    </row>
    <row r="52" ht="12.75" customHeight="1" s="118">
      <c r="A52" s="39" t="n"/>
      <c r="B52" s="49" t="inlineStr">
        <is>
          <t>자바 기반의 마이크로서비스 이해와 아키텍처 구축하기</t>
        </is>
      </c>
      <c r="C52" s="42" t="inlineStr">
        <is>
          <t>박성훈</t>
        </is>
      </c>
      <c r="D52" s="42" t="inlineStr">
        <is>
          <t>제이펍</t>
        </is>
      </c>
      <c r="E52" s="43" t="inlineStr">
        <is>
          <t>읽는 중</t>
        </is>
      </c>
      <c r="F52" s="43" t="n"/>
      <c r="G52" s="43" t="inlineStr">
        <is>
          <t>2021.01.11</t>
        </is>
      </c>
      <c r="H52" s="43" t="n"/>
      <c r="I52" s="43" t="n"/>
      <c r="J52" s="16" t="inlineStr">
        <is>
          <t>1188621416 9791188621415</t>
        </is>
      </c>
      <c r="K52" s="17" t="inlineStr">
        <is>
          <t>https://search1.kakaocdn.net/thumb/R120x174.q85/?fname=http%3A%2F%2Ft1.daumcdn.net%2Flbook%2Fimage%2F3775229%3Ftimestamp%3D20250521181542</t>
        </is>
      </c>
    </row>
    <row r="53" ht="12.75" customHeight="1" s="118">
      <c r="A53" s="39" t="n"/>
      <c r="B53" s="49" t="inlineStr">
        <is>
          <t>Head First Python</t>
        </is>
      </c>
      <c r="C53" s="51" t="inlineStr">
        <is>
          <t>폴 배리</t>
        </is>
      </c>
      <c r="D53" s="42" t="inlineStr">
        <is>
          <t>한빛미디어</t>
        </is>
      </c>
      <c r="E53" s="43" t="n"/>
      <c r="F53" s="22" t="inlineStr">
        <is>
          <t>O</t>
        </is>
      </c>
      <c r="G53" s="43" t="inlineStr">
        <is>
          <t>2020.04.27</t>
        </is>
      </c>
      <c r="H53" s="43" t="n"/>
      <c r="I53" s="43" t="n"/>
      <c r="J53" s="16" t="inlineStr">
        <is>
          <t>1162240288 9791162240281</t>
        </is>
      </c>
      <c r="K53" s="19" t="inlineStr">
        <is>
          <t>https://search1.kakaocdn.net/thumb/R120x174.q85/?fname=http%3A%2F%2Ft1.daumcdn.net%2Flbook%2Fimage%2F1603860%3Ftimestamp%3D20251101110913</t>
        </is>
      </c>
    </row>
    <row r="54" ht="12.75" customHeight="1" s="118">
      <c r="A54" s="39" t="n"/>
      <c r="B54" s="49" t="inlineStr">
        <is>
          <t>실용주의 프로그래머</t>
        </is>
      </c>
      <c r="C54" s="42" t="inlineStr">
        <is>
          <t>데이비드 토머스</t>
        </is>
      </c>
      <c r="D54" s="42" t="inlineStr">
        <is>
          <t>인사이트</t>
        </is>
      </c>
      <c r="E54" s="43" t="inlineStr">
        <is>
          <t>O</t>
        </is>
      </c>
      <c r="F54" s="43" t="inlineStr">
        <is>
          <t>O</t>
        </is>
      </c>
      <c r="G54" s="43" t="inlineStr">
        <is>
          <t>2020.04.27</t>
        </is>
      </c>
      <c r="H54" s="43" t="n"/>
      <c r="I54" s="43" t="n"/>
      <c r="J54" s="16" t="inlineStr">
        <is>
          <t>8966261035 9788966261031</t>
        </is>
      </c>
      <c r="K54" s="17" t="inlineStr">
        <is>
          <t>https://search1.kakaocdn.net/thumb/R120x174.q85/?fname=http%3A%2F%2Ft1.daumcdn.net%2Flbook%2Fimage%2F927041%3Ftimestamp%3D20230728204344</t>
        </is>
      </c>
    </row>
    <row r="55" ht="12.75" customHeight="1" s="118">
      <c r="A55" s="39" t="n"/>
      <c r="B55" s="49" t="inlineStr">
        <is>
          <t>개발자와 DBA를 위한 Real MySQL</t>
        </is>
      </c>
      <c r="C55" s="42" t="inlineStr">
        <is>
          <t>이성욱</t>
        </is>
      </c>
      <c r="D55" s="42" t="inlineStr">
        <is>
          <t>위키북스</t>
        </is>
      </c>
      <c r="E55" s="43" t="n"/>
      <c r="F55" s="22" t="inlineStr">
        <is>
          <t>O</t>
        </is>
      </c>
      <c r="G55" s="43" t="inlineStr">
        <is>
          <t>2020.03.16</t>
        </is>
      </c>
      <c r="H55" s="43" t="n"/>
      <c r="I55" s="43" t="n"/>
      <c r="J55" s="16" t="inlineStr">
        <is>
          <t>8992939000 9788992939003</t>
        </is>
      </c>
      <c r="K55" s="17" t="inlineStr">
        <is>
          <t>https://search1.kakaocdn.net/thumb/R120x174.q85/?fname=http%3A%2F%2Ft1.daumcdn.net%2Flbook%2Fimage%2F1394965%3Ftimestamp%3D20211212170500</t>
        </is>
      </c>
    </row>
    <row r="56" ht="12.75" customHeight="1" s="118">
      <c r="A56" s="39" t="n"/>
      <c r="B56" s="49" t="inlineStr">
        <is>
          <t>이것이 MariaDB다</t>
        </is>
      </c>
      <c r="C56" s="42" t="inlineStr">
        <is>
          <t>우재남</t>
        </is>
      </c>
      <c r="D56" s="42" t="inlineStr">
        <is>
          <t>한빛미디어</t>
        </is>
      </c>
      <c r="E56" s="43" t="n"/>
      <c r="F56" s="22" t="inlineStr">
        <is>
          <t>O</t>
        </is>
      </c>
      <c r="G56" s="43" t="inlineStr">
        <is>
          <t>2020.02.24</t>
        </is>
      </c>
      <c r="H56" s="43" t="n"/>
      <c r="I56" s="43" t="n"/>
      <c r="J56" s="16" t="inlineStr">
        <is>
          <t>1162241624 9791162241622</t>
        </is>
      </c>
      <c r="K56" s="17" t="inlineStr">
        <is>
          <t>https://search1.kakaocdn.net/thumb/R120x174.q85/?fname=http%3A%2F%2Ft1.daumcdn.net%2Flbook%2Fimage%2F4913809%3Ftimestamp%3D20251125124415</t>
        </is>
      </c>
    </row>
    <row r="57" ht="12.75" customHeight="1" s="118">
      <c r="A57" s="39" t="n"/>
      <c r="B57" s="46" t="inlineStr">
        <is>
          <t>마이크로서비스 아키텍처 구축 - 대용량 시스템의 효율적인 분산 설계 기법</t>
        </is>
      </c>
      <c r="C57" s="42" t="inlineStr">
        <is>
          <t>샘 뉴먼</t>
        </is>
      </c>
      <c r="D57" s="42" t="inlineStr">
        <is>
          <t>한빛미디어</t>
        </is>
      </c>
      <c r="E57" s="43" t="inlineStr">
        <is>
          <t>O</t>
        </is>
      </c>
      <c r="F57" s="43" t="n"/>
      <c r="G57" s="43" t="inlineStr">
        <is>
          <t>2018.12.26</t>
        </is>
      </c>
      <c r="H57" s="43" t="n"/>
      <c r="I57" s="43" t="n"/>
      <c r="J57" s="16" t="inlineStr">
        <is>
          <t>1169211194 9791169211192</t>
        </is>
      </c>
      <c r="K57" s="17" t="inlineStr">
        <is>
          <t>https://search1.kakaocdn.net/thumb/R120x174.q85/?fname=http%3A%2F%2Ft1.daumcdn.net%2Flbook%2Fimage%2F6363119%3Ftimestamp%3D20251127150952</t>
        </is>
      </c>
    </row>
    <row r="58" ht="12.75" customHeight="1" s="118">
      <c r="A58" s="39" t="n"/>
      <c r="B58" s="42" t="inlineStr">
        <is>
          <t>시작하세요! 도커</t>
        </is>
      </c>
      <c r="C58" s="42" t="inlineStr">
        <is>
          <t>용찬호</t>
        </is>
      </c>
      <c r="D58" s="42" t="inlineStr">
        <is>
          <t>위키북스</t>
        </is>
      </c>
      <c r="E58" s="22" t="inlineStr">
        <is>
          <t>O</t>
        </is>
      </c>
      <c r="F58" s="43" t="n"/>
      <c r="G58" s="43" t="inlineStr">
        <is>
          <t>2018.12.26</t>
        </is>
      </c>
      <c r="H58" s="43" t="n"/>
      <c r="I58" s="43" t="n"/>
      <c r="J58" s="16" t="inlineStr">
        <is>
          <t>1158390610 9791158390617</t>
        </is>
      </c>
      <c r="K58" s="17" t="inlineStr">
        <is>
          <t>https://search1.kakaocdn.net/thumb/R120x174.q85/?fname=http%3A%2F%2Ft1.daumcdn.net%2Flbook%2Fimage%2F1584662%3Ftimestamp%3D20200423130542</t>
        </is>
      </c>
    </row>
    <row r="59" ht="12.75" customHeight="1" s="118">
      <c r="A59" s="39" t="n"/>
      <c r="B59" s="49" t="inlineStr">
        <is>
          <t>HTTP 완벽 가이드</t>
        </is>
      </c>
      <c r="C59" s="42" t="inlineStr">
        <is>
          <t>데이빗 고울리</t>
        </is>
      </c>
      <c r="D59" s="42" t="inlineStr">
        <is>
          <t>인사이트</t>
        </is>
      </c>
      <c r="E59" s="22" t="inlineStr">
        <is>
          <t>O</t>
        </is>
      </c>
      <c r="F59" s="43" t="n"/>
      <c r="G59" s="43" t="inlineStr">
        <is>
          <t>2017.11.08</t>
        </is>
      </c>
      <c r="H59" s="43" t="n"/>
      <c r="I59" s="43" t="n"/>
      <c r="J59" s="16" t="inlineStr">
        <is>
          <t>8966261205 9788966261208</t>
        </is>
      </c>
      <c r="K59" s="17" t="inlineStr">
        <is>
          <t>https://search1.kakaocdn.net/thumb/R120x174.q85/?fname=http%3A%2F%2Ft1.daumcdn.net%2Flbook%2Fimage%2F924414%3Ftimestamp%3D20260318110856</t>
        </is>
      </c>
    </row>
    <row r="60" ht="12.75" customHeight="1" s="118">
      <c r="A60" s="39" t="n"/>
      <c r="B60" s="49" t="inlineStr">
        <is>
          <t>구글 애널리틱스를 활용한 데이터분석 입문</t>
        </is>
      </c>
      <c r="C60" s="42" t="inlineStr">
        <is>
          <t xml:space="preserve">김진 </t>
        </is>
      </c>
      <c r="D60" s="42" t="inlineStr">
        <is>
          <t>마세캠퍼스</t>
        </is>
      </c>
      <c r="E60" s="22" t="inlineStr">
        <is>
          <t>O</t>
        </is>
      </c>
      <c r="F60" s="43" t="n"/>
      <c r="G60" s="43" t="inlineStr">
        <is>
          <t>2017.04.27</t>
        </is>
      </c>
      <c r="H60" s="43" t="n"/>
      <c r="I60" s="43" t="n"/>
      <c r="J60" s="16" t="inlineStr">
        <is>
          <t>1195121652 9791195121656</t>
        </is>
      </c>
      <c r="K60" s="17" t="inlineStr">
        <is>
          <t>https://search1.kakaocdn.net/thumb/R120x174.q85/?fname=http%3A%2F%2Ft1.daumcdn.net%2Flbook%2Fimage%2F1658571%3Ftimestamp%3D20221025143855</t>
        </is>
      </c>
    </row>
    <row r="61" ht="12.75" customHeight="1" s="118">
      <c r="A61" s="39" t="n"/>
      <c r="B61" s="42" t="inlineStr">
        <is>
          <t>파이썬 코딩 도장</t>
        </is>
      </c>
      <c r="C61" s="42" t="inlineStr">
        <is>
          <t>남재윤</t>
        </is>
      </c>
      <c r="D61" s="42" t="inlineStr">
        <is>
          <t>길벗</t>
        </is>
      </c>
      <c r="E61" s="22" t="inlineStr">
        <is>
          <t>O</t>
        </is>
      </c>
      <c r="F61" s="22" t="inlineStr">
        <is>
          <t>O</t>
        </is>
      </c>
      <c r="G61" s="43" t="n"/>
      <c r="H61" s="43" t="n"/>
      <c r="I61" s="43" t="n"/>
      <c r="J61" s="16" t="inlineStr">
        <is>
          <t>1160506183 9791160506181</t>
        </is>
      </c>
      <c r="K61" s="17" t="inlineStr">
        <is>
          <t>https://search1.kakaocdn.net/thumb/R120x174.q85/?fname=http%3A%2F%2Ft1.daumcdn.net%2Flbook%2Fimage%2F4369865%3Ftimestamp%3D20240606124415</t>
        </is>
      </c>
    </row>
    <row r="62" ht="12.75" customHeight="1" s="118">
      <c r="A62" s="39" t="n"/>
      <c r="B62" s="42" t="inlineStr">
        <is>
          <t>하이브 완벽 가이드</t>
        </is>
      </c>
      <c r="C62" s="42" t="inlineStr">
        <is>
          <t>에드워드 카프리올로</t>
        </is>
      </c>
      <c r="D62" s="42" t="inlineStr">
        <is>
          <t>한빛미디어</t>
        </is>
      </c>
      <c r="E62" s="43" t="n"/>
      <c r="F62" s="43" t="n"/>
      <c r="G62" s="43" t="n"/>
      <c r="H62" s="43" t="n"/>
      <c r="I62" s="43" t="n"/>
      <c r="J62" s="16" t="inlineStr">
        <is>
          <t>8968480079 9788968480072</t>
        </is>
      </c>
      <c r="K62" s="17" t="inlineStr">
        <is>
          <t>https://search1.kakaocdn.net/thumb/R120x174.q85/?fname=http%3A%2F%2Ft1.daumcdn.net%2Flbook%2Fimage%2F945661%3Ftimestamp%3D20251101110749</t>
        </is>
      </c>
    </row>
    <row r="63" ht="12.75" customHeight="1" s="118">
      <c r="A63" s="39" t="n"/>
      <c r="B63" s="42" t="inlineStr">
        <is>
          <t>IT 아키텍트가 하지 말아야 할 128가지</t>
        </is>
      </c>
      <c r="C63" s="42" t="inlineStr">
        <is>
          <t>니케이시스템즈</t>
        </is>
      </c>
      <c r="D63" s="42" t="inlineStr">
        <is>
          <t>로드북</t>
        </is>
      </c>
      <c r="E63" s="43" t="n"/>
      <c r="F63" s="43" t="n"/>
      <c r="G63" s="43" t="n"/>
      <c r="H63" s="43" t="n"/>
      <c r="I63" s="43" t="n"/>
      <c r="J63" s="16" t="inlineStr">
        <is>
          <t>8996659886 9788996659884</t>
        </is>
      </c>
      <c r="K63" s="17" t="inlineStr">
        <is>
          <t>https://search1.kakaocdn.net/thumb/R120x174.q85/?fname=http%3A%2F%2Ft1.daumcdn.net%2Flbook%2Fimage%2F1473437%3Ftimestamp%3D20220817095901</t>
        </is>
      </c>
    </row>
    <row r="64" ht="12.75" customHeight="1" s="118">
      <c r="A64" s="39" t="n"/>
      <c r="B64" s="42" t="inlineStr">
        <is>
          <t>거침없이 배우는 하둡</t>
        </is>
      </c>
      <c r="C64" s="42" t="inlineStr">
        <is>
          <t>척 램</t>
        </is>
      </c>
      <c r="D64" s="42" t="inlineStr">
        <is>
          <t>지앤선</t>
        </is>
      </c>
      <c r="E64" s="43" t="inlineStr">
        <is>
          <t>O</t>
        </is>
      </c>
      <c r="F64" s="43" t="n"/>
      <c r="G64" s="43" t="n"/>
      <c r="H64" s="43" t="n"/>
      <c r="I64" s="43" t="n"/>
      <c r="J64" s="16" t="inlineStr">
        <is>
          <t>8993827478 9788993827477</t>
        </is>
      </c>
      <c r="K64" s="17" t="inlineStr">
        <is>
          <t>https://search1.kakaocdn.net/thumb/R120x174.q85/?fname=http%3A%2F%2Ft1.daumcdn.net%2Flbook%2Fimage%2F1412834%3Ftimestamp%3D20220410081301</t>
        </is>
      </c>
    </row>
    <row r="65" ht="12.75" customHeight="1" s="118">
      <c r="A65" s="39" t="n"/>
      <c r="B65" s="42" t="inlineStr">
        <is>
          <t>쿠버네티스를 활용한 클라우드 네이티브 데브옵스</t>
        </is>
      </c>
      <c r="C65" s="42" t="inlineStr">
        <is>
          <t>존 어런들, 저스틴 도밍거스</t>
        </is>
      </c>
      <c r="D65" s="42" t="inlineStr">
        <is>
          <t>한빛미디어</t>
        </is>
      </c>
      <c r="E65" s="43" t="n"/>
      <c r="F65" s="43" t="n"/>
      <c r="G65" s="43" t="n"/>
      <c r="H65" s="43" t="n"/>
      <c r="I65" s="43" t="n"/>
      <c r="J65" s="16" t="inlineStr">
        <is>
          <t>1162242442 9791162242445</t>
        </is>
      </c>
      <c r="K65" s="17" t="inlineStr">
        <is>
          <t>https://search1.kakaocdn.net/thumb/R120x174.q85/?fname=http%3A%2F%2Ft1.daumcdn.net%2Flbook%2Fimage%2F5143438%3Ftimestamp%3D20251122130926</t>
        </is>
      </c>
    </row>
    <row r="66" ht="12.75" customHeight="1" s="118">
      <c r="A66" s="39" t="n"/>
      <c r="B66" s="42" t="inlineStr">
        <is>
          <t>HBase 인액션</t>
        </is>
      </c>
      <c r="C66" s="42" t="inlineStr">
        <is>
          <t>닉 디미덕, 아만딥 쿠라나</t>
        </is>
      </c>
      <c r="D66" s="42" t="inlineStr">
        <is>
          <t>비제이퍼블릭</t>
        </is>
      </c>
      <c r="E66" s="43" t="n"/>
      <c r="F66" s="43" t="n"/>
      <c r="G66" s="43" t="n"/>
      <c r="H66" s="43" t="n"/>
      <c r="I66" s="43" t="n"/>
      <c r="J66" s="16" t="inlineStr">
        <is>
          <t>8994774386 9788994774381</t>
        </is>
      </c>
      <c r="K66" s="17" t="inlineStr">
        <is>
          <t>https://search1.kakaocdn.net/thumb/R120x174.q85/?fname=http%3A%2F%2Ft1.daumcdn.net%2Flbook%2Fimage%2F1429373%3Ftimestamp%3D20220817095040</t>
        </is>
      </c>
    </row>
    <row r="67" ht="12.75" customHeight="1" s="118">
      <c r="A67" s="39" t="n"/>
      <c r="B67" s="42" t="inlineStr">
        <is>
          <t>UML 실전에서는 이것만 쓴다</t>
        </is>
      </c>
      <c r="C67" s="42" t="inlineStr">
        <is>
          <t>로버트 C. 마틴</t>
        </is>
      </c>
      <c r="D67" s="42" t="inlineStr">
        <is>
          <t>인사이트</t>
        </is>
      </c>
      <c r="E67" s="22" t="inlineStr">
        <is>
          <t>O</t>
        </is>
      </c>
      <c r="F67" s="43" t="n"/>
      <c r="G67" s="43" t="n"/>
      <c r="H67" s="43" t="n"/>
      <c r="I67" s="43" t="n"/>
      <c r="J67" s="16" t="inlineStr">
        <is>
          <t>8991268935 9788991268937</t>
        </is>
      </c>
      <c r="K67" s="17" t="inlineStr">
        <is>
          <t>https://search1.kakaocdn.net/thumb/R120x174.q85/?fname=http%3A%2F%2Ft1.daumcdn.net%2Flbook%2Fimage%2F1345133%3Ftimestamp%3D20231019181503</t>
        </is>
      </c>
    </row>
  </sheetData>
  <autoFilter ref="B2:G67"/>
  <mergeCells count="1">
    <mergeCell ref="C1:D1"/>
  </mergeCells>
  <conditionalFormatting sqref="E3:F67">
    <cfRule type="containsBlanks" priority="1" dxfId="0">
      <formula>LEN(TRIM(E3))=0</formula>
    </cfRule>
  </conditionalFormatting>
  <hyperlinks>
    <hyperlink xmlns:r="http://schemas.openxmlformats.org/officeDocument/2006/relationships" ref="K4" r:id="rId1"/>
    <hyperlink xmlns:r="http://schemas.openxmlformats.org/officeDocument/2006/relationships" ref="K5" r:id="rId2"/>
    <hyperlink xmlns:r="http://schemas.openxmlformats.org/officeDocument/2006/relationships" ref="K6" r:id="rId3"/>
    <hyperlink xmlns:r="http://schemas.openxmlformats.org/officeDocument/2006/relationships" ref="K7" r:id="rId4"/>
    <hyperlink xmlns:r="http://schemas.openxmlformats.org/officeDocument/2006/relationships" ref="K8" r:id="rId5"/>
    <hyperlink xmlns:r="http://schemas.openxmlformats.org/officeDocument/2006/relationships" ref="K9" r:id="rId6"/>
    <hyperlink xmlns:r="http://schemas.openxmlformats.org/officeDocument/2006/relationships" ref="K10" r:id="rId7"/>
    <hyperlink xmlns:r="http://schemas.openxmlformats.org/officeDocument/2006/relationships" ref="K11" r:id="rId8"/>
    <hyperlink xmlns:r="http://schemas.openxmlformats.org/officeDocument/2006/relationships" ref="K12" r:id="rId9"/>
    <hyperlink xmlns:r="http://schemas.openxmlformats.org/officeDocument/2006/relationships" ref="K13" r:id="rId10"/>
    <hyperlink xmlns:r="http://schemas.openxmlformats.org/officeDocument/2006/relationships" ref="K14" r:id="rId11"/>
    <hyperlink xmlns:r="http://schemas.openxmlformats.org/officeDocument/2006/relationships" ref="K15" r:id="rId12"/>
    <hyperlink xmlns:r="http://schemas.openxmlformats.org/officeDocument/2006/relationships" ref="K16" r:id="rId13"/>
    <hyperlink xmlns:r="http://schemas.openxmlformats.org/officeDocument/2006/relationships" ref="K17" r:id="rId14"/>
    <hyperlink xmlns:r="http://schemas.openxmlformats.org/officeDocument/2006/relationships" ref="K18" r:id="rId15"/>
    <hyperlink xmlns:r="http://schemas.openxmlformats.org/officeDocument/2006/relationships" ref="K19" r:id="rId16"/>
    <hyperlink xmlns:r="http://schemas.openxmlformats.org/officeDocument/2006/relationships" ref="K20" r:id="rId17"/>
    <hyperlink xmlns:r="http://schemas.openxmlformats.org/officeDocument/2006/relationships" ref="K21" r:id="rId18"/>
    <hyperlink xmlns:r="http://schemas.openxmlformats.org/officeDocument/2006/relationships" ref="K22" r:id="rId19"/>
    <hyperlink xmlns:r="http://schemas.openxmlformats.org/officeDocument/2006/relationships" ref="K23" r:id="rId20"/>
    <hyperlink xmlns:r="http://schemas.openxmlformats.org/officeDocument/2006/relationships" ref="K24" r:id="rId21"/>
    <hyperlink xmlns:r="http://schemas.openxmlformats.org/officeDocument/2006/relationships" ref="K25" r:id="rId22"/>
    <hyperlink xmlns:r="http://schemas.openxmlformats.org/officeDocument/2006/relationships" ref="K26" r:id="rId23"/>
    <hyperlink xmlns:r="http://schemas.openxmlformats.org/officeDocument/2006/relationships" ref="K27" r:id="rId24"/>
    <hyperlink xmlns:r="http://schemas.openxmlformats.org/officeDocument/2006/relationships" ref="K28" r:id="rId25"/>
    <hyperlink xmlns:r="http://schemas.openxmlformats.org/officeDocument/2006/relationships" ref="K29" r:id="rId26"/>
    <hyperlink xmlns:r="http://schemas.openxmlformats.org/officeDocument/2006/relationships" ref="K30" r:id="rId27"/>
    <hyperlink xmlns:r="http://schemas.openxmlformats.org/officeDocument/2006/relationships" ref="K31" r:id="rId28"/>
    <hyperlink xmlns:r="http://schemas.openxmlformats.org/officeDocument/2006/relationships" ref="K32" r:id="rId29"/>
    <hyperlink xmlns:r="http://schemas.openxmlformats.org/officeDocument/2006/relationships" ref="K33" r:id="rId30"/>
    <hyperlink xmlns:r="http://schemas.openxmlformats.org/officeDocument/2006/relationships" ref="K34" r:id="rId31"/>
    <hyperlink xmlns:r="http://schemas.openxmlformats.org/officeDocument/2006/relationships" ref="K35" r:id="rId32"/>
    <hyperlink xmlns:r="http://schemas.openxmlformats.org/officeDocument/2006/relationships" ref="K36" r:id="rId33"/>
    <hyperlink xmlns:r="http://schemas.openxmlformats.org/officeDocument/2006/relationships" ref="K37" r:id="rId34"/>
    <hyperlink xmlns:r="http://schemas.openxmlformats.org/officeDocument/2006/relationships" ref="K38" r:id="rId35"/>
    <hyperlink xmlns:r="http://schemas.openxmlformats.org/officeDocument/2006/relationships" ref="K39" r:id="rId36"/>
    <hyperlink xmlns:r="http://schemas.openxmlformats.org/officeDocument/2006/relationships" ref="K40" r:id="rId37"/>
    <hyperlink xmlns:r="http://schemas.openxmlformats.org/officeDocument/2006/relationships" ref="K41" r:id="rId38"/>
    <hyperlink xmlns:r="http://schemas.openxmlformats.org/officeDocument/2006/relationships" ref="K42" r:id="rId39"/>
    <hyperlink xmlns:r="http://schemas.openxmlformats.org/officeDocument/2006/relationships" ref="K43" r:id="rId40"/>
    <hyperlink xmlns:r="http://schemas.openxmlformats.org/officeDocument/2006/relationships" ref="K44" r:id="rId41"/>
    <hyperlink xmlns:r="http://schemas.openxmlformats.org/officeDocument/2006/relationships" ref="K45" r:id="rId42"/>
    <hyperlink xmlns:r="http://schemas.openxmlformats.org/officeDocument/2006/relationships" ref="K46" r:id="rId43"/>
    <hyperlink xmlns:r="http://schemas.openxmlformats.org/officeDocument/2006/relationships" ref="K47" r:id="rId44"/>
    <hyperlink xmlns:r="http://schemas.openxmlformats.org/officeDocument/2006/relationships" ref="K48" r:id="rId45"/>
    <hyperlink xmlns:r="http://schemas.openxmlformats.org/officeDocument/2006/relationships" ref="K49" r:id="rId46"/>
    <hyperlink xmlns:r="http://schemas.openxmlformats.org/officeDocument/2006/relationships" ref="K50" r:id="rId47"/>
    <hyperlink xmlns:r="http://schemas.openxmlformats.org/officeDocument/2006/relationships" ref="K51" r:id="rId48"/>
    <hyperlink xmlns:r="http://schemas.openxmlformats.org/officeDocument/2006/relationships" ref="K52" r:id="rId49"/>
    <hyperlink xmlns:r="http://schemas.openxmlformats.org/officeDocument/2006/relationships" ref="K53" r:id="rId50"/>
    <hyperlink xmlns:r="http://schemas.openxmlformats.org/officeDocument/2006/relationships" ref="K54" r:id="rId51"/>
    <hyperlink xmlns:r="http://schemas.openxmlformats.org/officeDocument/2006/relationships" ref="K55" r:id="rId52"/>
    <hyperlink xmlns:r="http://schemas.openxmlformats.org/officeDocument/2006/relationships" ref="K56" r:id="rId53"/>
    <hyperlink xmlns:r="http://schemas.openxmlformats.org/officeDocument/2006/relationships" ref="K57" r:id="rId54"/>
    <hyperlink xmlns:r="http://schemas.openxmlformats.org/officeDocument/2006/relationships" ref="K58" r:id="rId55"/>
    <hyperlink xmlns:r="http://schemas.openxmlformats.org/officeDocument/2006/relationships" ref="K59" r:id="rId56"/>
    <hyperlink xmlns:r="http://schemas.openxmlformats.org/officeDocument/2006/relationships" ref="K60" r:id="rId57"/>
    <hyperlink xmlns:r="http://schemas.openxmlformats.org/officeDocument/2006/relationships" ref="K61" r:id="rId58"/>
    <hyperlink xmlns:r="http://schemas.openxmlformats.org/officeDocument/2006/relationships" ref="K62" r:id="rId59"/>
    <hyperlink xmlns:r="http://schemas.openxmlformats.org/officeDocument/2006/relationships" ref="K63" r:id="rId60"/>
    <hyperlink xmlns:r="http://schemas.openxmlformats.org/officeDocument/2006/relationships" ref="K64" r:id="rId61"/>
    <hyperlink xmlns:r="http://schemas.openxmlformats.org/officeDocument/2006/relationships" ref="K65" r:id="rId62"/>
    <hyperlink xmlns:r="http://schemas.openxmlformats.org/officeDocument/2006/relationships" ref="K66" r:id="rId63"/>
    <hyperlink xmlns:r="http://schemas.openxmlformats.org/officeDocument/2006/relationships" ref="K67" r:id="rId64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B1:E33"/>
  <sheetViews>
    <sheetView workbookViewId="0">
      <selection activeCell="A1" sqref="A1"/>
    </sheetView>
  </sheetViews>
  <sheetFormatPr baseColWidth="8" defaultColWidth="12.5703125" defaultRowHeight="15" customHeight="1"/>
  <cols>
    <col width="3.5703125" customWidth="1" style="118" min="1" max="1"/>
  </cols>
  <sheetData>
    <row r="1" ht="12.75" customHeight="1" s="118">
      <c r="B1" s="52" t="inlineStr">
        <is>
          <t># 독서</t>
        </is>
      </c>
    </row>
    <row r="2" ht="19.5" customHeight="1" s="118">
      <c r="B2" s="53" t="inlineStr">
        <is>
          <t>Year</t>
        </is>
      </c>
      <c r="C2" s="53" t="inlineStr">
        <is>
          <t>대현</t>
        </is>
      </c>
      <c r="D2" s="53" t="inlineStr">
        <is>
          <t>문선</t>
        </is>
      </c>
      <c r="E2" s="53" t="inlineStr">
        <is>
          <t>합계</t>
        </is>
      </c>
    </row>
    <row r="3" ht="12.75" customHeight="1" s="118">
      <c r="B3" s="54" t="inlineStr">
        <is>
          <t>연도불명</t>
        </is>
      </c>
      <c r="C3" s="54">
        <f>COUNTIFS(독서목록!$B$58:$B$1209, B3, 독서목록!$C$58:$C$1209, "*")</f>
        <v/>
      </c>
      <c r="D3" s="54">
        <f>COUNTIFS(독서목록!$B$58:$B$1209, B3, 독서목록!$D$58:$D$1209, "*")</f>
        <v/>
      </c>
      <c r="E3" s="54">
        <f>SUM(C3:D3)</f>
        <v/>
      </c>
    </row>
    <row r="4" ht="12.75" customHeight="1" s="118">
      <c r="B4" s="54" t="n">
        <v>2010</v>
      </c>
      <c r="C4" s="54">
        <f>COUNTIFS(독서목록!$B$58:$B$1209, B4, 독서목록!$C$58:$C$1209, "*")</f>
        <v/>
      </c>
      <c r="D4" s="54">
        <f>COUNTIFS(독서목록!$B$58:$B$1209, B4, 독서목록!$D$58:$D$1209, "*")</f>
        <v/>
      </c>
      <c r="E4" s="54">
        <f>SUM(C4:D4)</f>
        <v/>
      </c>
    </row>
    <row r="5" ht="12.75" customHeight="1" s="118">
      <c r="B5" s="54">
        <f>B4+1</f>
        <v/>
      </c>
      <c r="C5" s="54">
        <f>COUNTIFS(독서목록!$B$58:$B$1209, B5, 독서목록!$C$58:$C$1209, "*")</f>
        <v/>
      </c>
      <c r="D5" s="54">
        <f>COUNTIFS(독서목록!$B$58:$B$1209, B5, 독서목록!$D$58:$D$1209, "*")</f>
        <v/>
      </c>
      <c r="E5" s="54">
        <f>SUM(C5:D5)</f>
        <v/>
      </c>
    </row>
    <row r="6" ht="12.75" customHeight="1" s="118">
      <c r="B6" s="54">
        <f>B5+1</f>
        <v/>
      </c>
      <c r="C6" s="54">
        <f>COUNTIFS(독서목록!$B$58:$B$1209, B6, 독서목록!$C$58:$C$1209, "*")</f>
        <v/>
      </c>
      <c r="D6" s="54">
        <f>COUNTIFS(독서목록!$B$58:$B$1209, B6, 독서목록!$D$58:$D$1209, "*")</f>
        <v/>
      </c>
      <c r="E6" s="54">
        <f>SUM(C6:D6)</f>
        <v/>
      </c>
    </row>
    <row r="7" ht="12.75" customHeight="1" s="118">
      <c r="B7" s="54">
        <f>B6+1</f>
        <v/>
      </c>
      <c r="C7" s="54">
        <f>COUNTIFS(독서목록!$B$58:$B$1209, B7, 독서목록!$C$58:$C$1209, "*")</f>
        <v/>
      </c>
      <c r="D7" s="54">
        <f>COUNTIFS(독서목록!$B$58:$B$1209, B7, 독서목록!$D$58:$D$1209, "*")</f>
        <v/>
      </c>
      <c r="E7" s="54">
        <f>SUM(C7:D7)</f>
        <v/>
      </c>
    </row>
    <row r="8" ht="12.75" customHeight="1" s="118">
      <c r="B8" s="54">
        <f>B7+1</f>
        <v/>
      </c>
      <c r="C8" s="54">
        <f>COUNTIFS(독서목록!$B$58:$B$1209, B8, 독서목록!$C$58:$C$1209, "*")</f>
        <v/>
      </c>
      <c r="D8" s="54">
        <f>COUNTIFS(독서목록!$B$58:$B$1209, B8, 독서목록!$D$58:$D$1209, "*")</f>
        <v/>
      </c>
      <c r="E8" s="54">
        <f>SUM(C8:D8)</f>
        <v/>
      </c>
    </row>
    <row r="9" ht="12.75" customHeight="1" s="118">
      <c r="B9" s="54">
        <f>B8+1</f>
        <v/>
      </c>
      <c r="C9" s="54">
        <f>COUNTIFS(독서목록!$B$58:$B$1209, B9, 독서목록!$C$58:$C$1209, "*")</f>
        <v/>
      </c>
      <c r="D9" s="54">
        <f>COUNTIFS(독서목록!$B$58:$B$1209, B9, 독서목록!$D$58:$D$1209, "*")</f>
        <v/>
      </c>
      <c r="E9" s="54">
        <f>SUM(C9:D9)</f>
        <v/>
      </c>
    </row>
    <row r="10" ht="12.75" customHeight="1" s="118">
      <c r="B10" s="54">
        <f>B9+1</f>
        <v/>
      </c>
      <c r="C10" s="54">
        <f>COUNTIFS(독서목록!$B$58:$B$1209, B10, 독서목록!$C$58:$C$1209, "*")</f>
        <v/>
      </c>
      <c r="D10" s="54">
        <f>COUNTIFS(독서목록!$B$58:$B$1209, B10, 독서목록!$D$58:$D$1209, "*")</f>
        <v/>
      </c>
      <c r="E10" s="54">
        <f>SUM(C10:D10)</f>
        <v/>
      </c>
    </row>
    <row r="11" ht="12.75" customHeight="1" s="118">
      <c r="B11" s="54">
        <f>B10+1</f>
        <v/>
      </c>
      <c r="C11" s="54">
        <f>COUNTIFS(독서목록!$B$58:$B$1209, B11, 독서목록!$C$58:$C$1209, "*")</f>
        <v/>
      </c>
      <c r="D11" s="54">
        <f>COUNTIFS(독서목록!$B$58:$B$1209, B11, 독서목록!$D$58:$D$1209, "*")</f>
        <v/>
      </c>
      <c r="E11" s="54">
        <f>SUM(C11:D11)</f>
        <v/>
      </c>
    </row>
    <row r="12" ht="12.75" customHeight="1" s="118">
      <c r="B12" s="54">
        <f>B11+1</f>
        <v/>
      </c>
      <c r="C12" s="54">
        <f>COUNTIFS(독서목록!$B$58:$B$1209, B12, 독서목록!$C$58:$C$1209, "*")</f>
        <v/>
      </c>
      <c r="D12" s="54">
        <f>COUNTIFS(독서목록!$B$58:$B$1209, B12, 독서목록!$D$58:$D$1209, "*")</f>
        <v/>
      </c>
      <c r="E12" s="54">
        <f>SUM(C12:D12)</f>
        <v/>
      </c>
    </row>
    <row r="13" ht="12.75" customHeight="1" s="118">
      <c r="B13" s="54">
        <f>B12+1</f>
        <v/>
      </c>
      <c r="C13" s="54">
        <f>COUNTIFS(독서목록!$B$58:$B$1209, B13, 독서목록!$C$58:$C$1209, "*")</f>
        <v/>
      </c>
      <c r="D13" s="54">
        <f>COUNTIFS(독서목록!$B$58:$B$1209, B13, 독서목록!$D$58:$D$1209, "*")</f>
        <v/>
      </c>
      <c r="E13" s="54">
        <f>SUM(C13:D13)</f>
        <v/>
      </c>
    </row>
    <row r="14" ht="12.75" customHeight="1" s="118">
      <c r="B14" s="54">
        <f>B13+1</f>
        <v/>
      </c>
      <c r="C14" s="54">
        <f>COUNTIFS(독서목록!$B$58:$B$1209, B14, 독서목록!$C$58:$C$1209, "*")</f>
        <v/>
      </c>
      <c r="D14" s="54">
        <f>COUNTIFS(독서목록!$B$58:$B$1209, B14, 독서목록!$D$58:$D$1209, "*")</f>
        <v/>
      </c>
      <c r="E14" s="54">
        <f>SUM(C14:D14)</f>
        <v/>
      </c>
    </row>
    <row r="15" ht="12.75" customHeight="1" s="118">
      <c r="B15" s="54">
        <f>B14+1</f>
        <v/>
      </c>
      <c r="C15" s="54">
        <f>COUNTIFS(독서목록!$B$58:$B$1209, B15, 독서목록!$C$58:$C$1209, "*")</f>
        <v/>
      </c>
      <c r="D15" s="54">
        <f>COUNTIFS(독서목록!$B$58:$B$1209, B15, 독서목록!$D$58:$D$1209, "*")</f>
        <v/>
      </c>
      <c r="E15" s="54">
        <f>SUM(C15:D15)</f>
        <v/>
      </c>
    </row>
    <row r="16" ht="12.75" customHeight="1" s="118">
      <c r="B16" s="54" t="n">
        <v>2022</v>
      </c>
      <c r="C16" s="54">
        <f>COUNTIFS(독서목록!$B$58:$B$1209, B16, 독서목록!$C$58:$C$1209, "*")</f>
        <v/>
      </c>
      <c r="D16" s="54">
        <f>COUNTIFS(독서목록!$B$58:$B$1209, B16, 독서목록!$D$58:$D$1209, "*")</f>
        <v/>
      </c>
      <c r="E16" s="54">
        <f>SUM(C16:D16)</f>
        <v/>
      </c>
    </row>
    <row r="17" ht="12.75" customHeight="1" s="118">
      <c r="B17" s="54" t="n">
        <v>2023</v>
      </c>
      <c r="C17" s="54">
        <f>COUNTIFS(독서목록!$B$58:$B$1209, B17, 독서목록!$C$58:$C$1209, "*")</f>
        <v/>
      </c>
      <c r="D17" s="54">
        <f>COUNTIFS(독서목록!$B$58:$B$1209, B17, 독서목록!$D$58:$D$1209, "*")</f>
        <v/>
      </c>
      <c r="E17" s="54">
        <f>SUM(C17:D17)</f>
        <v/>
      </c>
    </row>
    <row r="18" ht="12.75" customHeight="1" s="118">
      <c r="B18" s="54" t="n">
        <v>2024</v>
      </c>
      <c r="C18" s="54">
        <f>COUNTIFS(독서목록!$B$58:$B$1209, B18, 독서목록!$C$58:$C$1209, "*")</f>
        <v/>
      </c>
      <c r="D18" s="54">
        <f>COUNTIFS(독서목록!$B$58:$B$1209, B18, 독서목록!$D$58:$D$1209, "*")</f>
        <v/>
      </c>
      <c r="E18" s="54">
        <f>SUM(C18:D18)</f>
        <v/>
      </c>
    </row>
    <row r="19" ht="12.75" customHeight="1" s="118">
      <c r="B19" s="54" t="n">
        <v>2025</v>
      </c>
      <c r="C19" s="54">
        <f>COUNTIFS(독서목록!$B$3:$B$1209, B19, 독서목록!$C$3:$C$1209, "*")</f>
        <v/>
      </c>
      <c r="D19" s="54">
        <f>COUNTIFS(독서목록!$B$3:$B$1209, B19, 독서목록!$D$3:$D$1209, "*")</f>
        <v/>
      </c>
      <c r="E19" s="54">
        <f>SUM(C19:D19)</f>
        <v/>
      </c>
    </row>
    <row r="20" ht="12.75" customHeight="1" s="118">
      <c r="B20" s="54" t="n">
        <v>2026</v>
      </c>
      <c r="C20" s="54">
        <f>COUNTIFS(독서목록!$B$3:$B$1209, B20, 독서목록!$C$3:$C$1209, "*")</f>
        <v/>
      </c>
      <c r="D20" s="54">
        <f>COUNTIFS(독서목록!$B$3:$B$1209, B20, 독서목록!$D$3:$D$1209, "*")</f>
        <v/>
      </c>
      <c r="E20" s="54">
        <f>SUM(C20:D20)</f>
        <v/>
      </c>
    </row>
    <row r="21" ht="12.75" customHeight="1" s="118">
      <c r="B21" s="55" t="n"/>
      <c r="C21" s="55" t="n"/>
      <c r="D21" s="55" t="n"/>
      <c r="E21" s="55" t="n"/>
    </row>
    <row r="22" ht="12.75" customHeight="1" s="118">
      <c r="B22" s="56" t="inlineStr">
        <is>
          <t>Average</t>
        </is>
      </c>
      <c r="C22" s="54">
        <f>ROUND(SUM(C3:C19)/COUNT(C3:C19), 1)</f>
        <v/>
      </c>
      <c r="D22" s="54">
        <f>ROUND(SUM(D3:D19)/COUNT(D3:D19), 1)</f>
        <v/>
      </c>
      <c r="E22" s="54">
        <f>ROUND(SUM(E3:E19)/COUNT(E3:E19), 1)</f>
        <v/>
      </c>
    </row>
    <row r="23" ht="12.75" customHeight="1" s="118">
      <c r="B23" s="56" t="inlineStr">
        <is>
          <t>Total</t>
        </is>
      </c>
      <c r="C23" s="54">
        <f>SUM(C3:C19)</f>
        <v/>
      </c>
      <c r="D23" s="54">
        <f>SUM(D3:D19)</f>
        <v/>
      </c>
      <c r="E23" s="54">
        <f>SUM(C23,D23)</f>
        <v/>
      </c>
    </row>
    <row r="24" ht="12.75" customHeight="1" s="118">
      <c r="B24" s="55" t="n"/>
      <c r="C24" s="55" t="n"/>
      <c r="D24" s="55" t="n"/>
      <c r="E24" s="55" t="n"/>
    </row>
    <row r="25" ht="12.75" customHeight="1" s="118">
      <c r="B25" s="57" t="n"/>
      <c r="C25" s="58" t="inlineStr">
        <is>
          <t>대현</t>
        </is>
      </c>
      <c r="D25" s="58" t="inlineStr">
        <is>
          <t>문선</t>
        </is>
      </c>
      <c r="E25" s="58" t="inlineStr">
        <is>
          <t>공통</t>
        </is>
      </c>
    </row>
    <row r="26" ht="12.75" customHeight="1" s="118">
      <c r="B26" s="59" t="inlineStr">
        <is>
          <t>읽음</t>
        </is>
      </c>
      <c r="C26" s="54">
        <f>COUNTIF(도서목록!$E$3:$E$1106, "&gt;=1")</f>
        <v/>
      </c>
      <c r="D26" s="54">
        <f>COUNTIF(도서목록!$F$3:$F$1106, "&gt;=1")</f>
        <v/>
      </c>
      <c r="E26" s="54">
        <f>COUNTIFS(도서목록!$E$3:$E$1106, "&gt;=1", 도서목록!$F$3:$F$1106, "&gt;=1")+COUNTIFS(도서목록!$E$3:$E$1106, "&gt;=1", 도서목록!$F$3:$F$1106, "O")</f>
        <v/>
      </c>
    </row>
    <row r="27" ht="12.75" customHeight="1" s="118">
      <c r="B27" s="59" t="inlineStr">
        <is>
          <t>안 읽을</t>
        </is>
      </c>
      <c r="C27" s="54">
        <f>COUNTIF(도서목록!$E$3:$E$1106, "-")</f>
        <v/>
      </c>
      <c r="D27" s="54">
        <f>COUNTIF(도서목록!$F$3:$F$1106, "-")</f>
        <v/>
      </c>
      <c r="E27" s="54">
        <f>COUNTIFS(도서목록!$E$3:$E$1106, "-", 도서목록!$F$3:$F$1106, "-")</f>
        <v/>
      </c>
    </row>
    <row r="28" ht="12.75" customHeight="1" s="118">
      <c r="B28" s="59" t="inlineStr">
        <is>
          <t>읽어야 할</t>
        </is>
      </c>
      <c r="C28" s="54">
        <f>C30-C26-C27</f>
        <v/>
      </c>
      <c r="D28" s="54">
        <f>C30-D26-D27</f>
        <v/>
      </c>
      <c r="E28" s="54">
        <f>COUNTIFS(도서목록!$E$3:$E$1106, "", 도서목록!$F$3:$F$1106, "")</f>
        <v/>
      </c>
    </row>
    <row r="29" ht="12.75" customHeight="1" s="118">
      <c r="B29" s="55" t="n"/>
      <c r="C29" s="55" t="n"/>
      <c r="D29" s="55" t="n"/>
      <c r="E29" s="55" t="n"/>
    </row>
    <row r="30" ht="12.75" customHeight="1" s="118">
      <c r="B30" s="60" t="inlineStr">
        <is>
          <t>구입</t>
        </is>
      </c>
      <c r="C30" s="54">
        <f>도서목록!B1</f>
        <v/>
      </c>
      <c r="D30" s="55" t="n"/>
      <c r="E30" s="55" t="n"/>
    </row>
    <row r="31" ht="12.75" customHeight="1" s="118">
      <c r="B31" s="60" t="inlineStr">
        <is>
          <t>기부</t>
        </is>
      </c>
      <c r="C31" s="54">
        <f>COUNTIF(도서목록!H3:H576, "기부")</f>
        <v/>
      </c>
      <c r="D31" s="55" t="n"/>
      <c r="E31" s="55" t="n"/>
    </row>
    <row r="32" ht="12.75" customHeight="1" s="118">
      <c r="B32" s="60" t="inlineStr">
        <is>
          <t>판매</t>
        </is>
      </c>
      <c r="C32" s="54">
        <f>COUNTIF(도서목록!H3:H576, "판매")</f>
        <v/>
      </c>
      <c r="D32" s="55" t="n"/>
      <c r="E32" s="55" t="n"/>
    </row>
    <row r="33" ht="12.75" customHeight="1" s="118">
      <c r="B33" s="60" t="inlineStr">
        <is>
          <t>보관</t>
        </is>
      </c>
      <c r="C33" s="54">
        <f>C30-C31-C32</f>
        <v/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D658"/>
  <sheetViews>
    <sheetView workbookViewId="0">
      <pane ySplit="2" topLeftCell="A117" activePane="bottomLeft" state="frozen"/>
      <selection pane="bottomLeft" activeCell="C141" sqref="C141"/>
    </sheetView>
  </sheetViews>
  <sheetFormatPr baseColWidth="8" defaultColWidth="12.5703125" defaultRowHeight="15" customHeight="1"/>
  <cols>
    <col width="3.5703125" customWidth="1" style="118" min="1" max="1"/>
    <col width="7.7109375" customWidth="1" style="118" min="2" max="2"/>
    <col width="39.28515625" customWidth="1" style="118" min="3" max="4"/>
  </cols>
  <sheetData>
    <row r="1" ht="12.75" customHeight="1" s="118">
      <c r="B1" s="57" t="n"/>
    </row>
    <row r="2" ht="18" customHeight="1" s="118">
      <c r="A2" s="6" t="n"/>
      <c r="B2" s="7" t="inlineStr">
        <is>
          <t>년</t>
        </is>
      </c>
      <c r="C2" s="7" t="inlineStr">
        <is>
          <t>대현</t>
        </is>
      </c>
      <c r="D2" s="7" t="inlineStr">
        <is>
          <t>문선</t>
        </is>
      </c>
    </row>
    <row r="3" hidden="1" ht="12.75" customHeight="1" s="118">
      <c r="A3" s="55" t="n"/>
      <c r="B3" s="61" t="n"/>
      <c r="C3" s="62" t="n"/>
      <c r="D3" s="62" t="n"/>
    </row>
    <row r="4" ht="12.75" customHeight="1" s="118">
      <c r="A4" s="55" t="n"/>
      <c r="B4" s="61" t="n">
        <v>2026</v>
      </c>
      <c r="C4" s="62" t="inlineStr">
        <is>
          <t>YES를 이끌어내는 협상법</t>
        </is>
      </c>
      <c r="D4" s="62" t="inlineStr">
        <is>
          <t>흐르는 강물처럼-셀리 리드</t>
        </is>
      </c>
    </row>
    <row r="5" ht="12.75" customHeight="1" s="118">
      <c r="A5" s="55" t="n"/>
      <c r="B5" s="61" t="n">
        <v>2026</v>
      </c>
      <c r="C5" s="62" t="inlineStr">
        <is>
          <t>물고기는 존재하지 않는다</t>
        </is>
      </c>
      <c r="D5" s="62" t="inlineStr">
        <is>
          <t>천천히 다정하게</t>
        </is>
      </c>
    </row>
    <row r="6" ht="12.75" customHeight="1" s="118">
      <c r="A6" s="55" t="n"/>
      <c r="B6" s="61" t="n">
        <v>2026</v>
      </c>
      <c r="C6" s="62" t="inlineStr">
        <is>
          <t>위버멘쉬</t>
        </is>
      </c>
      <c r="D6" s="62" t="inlineStr">
        <is>
          <t>하얼빈</t>
        </is>
      </c>
    </row>
    <row r="7" ht="12.75" customHeight="1" s="118">
      <c r="A7" s="55" t="n"/>
      <c r="B7" s="61" t="n">
        <v>2026</v>
      </c>
      <c r="C7" s="62" t="inlineStr">
        <is>
          <t>하얼빈</t>
        </is>
      </c>
      <c r="D7" s="62" t="inlineStr">
        <is>
          <t>그랜드 부다페스트 호텔</t>
        </is>
      </c>
    </row>
    <row r="8" ht="12.75" customHeight="1" s="118">
      <c r="A8" s="55" t="n"/>
      <c r="B8" s="61" t="n">
        <v>2026</v>
      </c>
      <c r="C8" s="62" t="inlineStr">
        <is>
          <t>쓰는 사람</t>
        </is>
      </c>
      <c r="D8" s="10" t="inlineStr">
        <is>
          <t>쓰는 사람</t>
        </is>
      </c>
    </row>
    <row r="9" ht="12.75" customHeight="1" s="118">
      <c r="A9" s="55" t="n"/>
      <c r="B9" s="61" t="n">
        <v>2026</v>
      </c>
      <c r="C9" s="62" t="inlineStr">
        <is>
          <t>빌 캠벨, 실리콘밸리의 위대한 코치</t>
        </is>
      </c>
      <c r="D9" s="10" t="inlineStr">
        <is>
          <t>자기만의 방</t>
        </is>
      </c>
    </row>
    <row r="10" ht="12.75" customHeight="1" s="118">
      <c r="A10" s="55" t="n"/>
      <c r="B10" s="61" t="n">
        <v>2026</v>
      </c>
      <c r="C10" s="62" t="inlineStr">
        <is>
          <t>YES를 이끌어내는 협상법</t>
        </is>
      </c>
      <c r="D10" s="10" t="inlineStr">
        <is>
          <t>어떻게 지내요</t>
        </is>
      </c>
    </row>
    <row r="11" ht="12.75" customHeight="1" s="118">
      <c r="A11" s="55" t="n"/>
      <c r="B11" s="61" t="n">
        <v>2026</v>
      </c>
      <c r="C11" s="62" t="inlineStr">
        <is>
          <t>팩트풀니스</t>
        </is>
      </c>
      <c r="D11" s="62" t="inlineStr">
        <is>
          <t>안녕이라 그랬어</t>
        </is>
      </c>
    </row>
    <row r="12" ht="12.75" customHeight="1" s="118">
      <c r="A12" s="55" t="n"/>
      <c r="B12" s="61" t="n">
        <v>2026</v>
      </c>
      <c r="C12" s="62" t="inlineStr">
        <is>
          <t>안녕이라 그랬어</t>
        </is>
      </c>
      <c r="D12" s="62" t="n"/>
    </row>
    <row r="13" ht="12.75" customHeight="1" s="118">
      <c r="A13" s="55" t="n"/>
      <c r="B13" s="61" t="n">
        <v>2026</v>
      </c>
      <c r="C13" s="62" t="inlineStr">
        <is>
          <t>킬리만자로의 눈</t>
        </is>
      </c>
      <c r="D13" s="62" t="n"/>
    </row>
    <row r="14" ht="12.75" customHeight="1" s="118">
      <c r="A14" s="55" t="n"/>
      <c r="B14" s="61" t="n">
        <v>2026</v>
      </c>
      <c r="C14" s="62" t="inlineStr">
        <is>
          <t>데미안(오리지널 초판본 디자인)</t>
        </is>
      </c>
      <c r="D14" s="62" t="n"/>
    </row>
    <row r="15" ht="12.75" customHeight="1" s="118">
      <c r="A15" s="55" t="n"/>
      <c r="B15" s="61" t="n">
        <v>2026</v>
      </c>
      <c r="C15" s="62" t="inlineStr">
        <is>
          <t>괴테는 모든 것을 말했다</t>
        </is>
      </c>
      <c r="D15" s="62" t="n"/>
    </row>
    <row r="16" ht="12.75" customHeight="1" s="118">
      <c r="A16" s="55" t="n"/>
      <c r="B16" s="61" t="n">
        <v>2026</v>
      </c>
      <c r="C16" s="62" t="n"/>
      <c r="D16" s="62" t="n"/>
    </row>
    <row r="17" ht="12.75" customHeight="1" s="118">
      <c r="A17" s="55" t="n"/>
      <c r="B17" s="61" t="n">
        <v>2026</v>
      </c>
      <c r="C17" s="62" t="n"/>
      <c r="D17" s="62" t="n"/>
    </row>
    <row r="18" ht="12.75" customHeight="1" s="118">
      <c r="A18" s="55" t="n"/>
      <c r="B18" s="61" t="n">
        <v>2026</v>
      </c>
      <c r="C18" s="62" t="n"/>
      <c r="D18" s="62" t="n"/>
    </row>
    <row r="19" ht="12.75" customHeight="1" s="118">
      <c r="A19" s="55" t="n"/>
      <c r="B19" s="61" t="n">
        <v>2026</v>
      </c>
      <c r="C19" s="62" t="n"/>
      <c r="D19" s="62" t="n"/>
    </row>
    <row r="20" ht="12.75" customHeight="1" s="118">
      <c r="A20" s="55" t="n"/>
      <c r="B20" s="61" t="n">
        <v>2026</v>
      </c>
      <c r="C20" s="62" t="n"/>
      <c r="D20" s="62" t="n"/>
    </row>
    <row r="21" ht="12.75" customHeight="1" s="118">
      <c r="A21" s="55" t="n"/>
      <c r="B21" s="61" t="n">
        <v>2026</v>
      </c>
      <c r="C21" s="62" t="n"/>
      <c r="D21" s="62" t="n"/>
    </row>
    <row r="22" ht="12.75" customHeight="1" s="118">
      <c r="A22" s="55" t="n"/>
      <c r="B22" s="61" t="n">
        <v>2026</v>
      </c>
      <c r="C22" s="62" t="n"/>
      <c r="D22" s="62" t="n"/>
    </row>
    <row r="23" ht="12.75" customHeight="1" s="118">
      <c r="A23" s="55" t="n"/>
      <c r="B23" s="61" t="n">
        <v>2026</v>
      </c>
      <c r="C23" s="62" t="n"/>
      <c r="D23" s="62" t="n"/>
    </row>
    <row r="24" ht="12.75" customHeight="1" s="118">
      <c r="A24" s="55" t="n"/>
      <c r="B24" s="61" t="n">
        <v>2026</v>
      </c>
      <c r="C24" s="62" t="n"/>
      <c r="D24" s="62" t="n"/>
    </row>
    <row r="25" ht="12.75" customHeight="1" s="118">
      <c r="A25" s="55" t="n"/>
      <c r="B25" s="61" t="n">
        <v>2026</v>
      </c>
      <c r="C25" s="62" t="n"/>
      <c r="D25" s="62" t="n"/>
    </row>
    <row r="26" ht="12.75" customHeight="1" s="118">
      <c r="A26" s="55" t="n"/>
      <c r="B26" s="61" t="n">
        <v>2026</v>
      </c>
      <c r="C26" s="62" t="n"/>
      <c r="D26" s="62" t="n"/>
    </row>
    <row r="27" ht="12.75" customHeight="1" s="118">
      <c r="A27" s="55" t="n"/>
      <c r="B27" s="61" t="n">
        <v>2026</v>
      </c>
      <c r="C27" s="62" t="n"/>
      <c r="D27" s="62" t="n"/>
    </row>
    <row r="28" ht="12.75" customHeight="1" s="118">
      <c r="A28" s="55" t="n"/>
      <c r="B28" s="61" t="n">
        <v>2026</v>
      </c>
      <c r="C28" s="62" t="n"/>
      <c r="D28" s="62" t="n"/>
    </row>
    <row r="29" ht="12.75" customHeight="1" s="118">
      <c r="A29" s="55" t="n"/>
      <c r="B29" s="61" t="n">
        <v>2026</v>
      </c>
      <c r="C29" s="62" t="n"/>
      <c r="D29" s="62" t="n"/>
    </row>
    <row r="30" ht="12.75" customHeight="1" s="118">
      <c r="A30" s="55" t="n"/>
      <c r="B30" s="61" t="n">
        <v>2026</v>
      </c>
      <c r="C30" s="62" t="n"/>
      <c r="D30" s="62" t="n"/>
    </row>
    <row r="31" ht="12.75" customHeight="1" s="118">
      <c r="A31" s="55" t="n"/>
      <c r="B31" s="61" t="n">
        <v>2026</v>
      </c>
      <c r="C31" s="62" t="n"/>
      <c r="D31" s="62" t="n"/>
    </row>
    <row r="32" ht="12.75" customHeight="1" s="118">
      <c r="A32" s="55" t="n"/>
      <c r="B32" s="63" t="n">
        <v>2025</v>
      </c>
      <c r="C32" s="64" t="inlineStr">
        <is>
          <t>마음의 기술</t>
        </is>
      </c>
      <c r="D32" s="64" t="inlineStr">
        <is>
          <t>면도날</t>
        </is>
      </c>
    </row>
    <row r="33" ht="12.75" customHeight="1" s="118">
      <c r="A33" s="55" t="n"/>
      <c r="B33" s="63" t="n">
        <v>2025</v>
      </c>
      <c r="C33" s="64" t="inlineStr">
        <is>
          <t>생활코딩! Ract 리액트 프로그래밍</t>
        </is>
      </c>
      <c r="D33" s="65" t="inlineStr">
        <is>
          <t>작별하지 않는다</t>
        </is>
      </c>
    </row>
    <row r="34" ht="12.75" customHeight="1" s="118">
      <c r="A34" s="55" t="n"/>
      <c r="B34" s="63" t="n">
        <v>2025</v>
      </c>
      <c r="C34" s="64" t="inlineStr">
        <is>
          <t>새들이 남쪽으로 가는 날</t>
        </is>
      </c>
      <c r="D34" s="65" t="inlineStr">
        <is>
          <t>초역 부처의 말</t>
        </is>
      </c>
    </row>
    <row r="35" ht="12.75" customHeight="1" s="118">
      <c r="A35" s="55" t="n"/>
      <c r="B35" s="63" t="n">
        <v>2025</v>
      </c>
      <c r="C35" s="64" t="inlineStr">
        <is>
          <t>THICK data</t>
        </is>
      </c>
      <c r="D35" s="65" t="inlineStr">
        <is>
          <t>무기력이 무기력해지도록</t>
        </is>
      </c>
    </row>
    <row r="36" ht="12.75" customHeight="1" s="118">
      <c r="A36" s="55" t="n"/>
      <c r="B36" s="63" t="n">
        <v>2025</v>
      </c>
      <c r="C36" s="64" t="inlineStr">
        <is>
          <t>초역 부처의 말</t>
        </is>
      </c>
      <c r="D36" s="65" t="inlineStr">
        <is>
          <t>흰</t>
        </is>
      </c>
    </row>
    <row r="37" ht="12.75" customHeight="1" s="118">
      <c r="A37" s="55" t="n"/>
      <c r="B37" s="63" t="n">
        <v>2025</v>
      </c>
      <c r="C37" s="64" t="inlineStr">
        <is>
          <t>데미안(오리지널 초판본 디자인)</t>
        </is>
      </c>
      <c r="D37" s="66" t="inlineStr">
        <is>
          <t>개발자 원칙</t>
        </is>
      </c>
    </row>
    <row r="38" ht="12.75" customHeight="1" s="118">
      <c r="A38" s="55" t="n"/>
      <c r="B38" s="63" t="n">
        <v>2025</v>
      </c>
      <c r="C38" s="64" t="inlineStr">
        <is>
          <t>모던 리액트 Deep Dive</t>
        </is>
      </c>
      <c r="D38" s="65" t="inlineStr">
        <is>
          <t>불안 - 개정판</t>
        </is>
      </c>
    </row>
    <row r="39" ht="12.75" customHeight="1" s="118">
      <c r="A39" s="55" t="n"/>
      <c r="B39" s="63" t="n">
        <v>2025</v>
      </c>
      <c r="C39" s="64" t="inlineStr">
        <is>
          <t>흰</t>
        </is>
      </c>
      <c r="D39" s="65" t="inlineStr">
        <is>
          <t>채식주의자</t>
        </is>
      </c>
    </row>
    <row r="40" ht="12.75" customHeight="1" s="118">
      <c r="A40" s="55" t="n"/>
      <c r="B40" s="63" t="n">
        <v>2025</v>
      </c>
      <c r="C40" s="64" t="inlineStr">
        <is>
          <t>단어가 품은 세계</t>
        </is>
      </c>
      <c r="D40" s="65" t="inlineStr">
        <is>
          <t>단어가 품은 세계</t>
        </is>
      </c>
    </row>
    <row r="41" ht="12.75" customHeight="1" s="118">
      <c r="A41" s="55" t="n"/>
      <c r="B41" s="63" t="n">
        <v>2025</v>
      </c>
      <c r="C41" s="64" t="inlineStr">
        <is>
          <t>무기력이 무기력해지도록</t>
        </is>
      </c>
      <c r="D41" s="65" t="inlineStr">
        <is>
          <t>팀워크의 부활</t>
        </is>
      </c>
    </row>
    <row r="42" ht="12.75" customHeight="1" s="118">
      <c r="A42" s="55" t="n"/>
      <c r="B42" s="63" t="n">
        <v>2025</v>
      </c>
      <c r="C42" s="64" t="inlineStr">
        <is>
          <t>예술 도둑</t>
        </is>
      </c>
      <c r="D42" s="64" t="inlineStr">
        <is>
          <t>맡겨진 소녀</t>
        </is>
      </c>
    </row>
    <row r="43" ht="12.75" customHeight="1" s="118">
      <c r="A43" s="55" t="n"/>
      <c r="B43" s="63" t="n">
        <v>2025</v>
      </c>
      <c r="C43" s="64" t="inlineStr">
        <is>
          <t>맡겨진 소녀</t>
        </is>
      </c>
      <c r="D43" s="65" t="inlineStr">
        <is>
          <t>소년이 온다</t>
        </is>
      </c>
    </row>
    <row r="44" ht="12.75" customHeight="1" s="118">
      <c r="A44" s="55" t="n"/>
      <c r="B44" s="63" t="n">
        <v>2025</v>
      </c>
      <c r="C44" s="64" t="inlineStr">
        <is>
          <t>팀워크의 부활</t>
        </is>
      </c>
      <c r="D44" s="64" t="inlineStr">
        <is>
          <t>THICK data</t>
        </is>
      </c>
    </row>
    <row r="45" ht="12.75" customHeight="1" s="118">
      <c r="A45" s="55" t="n"/>
      <c r="B45" s="63" t="n">
        <v>2025</v>
      </c>
      <c r="C45" s="64" t="inlineStr">
        <is>
          <t>당신이 생각하는 모든 것을 믿지 말라</t>
        </is>
      </c>
      <c r="D45" s="64" t="inlineStr">
        <is>
          <t>예술 도둑</t>
        </is>
      </c>
    </row>
    <row r="46" ht="12.75" customHeight="1" s="118">
      <c r="A46" s="55" t="n"/>
      <c r="B46" s="63" t="n">
        <v>2025</v>
      </c>
      <c r="C46" s="64" t="inlineStr">
        <is>
          <t>그거 사전</t>
        </is>
      </c>
      <c r="D46" s="65" t="inlineStr">
        <is>
          <t>100세 할머니 약국</t>
        </is>
      </c>
    </row>
    <row r="47" ht="12.75" customHeight="1" s="118">
      <c r="A47" s="55" t="n"/>
      <c r="B47" s="63" t="n">
        <v>2025</v>
      </c>
      <c r="C47" s="64" t="inlineStr">
        <is>
          <t>싱크 어게인</t>
        </is>
      </c>
      <c r="D47" s="64" t="inlineStr">
        <is>
          <t>일의 감각</t>
        </is>
      </c>
    </row>
    <row r="48" ht="12.75" customHeight="1" s="118">
      <c r="A48" s="55" t="n"/>
      <c r="B48" s="63" t="n">
        <v>2025</v>
      </c>
      <c r="C48" s="64" t="inlineStr">
        <is>
          <t>투명사회</t>
        </is>
      </c>
      <c r="D48" s="65" t="inlineStr">
        <is>
          <t>우리가 빛의 속도로 갈 수 없다면</t>
        </is>
      </c>
    </row>
    <row r="49" ht="12.75" customHeight="1" s="118">
      <c r="A49" s="55" t="n"/>
      <c r="B49" s="63" t="n">
        <v>2025</v>
      </c>
      <c r="C49" s="64" t="inlineStr">
        <is>
          <t>100세 할머니 약국</t>
        </is>
      </c>
      <c r="D49" s="65" t="inlineStr">
        <is>
          <t>희랍어 시간</t>
        </is>
      </c>
    </row>
    <row r="50" ht="12.75" customHeight="1" s="118">
      <c r="A50" s="55" t="n"/>
      <c r="B50" s="63" t="n">
        <v>2025</v>
      </c>
      <c r="C50" s="64" t="inlineStr">
        <is>
          <t>일의 감각</t>
        </is>
      </c>
      <c r="D50" s="65" t="inlineStr">
        <is>
          <t>위버멘쉬</t>
        </is>
      </c>
    </row>
    <row r="51" ht="12.75" customHeight="1" s="118">
      <c r="A51" s="55" t="n"/>
      <c r="B51" s="63" t="n">
        <v>2025</v>
      </c>
      <c r="C51" s="64" t="inlineStr">
        <is>
          <t>우리는 어떻게 마음을 움직이는가</t>
        </is>
      </c>
      <c r="D51" s="65" t="inlineStr">
        <is>
          <t>고도를 기다리며</t>
        </is>
      </c>
    </row>
    <row r="52" ht="12.75" customHeight="1" s="118">
      <c r="A52" s="55" t="n"/>
      <c r="B52" s="63" t="n">
        <v>2025</v>
      </c>
      <c r="C52" s="64" t="inlineStr">
        <is>
          <t>천천히 다정하게</t>
        </is>
      </c>
      <c r="D52" s="65" t="n"/>
    </row>
    <row r="53" ht="12.75" customHeight="1" s="118">
      <c r="A53" s="55" t="n"/>
      <c r="B53" s="63" t="n">
        <v>2025</v>
      </c>
      <c r="C53" s="64" t="inlineStr">
        <is>
          <t>비 그친 오후의 헌책방</t>
        </is>
      </c>
      <c r="D53" s="65" t="n"/>
    </row>
    <row r="54" ht="12.75" customHeight="1" s="118">
      <c r="A54" s="55" t="n"/>
      <c r="B54" s="63" t="n">
        <v>2025</v>
      </c>
      <c r="C54" s="64" t="inlineStr">
        <is>
          <t>인간 실격</t>
        </is>
      </c>
      <c r="D54" s="65" t="n"/>
    </row>
    <row r="55" ht="12.75" customHeight="1" s="118">
      <c r="A55" s="55" t="n"/>
      <c r="B55" s="63" t="n">
        <v>2025</v>
      </c>
      <c r="C55" s="64" t="inlineStr">
        <is>
          <t>우리가 빛의 속도로 갈 수 없다면</t>
        </is>
      </c>
      <c r="D55" s="65" t="n"/>
    </row>
    <row r="56" ht="12.75" customHeight="1" s="118">
      <c r="A56" s="55" t="n"/>
      <c r="B56" s="63" t="n">
        <v>2025</v>
      </c>
      <c r="C56" s="64" t="inlineStr">
        <is>
          <t>흐르는 강물처럼-셀리 리드</t>
        </is>
      </c>
      <c r="D56" s="65" t="n"/>
    </row>
    <row r="57" ht="12.75" customHeight="1" s="118">
      <c r="A57" s="55" t="n"/>
      <c r="B57" s="63" t="n">
        <v>2025</v>
      </c>
      <c r="C57" s="64" t="inlineStr">
        <is>
          <t>아버지의 해방일지</t>
        </is>
      </c>
      <c r="D57" s="65" t="n"/>
    </row>
    <row r="58" ht="12.75" customHeight="1" s="118">
      <c r="A58" s="55" t="n"/>
      <c r="B58" s="61" t="n">
        <v>2024</v>
      </c>
      <c r="C58" s="62" t="inlineStr">
        <is>
          <t>마흔에 읽는 쇼펜하우어</t>
        </is>
      </c>
      <c r="D58" s="67" t="inlineStr">
        <is>
          <t>도어</t>
        </is>
      </c>
    </row>
    <row r="59" ht="12.75" customHeight="1" s="118">
      <c r="A59" s="55" t="n"/>
      <c r="B59" s="61" t="n">
        <v>2024</v>
      </c>
      <c r="C59" s="62" t="inlineStr">
        <is>
          <t>더 좋은 삶을 위한 철학</t>
        </is>
      </c>
      <c r="D59" s="62" t="inlineStr">
        <is>
          <t>마흔에 읽는 쇼펜하우어</t>
        </is>
      </c>
    </row>
    <row r="60" ht="12.75" customHeight="1" s="118">
      <c r="A60" s="55" t="n"/>
      <c r="B60" s="61" t="n">
        <v>2024</v>
      </c>
      <c r="C60" s="62" t="inlineStr">
        <is>
          <t>IT 천재들</t>
        </is>
      </c>
      <c r="D60" s="10" t="inlineStr">
        <is>
          <t>인간 실격</t>
        </is>
      </c>
    </row>
    <row r="61" ht="12.75" customHeight="1" s="118">
      <c r="A61" s="55" t="n"/>
      <c r="B61" s="61" t="n">
        <v>2024</v>
      </c>
      <c r="C61" s="62" t="inlineStr">
        <is>
          <t>칼 로저스의 사람-중심 상담</t>
        </is>
      </c>
      <c r="D61" s="10" t="inlineStr">
        <is>
          <t>이처럼 사소한 것들</t>
        </is>
      </c>
    </row>
    <row r="62" ht="12.75" customHeight="1" s="118">
      <c r="A62" s="55" t="n"/>
      <c r="B62" s="61" t="n">
        <v>2024</v>
      </c>
      <c r="C62" s="62" t="inlineStr">
        <is>
          <t>이처럼 사소한 것들</t>
        </is>
      </c>
      <c r="D62" s="67" t="inlineStr">
        <is>
          <t>만화로 보는 댄 애리얼리 최고의 선택</t>
        </is>
      </c>
    </row>
    <row r="63" ht="12.75" customHeight="1" s="118">
      <c r="A63" s="55" t="n"/>
      <c r="B63" s="61" t="n">
        <v>2024</v>
      </c>
      <c r="C63" s="62" t="inlineStr">
        <is>
          <t>스토너</t>
        </is>
      </c>
      <c r="D63" s="10" t="inlineStr">
        <is>
          <t>당신이 생각하는 모든 것을 믿지 말라</t>
        </is>
      </c>
    </row>
    <row r="64" ht="12.75" customHeight="1" s="118">
      <c r="A64" s="55" t="n"/>
      <c r="B64" s="61" t="n">
        <v>2024</v>
      </c>
      <c r="C64" s="62" t="inlineStr">
        <is>
          <t>불안의 서</t>
        </is>
      </c>
      <c r="D64" s="62" t="inlineStr">
        <is>
          <t>스토너</t>
        </is>
      </c>
    </row>
    <row r="65" ht="12.75" customHeight="1" s="118">
      <c r="A65" s="55" t="n"/>
      <c r="B65" s="61" t="n">
        <v>2024</v>
      </c>
      <c r="C65" s="62" t="inlineStr">
        <is>
          <t>만화로 보는 댄 애리얼리 최고의 선택</t>
        </is>
      </c>
      <c r="D65" s="10" t="inlineStr">
        <is>
          <t>그냥 하지 말라</t>
        </is>
      </c>
    </row>
    <row r="66" ht="12.75" customHeight="1" s="118">
      <c r="A66" s="55" t="n"/>
      <c r="B66" s="61" t="n">
        <v>2024</v>
      </c>
      <c r="C66" s="62" t="inlineStr">
        <is>
          <t>나를 부르는 숲</t>
        </is>
      </c>
      <c r="D66" s="67" t="inlineStr">
        <is>
          <t>나를 부르는 숲</t>
        </is>
      </c>
    </row>
    <row r="67" ht="12.75" customHeight="1" s="118">
      <c r="A67" s="55" t="n"/>
      <c r="B67" s="61" t="n">
        <v>2024</v>
      </c>
      <c r="C67" s="62" t="inlineStr">
        <is>
          <t>드라이브</t>
        </is>
      </c>
      <c r="D67" s="10" t="inlineStr">
        <is>
          <t>멋진 신세계</t>
        </is>
      </c>
    </row>
    <row r="68" ht="12.75" customHeight="1" s="118">
      <c r="A68" s="55" t="n"/>
      <c r="B68" s="61" t="n">
        <v>2024</v>
      </c>
      <c r="C68" s="62" t="inlineStr">
        <is>
          <t>죽음의 수용소에서</t>
        </is>
      </c>
      <c r="D68" s="10" t="inlineStr">
        <is>
          <t>맛있게, 저염식</t>
        </is>
      </c>
    </row>
    <row r="69" ht="12.75" customHeight="1" s="118">
      <c r="A69" s="55" t="n"/>
      <c r="B69" s="61" t="n">
        <v>2024</v>
      </c>
      <c r="C69" s="62" t="inlineStr">
        <is>
          <t>멋진 신세계</t>
        </is>
      </c>
      <c r="D69" s="67" t="inlineStr">
        <is>
          <t>새의 선물</t>
        </is>
      </c>
    </row>
    <row r="70" ht="12.75" customHeight="1" s="118">
      <c r="A70" s="55" t="n"/>
      <c r="B70" s="61" t="n">
        <v>2024</v>
      </c>
      <c r="C70" s="62" t="inlineStr">
        <is>
          <t>아웃라이어</t>
        </is>
      </c>
      <c r="D70" s="67" t="inlineStr">
        <is>
          <t>침묵의 봄</t>
        </is>
      </c>
    </row>
    <row r="71" ht="12.75" customHeight="1" s="118">
      <c r="A71" s="55" t="n"/>
      <c r="B71" s="61" t="n">
        <v>2024</v>
      </c>
      <c r="C71" s="62" t="inlineStr">
        <is>
          <t>The One Thing</t>
        </is>
      </c>
      <c r="D71" s="62" t="inlineStr">
        <is>
          <t>죽음의 수용소에서</t>
        </is>
      </c>
    </row>
    <row r="72" ht="12.75" customHeight="1" s="118">
      <c r="A72" s="55" t="n"/>
      <c r="B72" s="61" t="n">
        <v>2024</v>
      </c>
      <c r="C72" s="62" t="inlineStr">
        <is>
          <t>녹나무의 여신</t>
        </is>
      </c>
      <c r="D72" s="67" t="inlineStr">
        <is>
          <t>The One Thing</t>
        </is>
      </c>
    </row>
    <row r="73" ht="12.75" customHeight="1" s="118">
      <c r="A73" s="55" t="n"/>
      <c r="B73" s="61" t="n">
        <v>2024</v>
      </c>
      <c r="C73" s="62" t="inlineStr">
        <is>
          <t>당신이 생각하는 모든 것을 믿지 말라</t>
        </is>
      </c>
      <c r="D73" s="51" t="inlineStr">
        <is>
          <t>제품의 탄생</t>
        </is>
      </c>
    </row>
    <row r="74" ht="12.75" customHeight="1" s="118">
      <c r="A74" s="55" t="n"/>
      <c r="B74" s="61" t="n">
        <v>2024</v>
      </c>
      <c r="C74" s="62" t="inlineStr">
        <is>
          <t>Do it! Vue.js 입문</t>
        </is>
      </c>
      <c r="D74" s="10" t="inlineStr">
        <is>
          <t>녹나무의 여신</t>
        </is>
      </c>
    </row>
    <row r="75" ht="12.75" customHeight="1" s="118">
      <c r="A75" s="55" t="n"/>
      <c r="B75" s="61" t="n">
        <v>2024</v>
      </c>
      <c r="C75" s="62" t="inlineStr">
        <is>
          <t>아직도 악어와 악어새 이야기를 믿어?</t>
        </is>
      </c>
      <c r="D75" s="10" t="inlineStr">
        <is>
          <t>평가보다 피드백</t>
        </is>
      </c>
    </row>
    <row r="76" ht="12.75" customHeight="1" s="118">
      <c r="A76" s="55" t="n"/>
      <c r="B76" s="61" t="n">
        <v>2024</v>
      </c>
      <c r="C76" s="62" t="inlineStr">
        <is>
          <t>평가보다 피드백</t>
        </is>
      </c>
      <c r="D76" s="10" t="inlineStr">
        <is>
          <t>글렌 굴드, 피아노 솔로</t>
        </is>
      </c>
    </row>
    <row r="77" ht="12.75" customHeight="1" s="118">
      <c r="A77" s="55" t="n"/>
      <c r="B77" s="61" t="n">
        <v>2024</v>
      </c>
      <c r="C77" s="62" t="inlineStr">
        <is>
          <t>그냥 하지 말라</t>
        </is>
      </c>
      <c r="D77" s="62" t="inlineStr">
        <is>
          <t>아직도 악어와 악어새 이야기를 믿어?</t>
        </is>
      </c>
    </row>
    <row r="78" ht="12.75" customHeight="1" s="118">
      <c r="A78" s="55" t="n"/>
      <c r="B78" s="61" t="n">
        <v>2024</v>
      </c>
      <c r="C78" s="62" t="inlineStr">
        <is>
          <t>글렌 굴드, 피아노 솔로</t>
        </is>
      </c>
      <c r="D78" s="67" t="inlineStr">
        <is>
          <t>더 좋은 삶을 위한 철학</t>
        </is>
      </c>
    </row>
    <row r="79" ht="12.75" customHeight="1" s="118">
      <c r="A79" s="55" t="n"/>
      <c r="B79" s="61" t="n">
        <v>2024</v>
      </c>
      <c r="C79" s="62" t="inlineStr">
        <is>
          <t>채링크로스 84번지</t>
        </is>
      </c>
      <c r="D79" s="10" t="inlineStr">
        <is>
          <t>저속노화 식사법</t>
        </is>
      </c>
    </row>
    <row r="80" ht="12.75" customHeight="1" s="118">
      <c r="A80" s="55" t="n"/>
      <c r="B80" s="61" t="n">
        <v>2024</v>
      </c>
      <c r="C80" s="62" t="inlineStr">
        <is>
          <t>프랭클린 익스프레스</t>
        </is>
      </c>
      <c r="D80" s="67" t="inlineStr">
        <is>
          <t>피구왕 서영</t>
        </is>
      </c>
    </row>
    <row r="81" ht="12.75" customHeight="1" s="118">
      <c r="A81" s="55" t="n"/>
      <c r="B81" s="61" t="n">
        <v>2024</v>
      </c>
      <c r="C81" s="62" t="inlineStr">
        <is>
          <t>피구왕 서영</t>
        </is>
      </c>
      <c r="D81" s="68" t="inlineStr">
        <is>
          <t>누구나 킥이 필요한 순간이 있다</t>
        </is>
      </c>
    </row>
    <row r="82" ht="12.75" customHeight="1" s="118">
      <c r="A82" s="55" t="n"/>
      <c r="B82" s="61" t="n">
        <v>2024</v>
      </c>
      <c r="C82" s="62" t="inlineStr">
        <is>
          <t>하늘과 땅 식료품점</t>
        </is>
      </c>
      <c r="D82" s="67" t="inlineStr">
        <is>
          <t>감정의 이해</t>
        </is>
      </c>
    </row>
    <row r="83" ht="12.75" customHeight="1" s="118">
      <c r="A83" s="55" t="n"/>
      <c r="B83" s="61" t="n">
        <v>2024</v>
      </c>
      <c r="C83" s="62" t="inlineStr">
        <is>
          <t>감정의 이해</t>
        </is>
      </c>
      <c r="D83" s="62" t="inlineStr">
        <is>
          <t>채링크로스 84번지</t>
        </is>
      </c>
    </row>
    <row r="84" ht="12.75" customHeight="1" s="118">
      <c r="A84" s="55" t="n"/>
      <c r="B84" s="61" t="n">
        <v>2024</v>
      </c>
      <c r="C84" s="62" t="inlineStr">
        <is>
          <t>누구나 킥이 필요한 순간이 있다</t>
        </is>
      </c>
      <c r="D84" s="10" t="inlineStr">
        <is>
          <t>비 그친 오후의 헌책방</t>
        </is>
      </c>
    </row>
    <row r="85" ht="12.75" customHeight="1" s="118">
      <c r="A85" s="55" t="n"/>
      <c r="B85" s="61" t="n">
        <v>2024</v>
      </c>
      <c r="C85" s="62" t="inlineStr">
        <is>
          <t>면도날</t>
        </is>
      </c>
      <c r="D85" s="10" t="inlineStr">
        <is>
          <t>푸른 들판을 걷다</t>
        </is>
      </c>
    </row>
    <row r="86" ht="12.75" customHeight="1" s="118">
      <c r="A86" s="55" t="n"/>
      <c r="B86" s="61" t="n">
        <v>2024</v>
      </c>
      <c r="C86" s="62" t="inlineStr">
        <is>
          <t>작별하지 않는다</t>
        </is>
      </c>
      <c r="D86" s="62" t="inlineStr">
        <is>
          <t>불안의 서</t>
        </is>
      </c>
    </row>
    <row r="87" ht="12.75" customHeight="1" s="118">
      <c r="A87" s="55" t="n"/>
      <c r="B87" s="61" t="n">
        <v>2024</v>
      </c>
      <c r="C87" s="62" t="inlineStr">
        <is>
          <t>푸른 들판을 걷다</t>
        </is>
      </c>
      <c r="D87" s="10" t="inlineStr">
        <is>
          <t>프랭클린 익스프레스</t>
        </is>
      </c>
    </row>
    <row r="88" ht="12.75" customHeight="1" s="118">
      <c r="A88" s="55" t="n"/>
      <c r="B88" s="61" t="n">
        <v>2024</v>
      </c>
      <c r="C88" s="62" t="n"/>
      <c r="D88" s="10" t="inlineStr">
        <is>
          <t>마음의 기술</t>
        </is>
      </c>
    </row>
    <row r="89" ht="12.75" customHeight="1" s="118">
      <c r="A89" s="55" t="n"/>
      <c r="B89" s="63" t="n">
        <v>2023</v>
      </c>
      <c r="C89" s="64" t="inlineStr">
        <is>
          <t>클린 코더</t>
        </is>
      </c>
      <c r="D89" s="65" t="inlineStr">
        <is>
          <t>어떻게 공부할 것인가</t>
        </is>
      </c>
    </row>
    <row r="90" ht="12.75" customHeight="1" s="118">
      <c r="A90" s="55" t="n"/>
      <c r="B90" s="63" t="n">
        <v>2023</v>
      </c>
      <c r="C90" s="64" t="inlineStr">
        <is>
          <t>사용자 스토리</t>
        </is>
      </c>
      <c r="D90" s="64" t="inlineStr">
        <is>
          <t>익스트림 프로그래밍</t>
        </is>
      </c>
    </row>
    <row r="91" ht="12.75" customHeight="1" s="118">
      <c r="A91" s="55" t="n"/>
      <c r="B91" s="63" t="n">
        <v>2023</v>
      </c>
      <c r="C91" s="64" t="inlineStr">
        <is>
          <t>방구석 미술관</t>
        </is>
      </c>
      <c r="D91" s="64" t="inlineStr">
        <is>
          <t>생각에 관한 생각</t>
        </is>
      </c>
    </row>
    <row r="92" ht="12.75" customHeight="1" s="118">
      <c r="A92" s="55" t="n"/>
      <c r="B92" s="63" t="n">
        <v>2023</v>
      </c>
      <c r="C92" s="64" t="inlineStr">
        <is>
          <t>프로페셔널의 조건</t>
        </is>
      </c>
      <c r="D92" s="64" t="inlineStr">
        <is>
          <t>설국</t>
        </is>
      </c>
    </row>
    <row r="93" ht="12.75" customHeight="1" s="118">
      <c r="A93" s="55" t="n"/>
      <c r="B93" s="63" t="n">
        <v>2023</v>
      </c>
      <c r="C93" s="64" t="inlineStr">
        <is>
          <t>언러키 스타트업</t>
        </is>
      </c>
      <c r="D93" s="64" t="inlineStr">
        <is>
          <t>클린 코더</t>
        </is>
      </c>
    </row>
    <row r="94" ht="12.75" customHeight="1" s="118">
      <c r="A94" s="55" t="n"/>
      <c r="B94" s="63" t="n">
        <v>2023</v>
      </c>
      <c r="C94" s="64" t="inlineStr">
        <is>
          <t>채용과 선발의 심리학</t>
        </is>
      </c>
      <c r="D94" s="64" t="inlineStr">
        <is>
          <t>방구석 미술관</t>
        </is>
      </c>
    </row>
    <row r="95" ht="12.75" customHeight="1" s="118">
      <c r="A95" s="55" t="n"/>
      <c r="B95" s="63" t="n">
        <v>2023</v>
      </c>
      <c r="C95" s="64" t="inlineStr">
        <is>
          <t>바닷가 작업실에서는 전혀 다른 시간이 흐른다</t>
        </is>
      </c>
      <c r="D95" s="69" t="inlineStr">
        <is>
          <t>아다지오 소스테누토</t>
        </is>
      </c>
    </row>
    <row r="96" ht="12.75" customHeight="1" s="118">
      <c r="A96" s="55" t="n"/>
      <c r="B96" s="63" t="n">
        <v>2023</v>
      </c>
      <c r="C96" s="64" t="inlineStr">
        <is>
          <t>설국</t>
        </is>
      </c>
      <c r="D96" s="64" t="inlineStr">
        <is>
          <t>언러키 스타트업</t>
        </is>
      </c>
    </row>
    <row r="97" ht="12.75" customHeight="1" s="118">
      <c r="A97" s="55" t="n"/>
      <c r="B97" s="63" t="n">
        <v>2023</v>
      </c>
      <c r="C97" s="64" t="inlineStr">
        <is>
          <t>하드씽</t>
        </is>
      </c>
      <c r="D97" s="64" t="inlineStr">
        <is>
          <t>사용자 스토리</t>
        </is>
      </c>
    </row>
    <row r="98" ht="12.75" customHeight="1" s="118">
      <c r="A98" s="55" t="n"/>
      <c r="B98" s="63" t="n">
        <v>2023</v>
      </c>
      <c r="C98" s="64" t="inlineStr">
        <is>
          <t>읽기 좋은 코드가 좋은 코드다</t>
        </is>
      </c>
      <c r="D98" s="64" t="inlineStr">
        <is>
          <t>더 골1</t>
        </is>
      </c>
    </row>
    <row r="99" ht="12.75" customHeight="1" s="118">
      <c r="A99" s="55" t="n"/>
      <c r="B99" s="63" t="n">
        <v>2023</v>
      </c>
      <c r="C99" s="64" t="inlineStr">
        <is>
          <t>더 골1</t>
        </is>
      </c>
      <c r="D99" s="69" t="inlineStr">
        <is>
          <t>더 골2</t>
        </is>
      </c>
    </row>
    <row r="100" ht="12.75" customHeight="1" s="118">
      <c r="A100" s="55" t="n"/>
      <c r="B100" s="63" t="n">
        <v>2023</v>
      </c>
      <c r="C100" s="70" t="inlineStr">
        <is>
          <t>더 골2</t>
        </is>
      </c>
      <c r="D100" s="64" t="inlineStr">
        <is>
          <t>바닷가 작업실에서는 전혀 다른 시간이 흐른다</t>
        </is>
      </c>
    </row>
    <row r="101" ht="12.75" customHeight="1" s="118">
      <c r="A101" s="55" t="n"/>
      <c r="B101" s="63" t="n">
        <v>2023</v>
      </c>
      <c r="C101" s="64" t="inlineStr">
        <is>
          <t>팀장의 탄생</t>
        </is>
      </c>
      <c r="D101" s="64" t="inlineStr">
        <is>
          <t>데이터 모델링 이야기</t>
        </is>
      </c>
    </row>
    <row r="102" ht="12.75" customHeight="1" s="118">
      <c r="A102" s="55" t="n"/>
      <c r="B102" s="63" t="n">
        <v>2023</v>
      </c>
      <c r="C102" s="64" t="inlineStr">
        <is>
          <t>하이아웃풋 매니지먼트</t>
        </is>
      </c>
      <c r="D102" s="64" t="inlineStr">
        <is>
          <t>하이아웃풋 매니지먼트</t>
        </is>
      </c>
    </row>
    <row r="103" ht="12.75" customHeight="1" s="118">
      <c r="A103" s="55" t="n"/>
      <c r="B103" s="63" t="n">
        <v>2023</v>
      </c>
      <c r="C103" s="64" t="inlineStr">
        <is>
          <t>제품의 탄생</t>
        </is>
      </c>
      <c r="D103" s="64" t="inlineStr">
        <is>
          <t>열 번 잘해도 한 번 실수로 무너지는 게 관계다</t>
        </is>
      </c>
    </row>
    <row r="104" ht="12.75" customHeight="1" s="118">
      <c r="A104" s="55" t="n"/>
      <c r="B104" s="63" t="n">
        <v>2023</v>
      </c>
      <c r="C104" s="64" t="inlineStr">
        <is>
          <t>프로덕트 리더십</t>
        </is>
      </c>
      <c r="D104" s="64" t="inlineStr">
        <is>
          <t>하드씽</t>
        </is>
      </c>
    </row>
    <row r="105" ht="12.75" customHeight="1" s="118">
      <c r="A105" s="55" t="n"/>
      <c r="B105" s="63" t="n">
        <v>2023</v>
      </c>
      <c r="C105" s="64" t="inlineStr">
        <is>
          <t>데이터 모델링 이야기</t>
        </is>
      </c>
      <c r="D105" s="64" t="inlineStr">
        <is>
          <t>불행 피하기 기술</t>
        </is>
      </c>
    </row>
    <row r="106" ht="12.75" customHeight="1" s="118">
      <c r="A106" s="55" t="n"/>
      <c r="B106" s="63" t="n">
        <v>2023</v>
      </c>
      <c r="C106" s="64" t="inlineStr">
        <is>
          <t>불행 피하기 기술</t>
        </is>
      </c>
      <c r="D106" s="64" t="inlineStr">
        <is>
          <t>표현의 기술</t>
        </is>
      </c>
    </row>
    <row r="107" ht="12.75" customHeight="1" s="118">
      <c r="A107" s="55" t="n"/>
      <c r="B107" s="63" t="n">
        <v>2023</v>
      </c>
      <c r="C107" s="64" t="inlineStr">
        <is>
          <t>테스트 주도 개발</t>
        </is>
      </c>
      <c r="D107" s="64" t="inlineStr">
        <is>
          <t>못 말리게 시끄럽고, 참을 수 없이 웃긴 철학책</t>
        </is>
      </c>
    </row>
    <row r="108" ht="12.75" customHeight="1" s="118">
      <c r="A108" s="55" t="n"/>
      <c r="B108" s="63" t="n">
        <v>2023</v>
      </c>
      <c r="C108" s="64" t="inlineStr">
        <is>
          <t>데이터 모델링 실전처럼 시작하기</t>
        </is>
      </c>
      <c r="D108" s="64" t="inlineStr">
        <is>
          <t>위험한 과학책</t>
        </is>
      </c>
    </row>
    <row r="109" ht="12.75" customHeight="1" s="118">
      <c r="A109" s="55" t="n"/>
      <c r="B109" s="63" t="n">
        <v>2023</v>
      </c>
      <c r="C109" s="64" t="inlineStr">
        <is>
          <t>표현의 기술</t>
        </is>
      </c>
      <c r="D109" s="64" t="inlineStr">
        <is>
          <t>도둑맞은 집중력</t>
        </is>
      </c>
    </row>
    <row r="110" ht="12.75" customHeight="1" s="118">
      <c r="A110" s="55" t="n"/>
      <c r="B110" s="63" t="n">
        <v>2023</v>
      </c>
      <c r="C110" s="64" t="inlineStr">
        <is>
          <t>청춘의 독서</t>
        </is>
      </c>
      <c r="D110" s="69" t="inlineStr">
        <is>
          <t>도시와 그 불확실한 벽</t>
        </is>
      </c>
    </row>
    <row r="111" ht="12.75" customHeight="1" s="118">
      <c r="A111" s="55" t="n"/>
      <c r="B111" s="63" t="n">
        <v>2023</v>
      </c>
      <c r="C111" s="64" t="inlineStr">
        <is>
          <t>못 말리게 시끄럽고, 참을 수 없이 웃긴 철학책</t>
        </is>
      </c>
      <c r="D111" s="64" t="inlineStr">
        <is>
          <t>가짜 노동</t>
        </is>
      </c>
    </row>
    <row r="112" ht="12.75" customHeight="1" s="118">
      <c r="A112" s="55" t="n"/>
      <c r="B112" s="63" t="n">
        <v>2023</v>
      </c>
      <c r="C112" s="64" t="inlineStr">
        <is>
          <t>최강의 조직</t>
        </is>
      </c>
      <c r="D112" s="64" t="inlineStr">
        <is>
          <t>남한산성</t>
        </is>
      </c>
    </row>
    <row r="113" ht="12.75" customHeight="1" s="118">
      <c r="A113" s="55" t="n"/>
      <c r="B113" s="63" t="n">
        <v>2023</v>
      </c>
      <c r="C113" s="64" t="inlineStr">
        <is>
          <t>블랙스완</t>
        </is>
      </c>
      <c r="D113" s="64" t="inlineStr">
        <is>
          <t>청춘의 독서</t>
        </is>
      </c>
    </row>
    <row r="114" ht="12.75" customHeight="1" s="118">
      <c r="A114" s="55" t="n"/>
      <c r="B114" s="63" t="n">
        <v>2023</v>
      </c>
      <c r="C114" s="64" t="inlineStr">
        <is>
          <t>도둑맞은 집중력</t>
        </is>
      </c>
      <c r="D114" s="64" t="inlineStr">
        <is>
          <t>페드로 파라모</t>
        </is>
      </c>
    </row>
    <row r="115" ht="12.75" customHeight="1" s="118">
      <c r="A115" s="55" t="n"/>
      <c r="B115" s="63" t="n">
        <v>2023</v>
      </c>
      <c r="C115" s="64" t="inlineStr">
        <is>
          <t>도시와 그 불확실한 벽</t>
        </is>
      </c>
      <c r="D115" s="64" t="n"/>
    </row>
    <row r="116" ht="12.75" customHeight="1" s="118">
      <c r="A116" s="55" t="n"/>
      <c r="B116" s="63" t="n">
        <v>2023</v>
      </c>
      <c r="C116" s="64" t="inlineStr">
        <is>
          <t>페드로 파라모</t>
        </is>
      </c>
      <c r="D116" s="64" t="n"/>
    </row>
    <row r="117" ht="12.75" customHeight="1" s="118">
      <c r="A117" s="55" t="n"/>
      <c r="B117" s="63" t="n">
        <v>2023</v>
      </c>
      <c r="C117" s="64" t="inlineStr">
        <is>
          <t>남한산성</t>
        </is>
      </c>
      <c r="D117" s="64" t="n"/>
    </row>
    <row r="118" ht="12.75" customHeight="1" s="118">
      <c r="A118" s="55" t="n"/>
      <c r="B118" s="63" t="n">
        <v>2023</v>
      </c>
      <c r="C118" s="64" t="inlineStr">
        <is>
          <t>새의 선물</t>
        </is>
      </c>
      <c r="D118" s="64" t="n"/>
    </row>
    <row r="119" ht="12.75" customHeight="1" s="118">
      <c r="A119" s="55" t="n"/>
      <c r="B119" s="63" t="n">
        <v>2023</v>
      </c>
      <c r="C119" s="64" t="inlineStr">
        <is>
          <t>침묵의 봄</t>
        </is>
      </c>
      <c r="D119" s="64" t="n"/>
    </row>
    <row r="120" ht="12.75" customHeight="1" s="118">
      <c r="A120" s="55" t="n"/>
      <c r="B120" s="63" t="n">
        <v>2023</v>
      </c>
      <c r="C120" s="64" t="inlineStr">
        <is>
          <t>생각하지 않는 사람들</t>
        </is>
      </c>
      <c r="D120" s="64" t="n"/>
    </row>
    <row r="121" ht="12.75" customHeight="1" s="118">
      <c r="A121" s="55" t="n"/>
      <c r="B121" s="71" t="n">
        <v>2022</v>
      </c>
      <c r="C121" s="72" t="inlineStr">
        <is>
          <t>갈라파고스</t>
        </is>
      </c>
      <c r="D121" s="72" t="inlineStr">
        <is>
          <t>베네치아의 종소리</t>
        </is>
      </c>
    </row>
    <row r="122" ht="12.75" customHeight="1" s="118">
      <c r="A122" s="55" t="n"/>
      <c r="B122" s="71" t="n">
        <v>2022</v>
      </c>
      <c r="C122" s="72" t="inlineStr">
        <is>
          <t>베네치아의 종소리</t>
        </is>
      </c>
      <c r="D122" s="72" t="inlineStr">
        <is>
          <t>갈라파고스</t>
        </is>
      </c>
    </row>
    <row r="123" ht="12.75" customHeight="1" s="118">
      <c r="A123" s="55" t="n"/>
      <c r="B123" s="71" t="n">
        <v>2022</v>
      </c>
      <c r="C123" s="73" t="inlineStr">
        <is>
          <t>중용 인간의 맛</t>
        </is>
      </c>
      <c r="D123" s="74" t="inlineStr">
        <is>
          <t>매우 예민한 사람들을 위한 책</t>
        </is>
      </c>
    </row>
    <row r="124" ht="12.75" customHeight="1" s="118">
      <c r="A124" s="55" t="n"/>
      <c r="B124" s="71" t="n">
        <v>2022</v>
      </c>
      <c r="C124" s="73" t="inlineStr">
        <is>
          <t>통찰, 평범에서 비범으로</t>
        </is>
      </c>
      <c r="D124" s="51" t="inlineStr">
        <is>
          <t>하버드 100년 전통 말하기 수업</t>
        </is>
      </c>
    </row>
    <row r="125" ht="12.75" customHeight="1" s="118">
      <c r="A125" s="55" t="n"/>
      <c r="B125" s="71" t="n">
        <v>2022</v>
      </c>
      <c r="C125" s="75" t="inlineStr">
        <is>
          <t>크눌프</t>
        </is>
      </c>
      <c r="D125" s="75" t="inlineStr">
        <is>
          <t>크눌프</t>
        </is>
      </c>
    </row>
    <row r="126" ht="12.75" customHeight="1" s="118">
      <c r="A126" s="55" t="n"/>
      <c r="B126" s="71" t="n">
        <v>2022</v>
      </c>
      <c r="C126" s="75" t="inlineStr">
        <is>
          <t>고용 면접의 구조와 과정</t>
        </is>
      </c>
      <c r="D126" s="75" t="inlineStr">
        <is>
          <t>위로의 미술관</t>
        </is>
      </c>
    </row>
    <row r="127" ht="12.75" customHeight="1" s="118">
      <c r="A127" s="55" t="n"/>
      <c r="B127" s="71" t="n">
        <v>2022</v>
      </c>
      <c r="C127" s="75" t="inlineStr">
        <is>
          <t>테크니컬 리더</t>
        </is>
      </c>
      <c r="D127" s="10" t="inlineStr">
        <is>
          <t>대체 뭐가 문제야</t>
        </is>
      </c>
    </row>
    <row r="128" ht="12.75" customHeight="1" s="118">
      <c r="A128" s="55" t="n"/>
      <c r="B128" s="71" t="n">
        <v>2022</v>
      </c>
      <c r="C128" s="75" t="inlineStr">
        <is>
          <t>위로의 미술관</t>
        </is>
      </c>
      <c r="D128" s="10" t="inlineStr">
        <is>
          <t>서부 전선 이상 없다</t>
        </is>
      </c>
    </row>
    <row r="129" ht="12.75" customHeight="1" s="118">
      <c r="A129" s="55" t="n"/>
      <c r="B129" s="71" t="n">
        <v>2022</v>
      </c>
      <c r="C129" s="75" t="inlineStr">
        <is>
          <t>문장과 순간</t>
        </is>
      </c>
      <c r="D129" s="75" t="inlineStr">
        <is>
          <t>테크니컬 리더</t>
        </is>
      </c>
    </row>
    <row r="130" ht="12.75" customHeight="1" s="118">
      <c r="A130" s="55" t="n"/>
      <c r="B130" s="71" t="n">
        <v>2022</v>
      </c>
      <c r="C130" s="75" t="inlineStr">
        <is>
          <t>매우 예민한 사람들을 위한 책</t>
        </is>
      </c>
      <c r="D130" s="75" t="inlineStr">
        <is>
          <t>문장과 순간</t>
        </is>
      </c>
    </row>
    <row r="131" ht="12.75" customHeight="1" s="118">
      <c r="A131" s="55" t="n"/>
      <c r="B131" s="71" t="n">
        <v>2022</v>
      </c>
      <c r="C131" s="75" t="inlineStr">
        <is>
          <t>리펙터링 2판</t>
        </is>
      </c>
      <c r="D131" s="75" t="n"/>
    </row>
    <row r="132" ht="12.75" customHeight="1" s="118">
      <c r="A132" s="55" t="n"/>
      <c r="B132" s="71" t="n">
        <v>2022</v>
      </c>
      <c r="C132" s="75" t="inlineStr">
        <is>
          <t>클린 애자일</t>
        </is>
      </c>
      <c r="D132" s="75" t="n"/>
    </row>
    <row r="133" ht="12.75" customHeight="1" s="118">
      <c r="A133" s="55" t="n"/>
      <c r="B133" s="71" t="n">
        <v>2022</v>
      </c>
      <c r="C133" s="75" t="inlineStr">
        <is>
          <t>익스트림 프로그래밍</t>
        </is>
      </c>
      <c r="D133" s="75" t="n"/>
    </row>
    <row r="134" ht="12.75" customHeight="1" s="118">
      <c r="A134" s="55" t="n"/>
      <c r="B134" s="71" t="n">
        <v>2022</v>
      </c>
      <c r="C134" s="75" t="inlineStr">
        <is>
          <t>함께 자라기</t>
        </is>
      </c>
      <c r="D134" s="75" t="n"/>
    </row>
    <row r="135" ht="12.75" customHeight="1" s="118">
      <c r="A135" s="55" t="n"/>
      <c r="B135" s="71" t="n">
        <v>2022</v>
      </c>
      <c r="C135" s="75" t="inlineStr">
        <is>
          <t>애자일 회고</t>
        </is>
      </c>
      <c r="D135" s="75" t="n"/>
    </row>
    <row r="136" ht="12.75" customHeight="1" s="118">
      <c r="A136" s="55" t="n"/>
      <c r="B136" s="71" t="n">
        <v>2022</v>
      </c>
      <c r="C136" s="123" t="inlineStr">
        <is>
          <t>고용 면접의 구조와 과정</t>
        </is>
      </c>
      <c r="D136" s="75" t="n"/>
    </row>
    <row r="137" ht="12.75" customHeight="1" s="118">
      <c r="A137" s="57" t="n"/>
      <c r="B137" s="71" t="n">
        <v>2022</v>
      </c>
      <c r="C137" s="62" t="inlineStr">
        <is>
          <t>대체 뭐가 문제야</t>
        </is>
      </c>
      <c r="D137" s="76" t="n"/>
    </row>
    <row r="138" ht="12.75" customHeight="1" s="118">
      <c r="A138" s="57" t="n"/>
      <c r="B138" s="77" t="n">
        <v>2021</v>
      </c>
      <c r="C138" s="64" t="inlineStr">
        <is>
          <t>한국 미술</t>
        </is>
      </c>
      <c r="D138" s="78" t="inlineStr">
        <is>
          <t>공간이 만든 공간</t>
        </is>
      </c>
    </row>
    <row r="139" ht="12.75" customHeight="1" s="118">
      <c r="A139" s="57" t="n"/>
      <c r="B139" s="77" t="n">
        <v>2021</v>
      </c>
      <c r="C139" s="64" t="inlineStr">
        <is>
          <t>사람은 어떻게 생각하고 배우고 기억하는가</t>
        </is>
      </c>
      <c r="D139" s="64" t="inlineStr">
        <is>
          <t>한국 미술</t>
        </is>
      </c>
    </row>
    <row r="140" ht="12.75" customHeight="1" s="118">
      <c r="A140" s="57" t="n"/>
      <c r="B140" s="77" t="n">
        <v>2021</v>
      </c>
      <c r="C140" s="78" t="inlineStr">
        <is>
          <t>상식 밖의 경제학</t>
        </is>
      </c>
      <c r="D140" s="78" t="inlineStr">
        <is>
          <t>이기적 유전자</t>
        </is>
      </c>
    </row>
    <row r="141" ht="12.75" customHeight="1" s="118">
      <c r="A141" s="57" t="n"/>
      <c r="B141" s="77" t="n">
        <v>2021</v>
      </c>
      <c r="C141" s="78" t="inlineStr">
        <is>
          <t>스틱</t>
        </is>
      </c>
      <c r="D141" s="65" t="inlineStr">
        <is>
          <t>만들어진 신</t>
        </is>
      </c>
    </row>
    <row r="142" ht="12.75" customHeight="1" s="118">
      <c r="A142" s="57" t="n"/>
      <c r="B142" s="77" t="n">
        <v>2021</v>
      </c>
      <c r="C142" s="78" t="inlineStr">
        <is>
          <t>아다지오 소스테누토</t>
        </is>
      </c>
      <c r="D142" s="78" t="inlineStr">
        <is>
          <t>사람은 어떻게 생각하고 배우고 기억하는가</t>
        </is>
      </c>
    </row>
    <row r="143" ht="12.75" customHeight="1" s="118">
      <c r="A143" s="57" t="n"/>
      <c r="B143" s="77" t="n">
        <v>2021</v>
      </c>
      <c r="C143" s="78" t="inlineStr">
        <is>
          <t>프로젝트 헤일메리</t>
        </is>
      </c>
      <c r="D143" s="78" t="inlineStr">
        <is>
          <t>이기는 습관</t>
        </is>
      </c>
    </row>
    <row r="144" ht="12.75" customHeight="1" s="118">
      <c r="A144" s="57" t="n"/>
      <c r="B144" s="77" t="n">
        <v>2021</v>
      </c>
      <c r="C144" s="78" t="inlineStr">
        <is>
          <t>숫자에 약한 사람들을 위한 통계학 수업</t>
        </is>
      </c>
      <c r="D144" s="65" t="inlineStr">
        <is>
          <t>내 안에서 나를 만드는 것들</t>
        </is>
      </c>
    </row>
    <row r="145" ht="12.75" customHeight="1" s="118">
      <c r="A145" s="57" t="n"/>
      <c r="B145" s="77" t="n">
        <v>2021</v>
      </c>
      <c r="C145" s="78" t="inlineStr">
        <is>
          <t>부의 대이동</t>
        </is>
      </c>
      <c r="D145" s="65" t="inlineStr">
        <is>
          <t>타이탄의 도구들</t>
        </is>
      </c>
    </row>
    <row r="146" ht="12.75" customHeight="1" s="118">
      <c r="A146" s="57" t="n"/>
      <c r="B146" s="77" t="n">
        <v>2021</v>
      </c>
      <c r="C146" s="78" t="inlineStr">
        <is>
          <t>싯다르타</t>
        </is>
      </c>
      <c r="D146" s="78" t="inlineStr">
        <is>
          <t>순수의 시대</t>
        </is>
      </c>
    </row>
    <row r="147" ht="12.75" customHeight="1" s="118">
      <c r="A147" s="57" t="n"/>
      <c r="B147" s="77" t="n">
        <v>2021</v>
      </c>
      <c r="C147" s="78" t="inlineStr">
        <is>
          <t>아처</t>
        </is>
      </c>
      <c r="D147" s="78" t="inlineStr">
        <is>
          <t>프로젝트 헤일메리</t>
        </is>
      </c>
    </row>
    <row r="148" ht="12.75" customHeight="1" s="118">
      <c r="A148" s="57" t="n"/>
      <c r="B148" s="77" t="n">
        <v>2021</v>
      </c>
      <c r="C148" s="78" t="inlineStr">
        <is>
          <t>브람스를 좋아하세요</t>
        </is>
      </c>
      <c r="D148" s="78" t="inlineStr">
        <is>
          <t>스틱</t>
        </is>
      </c>
    </row>
    <row r="149" ht="12.75" customHeight="1" s="118">
      <c r="A149" s="57" t="n"/>
      <c r="B149" s="77" t="n">
        <v>2021</v>
      </c>
      <c r="C149" s="78" t="inlineStr">
        <is>
          <t>고도를 기다리며</t>
        </is>
      </c>
      <c r="D149" s="65" t="inlineStr">
        <is>
          <t>아처</t>
        </is>
      </c>
    </row>
    <row r="150" ht="12.75" customHeight="1" s="118">
      <c r="A150" s="57" t="n"/>
      <c r="B150" s="77" t="n">
        <v>2021</v>
      </c>
      <c r="C150" s="78" t="inlineStr">
        <is>
          <t>생각에 관한 생각</t>
        </is>
      </c>
      <c r="D150" s="78" t="inlineStr">
        <is>
          <t>싯다르타</t>
        </is>
      </c>
    </row>
    <row r="151" ht="12.75" customHeight="1" s="118">
      <c r="A151" s="57" t="n"/>
      <c r="B151" s="77" t="n">
        <v>2021</v>
      </c>
      <c r="C151" s="79" t="inlineStr">
        <is>
          <t>객체지향의 사실과 오해 - 역할, 책임, 협력 관점에서 본 객체지향</t>
        </is>
      </c>
      <c r="D151" s="78" t="inlineStr">
        <is>
          <t>브람스를 좋아하세요</t>
        </is>
      </c>
    </row>
    <row r="152" ht="12.75" customHeight="1" s="118">
      <c r="A152" s="57" t="n"/>
      <c r="B152" s="77" t="n">
        <v>2021</v>
      </c>
      <c r="C152" s="79" t="inlineStr">
        <is>
          <t>도메인 주도 설계</t>
        </is>
      </c>
      <c r="D152" s="78" t="n"/>
    </row>
    <row r="153" ht="12.75" customHeight="1" s="118">
      <c r="B153" s="71" t="n">
        <v>2020</v>
      </c>
      <c r="C153" s="72" t="inlineStr">
        <is>
          <t>논리적 글쓰기</t>
        </is>
      </c>
      <c r="D153" s="75" t="inlineStr">
        <is>
          <t>밥 먹는 술집을 차렸습니다</t>
        </is>
      </c>
    </row>
    <row r="154" ht="12.75" customHeight="1" s="118">
      <c r="B154" s="71" t="n">
        <v>2020</v>
      </c>
      <c r="C154" s="72" t="inlineStr">
        <is>
          <t>GRIT</t>
        </is>
      </c>
      <c r="D154" s="75" t="inlineStr">
        <is>
          <t>걱정이 많아서 걱정인 당신에게</t>
        </is>
      </c>
    </row>
    <row r="155" ht="12.75" customHeight="1" s="118">
      <c r="B155" s="71" t="n">
        <v>2020</v>
      </c>
      <c r="C155" s="73" t="inlineStr">
        <is>
          <t>룬샷</t>
        </is>
      </c>
      <c r="D155" s="75" t="inlineStr">
        <is>
          <t>말주변이 없어도 대화 잘하는법</t>
        </is>
      </c>
    </row>
    <row r="156" ht="12.75" customHeight="1" s="118">
      <c r="B156" s="71" t="n">
        <v>2020</v>
      </c>
      <c r="C156" s="75" t="inlineStr">
        <is>
          <t>실용주의 프로그래머</t>
        </is>
      </c>
      <c r="D156" s="75" t="inlineStr">
        <is>
          <t>오 자히르</t>
        </is>
      </c>
    </row>
    <row r="157" ht="12.75" customHeight="1" s="118">
      <c r="B157" s="71" t="n">
        <v>2020</v>
      </c>
      <c r="C157" s="75" t="inlineStr">
        <is>
          <t>타이탄의 도구들</t>
        </is>
      </c>
      <c r="D157" s="75" t="inlineStr">
        <is>
          <t>젊은 베르테르의 기쁨</t>
        </is>
      </c>
    </row>
    <row r="158" ht="12.75" customHeight="1" s="118">
      <c r="B158" s="71" t="n">
        <v>2020</v>
      </c>
      <c r="C158" s="75" t="inlineStr">
        <is>
          <t>사실, 내성적인 사람입니다</t>
        </is>
      </c>
      <c r="D158" s="75" t="inlineStr">
        <is>
          <t>카피캣</t>
        </is>
      </c>
    </row>
    <row r="159" ht="12.75" customHeight="1" s="118">
      <c r="B159" s="71" t="n">
        <v>2020</v>
      </c>
      <c r="C159" s="75" t="inlineStr">
        <is>
          <t>사피엔스</t>
        </is>
      </c>
      <c r="D159" s="75" t="inlineStr">
        <is>
          <t>사실, 내성적인 사람입니다</t>
        </is>
      </c>
    </row>
    <row r="160" ht="12.75" customHeight="1" s="118">
      <c r="B160" s="71" t="n">
        <v>2020</v>
      </c>
      <c r="C160" s="75" t="inlineStr">
        <is>
          <t>공간이 만든 공간</t>
        </is>
      </c>
      <c r="D160" s="75" t="inlineStr">
        <is>
          <t>철학이 필요한 시간</t>
        </is>
      </c>
    </row>
    <row r="161" ht="12.75" customHeight="1" s="118">
      <c r="B161" s="71" t="n">
        <v>2020</v>
      </c>
      <c r="C161" s="75" t="inlineStr">
        <is>
          <t>한문장으로 말하라</t>
        </is>
      </c>
      <c r="D161" s="75" t="inlineStr">
        <is>
          <t>역사의 역사</t>
        </is>
      </c>
    </row>
    <row r="162" ht="12.75" customHeight="1" s="118">
      <c r="B162" s="71" t="n">
        <v>2020</v>
      </c>
      <c r="C162" s="75" t="inlineStr">
        <is>
          <t>하버드 100년 전통 말하기 수업</t>
        </is>
      </c>
      <c r="D162" s="75" t="inlineStr">
        <is>
          <t>GRIT</t>
        </is>
      </c>
    </row>
    <row r="163" ht="12.75" customHeight="1" s="118">
      <c r="B163" s="71" t="n">
        <v>2020</v>
      </c>
      <c r="C163" s="44" t="inlineStr">
        <is>
          <t>실용주의 프로그래머</t>
        </is>
      </c>
      <c r="D163" s="75" t="inlineStr">
        <is>
          <t>팀장의 탄생</t>
        </is>
      </c>
    </row>
    <row r="164" ht="12.75" customHeight="1" s="118">
      <c r="B164" s="71" t="n">
        <v>2020</v>
      </c>
      <c r="C164" s="44" t="n"/>
      <c r="D164" s="75" t="inlineStr">
        <is>
          <t>수레바퀴 아래서</t>
        </is>
      </c>
    </row>
    <row r="165" ht="12.75" customHeight="1" s="118">
      <c r="B165" s="71" t="n">
        <v>2020</v>
      </c>
      <c r="C165" s="44" t="n"/>
      <c r="D165" s="75" t="inlineStr">
        <is>
          <t>룬샷</t>
        </is>
      </c>
    </row>
    <row r="166" ht="12.75" customHeight="1" s="118">
      <c r="B166" s="71" t="n">
        <v>2020</v>
      </c>
      <c r="C166" s="44" t="n"/>
      <c r="D166" s="75" t="inlineStr">
        <is>
          <t>논리적 글쓰기</t>
        </is>
      </c>
    </row>
    <row r="167" ht="12.75" customHeight="1" s="118">
      <c r="B167" s="71" t="n">
        <v>2020</v>
      </c>
      <c r="C167" s="44" t="n"/>
      <c r="D167" s="75" t="inlineStr">
        <is>
          <t>한문장으로 말하라</t>
        </is>
      </c>
    </row>
    <row r="168" ht="12.75" customHeight="1" s="118">
      <c r="B168" s="71" t="n">
        <v>2020</v>
      </c>
      <c r="C168" s="44" t="n"/>
      <c r="D168" s="75" t="inlineStr">
        <is>
          <t>사피엔스</t>
        </is>
      </c>
    </row>
    <row r="169" ht="12.75" customHeight="1" s="118">
      <c r="B169" s="71" t="n">
        <v>2020</v>
      </c>
      <c r="C169" s="44" t="n"/>
      <c r="D169" s="75" t="inlineStr">
        <is>
          <t>참을수 없는 존재의 가벼움</t>
        </is>
      </c>
    </row>
    <row r="170" ht="12.75" customHeight="1" s="118">
      <c r="B170" s="77" t="n">
        <v>2019</v>
      </c>
      <c r="C170" s="64" t="inlineStr">
        <is>
          <t>적과 흑(상)</t>
        </is>
      </c>
      <c r="D170" s="78" t="inlineStr">
        <is>
          <t>당신은 전략가입니까</t>
        </is>
      </c>
    </row>
    <row r="171" ht="12.75" customHeight="1" s="118">
      <c r="B171" s="77" t="n">
        <v>2019</v>
      </c>
      <c r="C171" s="64" t="inlineStr">
        <is>
          <t>적과 흑(하)</t>
        </is>
      </c>
      <c r="D171" s="65" t="inlineStr">
        <is>
          <t>적을 만들지 않는 대화법</t>
        </is>
      </c>
    </row>
    <row r="172" ht="12.75" customHeight="1" s="118">
      <c r="B172" s="77" t="n">
        <v>2019</v>
      </c>
      <c r="C172" s="80" t="inlineStr">
        <is>
          <t>익숙한 그 집앞</t>
        </is>
      </c>
      <c r="D172" s="64" t="inlineStr">
        <is>
          <t>사랑은 어디로 가는가</t>
        </is>
      </c>
    </row>
    <row r="173" ht="12.75" customHeight="1" s="118">
      <c r="B173" s="77" t="n">
        <v>2019</v>
      </c>
      <c r="C173" s="64" t="inlineStr">
        <is>
          <t>역사의 역사</t>
        </is>
      </c>
      <c r="D173" s="80" t="inlineStr">
        <is>
          <t>익숙한 그 집앞</t>
        </is>
      </c>
    </row>
    <row r="174" ht="12.75" customHeight="1" s="118">
      <c r="B174" s="77" t="n">
        <v>2019</v>
      </c>
      <c r="C174" s="64" t="inlineStr">
        <is>
          <t>젊은 베르테르의 기쁨</t>
        </is>
      </c>
      <c r="D174" s="80" t="n"/>
    </row>
    <row r="175" ht="12.75" customHeight="1" s="118">
      <c r="B175" s="77" t="n">
        <v>2019</v>
      </c>
      <c r="C175" s="78" t="inlineStr">
        <is>
          <t>오 자히르</t>
        </is>
      </c>
      <c r="D175" s="78" t="n"/>
    </row>
    <row r="176" ht="12.75" customHeight="1" s="118">
      <c r="B176" s="77" t="n">
        <v>2019</v>
      </c>
      <c r="C176" s="78" t="inlineStr">
        <is>
          <t>걱정이 많아서 걱정인 당신에게</t>
        </is>
      </c>
      <c r="D176" s="81" t="n"/>
    </row>
    <row r="177" ht="12.75" customHeight="1" s="118">
      <c r="B177" s="77" t="n">
        <v>2019</v>
      </c>
      <c r="C177" s="78" t="inlineStr">
        <is>
          <t>카피캣</t>
        </is>
      </c>
      <c r="D177" s="78" t="n"/>
    </row>
    <row r="178" ht="12.75" customHeight="1" s="118">
      <c r="B178" s="77" t="n">
        <v>2019</v>
      </c>
      <c r="C178" s="78" t="inlineStr">
        <is>
          <t>역사란 무엇인가</t>
        </is>
      </c>
      <c r="D178" s="81" t="n"/>
    </row>
    <row r="179" ht="12.75" customHeight="1" s="118">
      <c r="B179" s="77" t="n">
        <v>2019</v>
      </c>
      <c r="C179" s="78" t="inlineStr">
        <is>
          <t>철학이 필요한 시간</t>
        </is>
      </c>
      <c r="D179" s="78" t="n"/>
    </row>
    <row r="180" ht="12.75" customHeight="1" s="118">
      <c r="B180" s="71" t="n">
        <v>2018</v>
      </c>
      <c r="C180" s="72" t="inlineStr">
        <is>
          <t>변신*시골의사</t>
        </is>
      </c>
      <c r="D180" s="75" t="inlineStr">
        <is>
          <t>두 도시 이야기</t>
        </is>
      </c>
    </row>
    <row r="181" ht="12.75" customHeight="1" s="118">
      <c r="B181" s="71" t="n">
        <v>2018</v>
      </c>
      <c r="C181" s="72" t="inlineStr">
        <is>
          <t>창문 넘어 도망친 100세 노인</t>
        </is>
      </c>
      <c r="D181" s="10" t="inlineStr">
        <is>
          <t>우아한 관찰주의자</t>
        </is>
      </c>
    </row>
    <row r="182" ht="12.75" customHeight="1" s="118">
      <c r="B182" s="71" t="n">
        <v>2018</v>
      </c>
      <c r="C182" s="73" t="inlineStr">
        <is>
          <t>우아한 관찰주의자</t>
        </is>
      </c>
      <c r="D182" s="72" t="inlineStr">
        <is>
          <t>창문 넘어 도망친 100세 노인</t>
        </is>
      </c>
    </row>
    <row r="183" ht="12.75" customHeight="1" s="118">
      <c r="B183" s="71" t="n">
        <v>2018</v>
      </c>
      <c r="C183" s="73" t="inlineStr">
        <is>
          <t>호모사피엔스씨의 위험한 고민</t>
        </is>
      </c>
      <c r="D183" s="75" t="inlineStr">
        <is>
          <t>원하는 것이 있다면 감정을 흔들어라</t>
        </is>
      </c>
    </row>
    <row r="184" ht="12.75" customHeight="1" s="118">
      <c r="B184" s="71" t="n">
        <v>2018</v>
      </c>
      <c r="C184" s="72" t="inlineStr">
        <is>
          <t>공터에서</t>
        </is>
      </c>
      <c r="D184" s="72" t="inlineStr">
        <is>
          <t>넛지</t>
        </is>
      </c>
    </row>
    <row r="185" ht="12.75" customHeight="1" s="118">
      <c r="B185" s="71" t="n">
        <v>2018</v>
      </c>
      <c r="C185" s="72" t="inlineStr">
        <is>
          <t>넛지</t>
        </is>
      </c>
      <c r="D185" s="10" t="inlineStr">
        <is>
          <t>플랑드르 거장의 그림</t>
        </is>
      </c>
    </row>
    <row r="186" ht="12.75" customHeight="1" s="118">
      <c r="B186" s="71" t="n">
        <v>2018</v>
      </c>
      <c r="C186" s="72" t="inlineStr">
        <is>
          <t>에브리맨</t>
        </is>
      </c>
      <c r="D186" s="73" t="inlineStr">
        <is>
          <t>로지컬 씽킹</t>
        </is>
      </c>
    </row>
    <row r="187" ht="12.75" customHeight="1" s="118">
      <c r="B187" s="71" t="n">
        <v>2018</v>
      </c>
      <c r="C187" s="72" t="inlineStr">
        <is>
          <t>로지컬 씽킹</t>
        </is>
      </c>
      <c r="D187" s="75" t="inlineStr">
        <is>
          <t>One Plus One</t>
        </is>
      </c>
    </row>
    <row r="188" ht="12.75" customHeight="1" s="118">
      <c r="B188" s="71" t="n">
        <v>2018</v>
      </c>
      <c r="C188" s="75" t="inlineStr">
        <is>
          <t>오르세 미술관</t>
        </is>
      </c>
      <c r="D188" s="42" t="inlineStr">
        <is>
          <t>코스모스</t>
        </is>
      </c>
    </row>
    <row r="189" ht="12.75" customHeight="1" s="118">
      <c r="B189" s="71" t="n">
        <v>2018</v>
      </c>
      <c r="C189" s="75" t="inlineStr">
        <is>
          <t>소송</t>
        </is>
      </c>
      <c r="D189" s="42" t="inlineStr">
        <is>
          <t>정재승의 과학 콘서트</t>
        </is>
      </c>
    </row>
    <row r="190" ht="12.75" customHeight="1" s="118">
      <c r="B190" s="71" t="n">
        <v>2018</v>
      </c>
      <c r="C190" s="75" t="inlineStr">
        <is>
          <t>뉴스의 시대</t>
        </is>
      </c>
      <c r="D190" s="42" t="inlineStr">
        <is>
          <t>기억력의 비밀</t>
        </is>
      </c>
    </row>
    <row r="191" ht="12.75" customHeight="1" s="118">
      <c r="B191" s="71" t="n">
        <v>2018</v>
      </c>
      <c r="C191" s="75" t="inlineStr">
        <is>
          <t>One Plus One</t>
        </is>
      </c>
      <c r="D191" s="42" t="inlineStr">
        <is>
          <t>지금 시작하는 인문학</t>
        </is>
      </c>
    </row>
    <row r="192" ht="12.75" customHeight="1" s="118">
      <c r="B192" s="71" t="n">
        <v>2018</v>
      </c>
      <c r="C192" s="75" t="inlineStr">
        <is>
          <t>기억력의 비밀</t>
        </is>
      </c>
      <c r="D192" s="75" t="inlineStr">
        <is>
          <t>현의 노래</t>
        </is>
      </c>
    </row>
    <row r="193" ht="12.75" customHeight="1" s="118">
      <c r="B193" s="71" t="n">
        <v>2018</v>
      </c>
      <c r="C193" s="75" t="inlineStr">
        <is>
          <t>현의 노래</t>
        </is>
      </c>
      <c r="D193" s="42" t="inlineStr">
        <is>
          <t>사람을 남겨라</t>
        </is>
      </c>
    </row>
    <row r="194" ht="12.75" customHeight="1" s="118">
      <c r="B194" s="71" t="n">
        <v>2018</v>
      </c>
      <c r="C194" s="75" t="inlineStr">
        <is>
          <t>인생수정</t>
        </is>
      </c>
      <c r="D194" s="75" t="inlineStr">
        <is>
          <t>뉴스의 시대</t>
        </is>
      </c>
    </row>
    <row r="195" ht="12.75" customHeight="1" s="118">
      <c r="B195" s="71" t="n">
        <v>2018</v>
      </c>
      <c r="C195" s="75" t="inlineStr">
        <is>
          <t>허클베리핀의 모험</t>
        </is>
      </c>
      <c r="D195" s="75" t="inlineStr">
        <is>
          <t>호모사피엔스씨의 위험한 고민</t>
        </is>
      </c>
    </row>
    <row r="196" ht="12.75" customHeight="1" s="118">
      <c r="B196" s="71" t="n">
        <v>2018</v>
      </c>
      <c r="C196" s="75" t="inlineStr">
        <is>
          <t>순수의 시대</t>
        </is>
      </c>
      <c r="D196" s="75" t="inlineStr">
        <is>
          <t>삼귀</t>
        </is>
      </c>
    </row>
    <row r="197" ht="12.75" customHeight="1" s="118">
      <c r="B197" s="71" t="n">
        <v>2018</v>
      </c>
      <c r="C197" s="75" t="inlineStr">
        <is>
          <t>웃는 남자(상)</t>
        </is>
      </c>
      <c r="D197" s="75" t="inlineStr">
        <is>
          <t>어떻게 살 것인가</t>
        </is>
      </c>
    </row>
    <row r="198" ht="12.75" customHeight="1" s="118">
      <c r="B198" s="71" t="n">
        <v>2018</v>
      </c>
      <c r="C198" s="75" t="inlineStr">
        <is>
          <t>웃는 남자(하)</t>
        </is>
      </c>
      <c r="D198" s="75" t="inlineStr">
        <is>
          <t>이야기 파라독스</t>
        </is>
      </c>
    </row>
    <row r="199" ht="12.75" customHeight="1" s="118">
      <c r="B199" s="71" t="n">
        <v>2018</v>
      </c>
      <c r="C199" s="75" t="inlineStr">
        <is>
          <t>살인자의 건강법</t>
        </is>
      </c>
      <c r="D199" s="75" t="inlineStr">
        <is>
          <t>필경사 바틀비</t>
        </is>
      </c>
    </row>
    <row r="200" ht="12.75" customHeight="1" s="118">
      <c r="B200" s="71" t="n">
        <v>2018</v>
      </c>
      <c r="C200" s="75" t="inlineStr">
        <is>
          <t>사진이 즐거워지는 사진책</t>
        </is>
      </c>
      <c r="D200" s="75" t="inlineStr">
        <is>
          <t>사진이 즐거워지는 사진책</t>
        </is>
      </c>
    </row>
    <row r="201" ht="12.75" customHeight="1" s="118">
      <c r="B201" s="71" t="n">
        <v>2018</v>
      </c>
      <c r="C201" s="75" t="inlineStr">
        <is>
          <t>서부 전선 이상 없다</t>
        </is>
      </c>
      <c r="D201" s="75" t="inlineStr">
        <is>
          <t>체스이야기 낯선 여인의 편지</t>
        </is>
      </c>
    </row>
    <row r="202" ht="12.75" customHeight="1" s="118">
      <c r="B202" s="71" t="n">
        <v>2018</v>
      </c>
      <c r="C202" s="75" t="inlineStr">
        <is>
          <t>어떻게 살 것인가</t>
        </is>
      </c>
      <c r="D202" s="75" t="inlineStr">
        <is>
          <t>좁은 문</t>
        </is>
      </c>
    </row>
    <row r="203" ht="12.75" customHeight="1" s="118">
      <c r="B203" s="71" t="n">
        <v>2018</v>
      </c>
      <c r="C203" s="75" t="inlineStr">
        <is>
          <t>캔터베리 이야기</t>
        </is>
      </c>
      <c r="D203" s="75" t="inlineStr">
        <is>
          <t>사람을 얻는 기술</t>
        </is>
      </c>
    </row>
    <row r="204" ht="12.75" customHeight="1" s="118">
      <c r="B204" s="71" t="n">
        <v>2018</v>
      </c>
      <c r="C204" s="75" t="inlineStr">
        <is>
          <t>이야기 파라독스</t>
        </is>
      </c>
      <c r="D204" s="75" t="inlineStr">
        <is>
          <t>공터에서</t>
        </is>
      </c>
    </row>
    <row r="205" ht="12.75" customHeight="1" s="118">
      <c r="B205" s="71" t="n">
        <v>2018</v>
      </c>
      <c r="C205" s="75" t="inlineStr">
        <is>
          <t>검의 대가</t>
        </is>
      </c>
      <c r="D205" s="75" t="inlineStr">
        <is>
          <t>셜록의 기억력을 훔처라(정계원)(대여)</t>
        </is>
      </c>
    </row>
    <row r="206" ht="12.75" customHeight="1" s="118">
      <c r="B206" s="71" t="n">
        <v>2018</v>
      </c>
      <c r="C206" s="75" t="inlineStr">
        <is>
          <t>삼귀</t>
        </is>
      </c>
      <c r="D206" s="75" t="inlineStr">
        <is>
          <t>검의 대가</t>
        </is>
      </c>
    </row>
    <row r="207" ht="12.75" customHeight="1" s="118">
      <c r="B207" s="71" t="n">
        <v>2018</v>
      </c>
      <c r="C207" s="75" t="inlineStr">
        <is>
          <t>백년보다 긴 하루</t>
        </is>
      </c>
      <c r="D207" s="75" t="inlineStr">
        <is>
          <t>이기는 대화</t>
        </is>
      </c>
    </row>
    <row r="208" ht="12.75" customHeight="1" s="118">
      <c r="B208" s="71" t="n">
        <v>2018</v>
      </c>
      <c r="C208" s="75" t="inlineStr">
        <is>
          <t>스피드 당구</t>
        </is>
      </c>
      <c r="D208" s="75" t="inlineStr">
        <is>
          <t>아주 작은 반복의 힘</t>
        </is>
      </c>
    </row>
    <row r="209" ht="12.75" customHeight="1" s="118">
      <c r="B209" s="71" t="n">
        <v>2018</v>
      </c>
      <c r="C209" s="75" t="inlineStr">
        <is>
          <t>대용량 아키텍처와 성능 튜닝</t>
        </is>
      </c>
      <c r="D209" s="75" t="inlineStr">
        <is>
          <t>1분 경영</t>
        </is>
      </c>
    </row>
    <row r="210" ht="12.75" customHeight="1" s="118">
      <c r="B210" s="71" t="n">
        <v>2018</v>
      </c>
      <c r="C210" s="75" t="inlineStr">
        <is>
          <t>체스이야기 낯선 여인의 편지</t>
        </is>
      </c>
      <c r="D210" s="75" t="inlineStr">
        <is>
          <t>죽음에 관하여1</t>
        </is>
      </c>
    </row>
    <row r="211" ht="12.75" customHeight="1" s="118">
      <c r="B211" s="71" t="n">
        <v>2018</v>
      </c>
      <c r="C211" s="75" t="inlineStr">
        <is>
          <t>죽음에 관하여1</t>
        </is>
      </c>
      <c r="D211" s="75" t="inlineStr">
        <is>
          <t>죽음에 관하여2</t>
        </is>
      </c>
    </row>
    <row r="212" ht="12.75" customHeight="1" s="118">
      <c r="B212" s="71" t="n">
        <v>2018</v>
      </c>
      <c r="C212" s="75" t="inlineStr">
        <is>
          <t>죽음에 관하여2</t>
        </is>
      </c>
      <c r="D212" s="75" t="inlineStr">
        <is>
          <t>무소유</t>
        </is>
      </c>
    </row>
    <row r="213" ht="12.75" customHeight="1" s="118">
      <c r="B213" s="71" t="n">
        <v>2018</v>
      </c>
      <c r="C213" s="75" t="inlineStr">
        <is>
          <t>대지</t>
        </is>
      </c>
      <c r="D213" s="75" t="inlineStr">
        <is>
          <t>산에는 꽃이 피네</t>
        </is>
      </c>
    </row>
    <row r="214" ht="12.75" customHeight="1" s="118">
      <c r="B214" s="71" t="n">
        <v>2018</v>
      </c>
      <c r="C214" s="75" t="inlineStr">
        <is>
          <t>1분 경영</t>
        </is>
      </c>
      <c r="D214" s="44" t="n"/>
    </row>
    <row r="215" ht="12.75" customHeight="1" s="118">
      <c r="B215" s="71" t="n">
        <v>2018</v>
      </c>
      <c r="C215" s="75" t="inlineStr">
        <is>
          <t>에덴의 용</t>
        </is>
      </c>
      <c r="D215" s="75" t="n"/>
    </row>
    <row r="216" ht="12.75" customHeight="1" s="118">
      <c r="B216" s="71" t="n">
        <v>2018</v>
      </c>
      <c r="C216" s="75" t="inlineStr">
        <is>
          <t>이기는 습관</t>
        </is>
      </c>
      <c r="D216" s="75" t="n"/>
    </row>
    <row r="217" ht="12.75" customHeight="1" s="118">
      <c r="B217" s="71" t="n">
        <v>2018</v>
      </c>
      <c r="C217" s="75" t="inlineStr">
        <is>
          <t>월드오브워크래프트 볼진: 호드의 그림자</t>
        </is>
      </c>
      <c r="D217" s="75" t="n"/>
    </row>
    <row r="218" ht="12.75" customHeight="1" s="118">
      <c r="B218" s="71" t="n">
        <v>2018</v>
      </c>
      <c r="C218" s="75" t="inlineStr">
        <is>
          <t>제이나 프라우드무어 : 전쟁의 물결</t>
        </is>
      </c>
      <c r="D218" s="75" t="n"/>
    </row>
    <row r="219" ht="12.75" customHeight="1" s="118">
      <c r="B219" s="71" t="n">
        <v>2018</v>
      </c>
      <c r="C219" s="75" t="inlineStr">
        <is>
          <t>적을 만들지 않는 대화법</t>
        </is>
      </c>
      <c r="D219" s="75" t="n"/>
    </row>
    <row r="220" ht="12.75" customHeight="1" s="118">
      <c r="B220" s="71" t="n">
        <v>2018</v>
      </c>
      <c r="C220" s="75" t="inlineStr">
        <is>
          <t>산에는 꽃이 피네</t>
        </is>
      </c>
      <c r="D220" s="75" t="n"/>
    </row>
    <row r="221" ht="12.75" customHeight="1" s="118">
      <c r="B221" s="71" t="n">
        <v>2018</v>
      </c>
      <c r="C221" s="75" t="inlineStr">
        <is>
          <t>무소유</t>
        </is>
      </c>
      <c r="D221" s="75" t="n"/>
    </row>
    <row r="222" ht="12.75" customHeight="1" s="118">
      <c r="B222" s="71" t="n">
        <v>2018</v>
      </c>
      <c r="C222" s="75" t="inlineStr">
        <is>
          <t>필경사 바틀비</t>
        </is>
      </c>
      <c r="D222" s="75" t="n"/>
    </row>
    <row r="223" ht="12.75" customHeight="1" s="118">
      <c r="B223" s="77" t="n">
        <v>2017</v>
      </c>
      <c r="C223" s="64" t="inlineStr">
        <is>
          <t>말테의 수기</t>
        </is>
      </c>
      <c r="D223" s="82" t="inlineStr">
        <is>
          <t>관계의 본심</t>
        </is>
      </c>
    </row>
    <row r="224" ht="12.75" customHeight="1" s="118">
      <c r="B224" s="77" t="n">
        <v>2017</v>
      </c>
      <c r="C224" s="64" t="inlineStr">
        <is>
          <t>월드오브워크래프트 - 호드의 탄생</t>
        </is>
      </c>
      <c r="D224" s="65" t="inlineStr">
        <is>
          <t>워크래프트 - 듀로탄</t>
        </is>
      </c>
    </row>
    <row r="225" ht="12.75" customHeight="1" s="118">
      <c r="B225" s="77" t="n">
        <v>2017</v>
      </c>
      <c r="C225" s="80" t="inlineStr">
        <is>
          <t>설민석의 조선왕조실록</t>
        </is>
      </c>
      <c r="D225" s="64" t="inlineStr">
        <is>
          <t>워크래프트 - 전쟁의 서막</t>
        </is>
      </c>
    </row>
    <row r="226" ht="12.75" customHeight="1" s="118">
      <c r="B226" s="77" t="n">
        <v>2017</v>
      </c>
      <c r="C226" s="64" t="inlineStr">
        <is>
          <t>어떻게 원하는 것을 얻는가</t>
        </is>
      </c>
      <c r="D226" s="64" t="inlineStr">
        <is>
          <t>월드오브워크래프트 - 호드의 탄생</t>
        </is>
      </c>
    </row>
    <row r="227" ht="12.75" customHeight="1" s="118">
      <c r="B227" s="77" t="n">
        <v>2017</v>
      </c>
      <c r="C227" s="64" t="inlineStr">
        <is>
          <t>월드오브워크래프트 - 아서스</t>
        </is>
      </c>
      <c r="D227" s="64" t="inlineStr">
        <is>
          <t>월드오브워크래프트 - 아서스</t>
        </is>
      </c>
    </row>
    <row r="228" ht="12.75" customHeight="1" s="118">
      <c r="B228" s="77" t="n">
        <v>2017</v>
      </c>
      <c r="C228" s="80" t="inlineStr">
        <is>
          <t>청춘은 아름다워</t>
        </is>
      </c>
      <c r="D228" s="65" t="inlineStr">
        <is>
          <t>살인자의 건강법</t>
        </is>
      </c>
    </row>
    <row r="229" ht="12.75" customHeight="1" s="118">
      <c r="B229" s="77" t="n">
        <v>2017</v>
      </c>
      <c r="C229" s="64" t="inlineStr">
        <is>
          <t>벨킨 이야기, 스페이드 여왕</t>
        </is>
      </c>
      <c r="D229" s="64" t="inlineStr">
        <is>
          <t>논리의 기술</t>
        </is>
      </c>
    </row>
    <row r="230" ht="12.75" customHeight="1" s="118">
      <c r="B230" s="77" t="n">
        <v>2017</v>
      </c>
      <c r="C230" s="64" t="inlineStr">
        <is>
          <t>배고픔의 자서전</t>
        </is>
      </c>
      <c r="D230" s="65" t="inlineStr">
        <is>
          <t>이상한 나라의 앨리스</t>
        </is>
      </c>
    </row>
    <row r="231" ht="12.75" customHeight="1" s="118">
      <c r="B231" s="77" t="n">
        <v>2017</v>
      </c>
      <c r="C231" s="64" t="inlineStr">
        <is>
          <t>연애 소설 읽는 노인</t>
        </is>
      </c>
      <c r="D231" s="80" t="inlineStr">
        <is>
          <t>할머니가 미안하다고 전해달랬어요</t>
        </is>
      </c>
    </row>
    <row r="232" ht="12.75" customHeight="1" s="118">
      <c r="B232" s="77" t="n">
        <v>2017</v>
      </c>
      <c r="C232" s="64" t="inlineStr">
        <is>
          <t>박사가 사랑한 수식</t>
        </is>
      </c>
      <c r="D232" s="65" t="inlineStr">
        <is>
          <t>박사가 사랑한 수식</t>
        </is>
      </c>
    </row>
    <row r="233" ht="12.75" customHeight="1" s="118">
      <c r="B233" s="77" t="n">
        <v>2017</v>
      </c>
      <c r="C233" s="80" t="inlineStr">
        <is>
          <t>돼지꿈</t>
        </is>
      </c>
      <c r="D233" s="64" t="inlineStr">
        <is>
          <t>연애 소설 읽는 노인</t>
        </is>
      </c>
    </row>
    <row r="234" ht="12.75" customHeight="1" s="118">
      <c r="B234" s="77" t="n">
        <v>2017</v>
      </c>
      <c r="C234" s="80" t="inlineStr">
        <is>
          <t>할머니가 미안하다고 전해달랬어요</t>
        </is>
      </c>
      <c r="D234" s="64" t="inlineStr">
        <is>
          <t>배고픔의 자서전</t>
        </is>
      </c>
    </row>
    <row r="235" ht="12.75" customHeight="1" s="118">
      <c r="B235" s="77" t="n">
        <v>2017</v>
      </c>
      <c r="C235" s="64" t="inlineStr">
        <is>
          <t>월드 오브 워크래프트 스톰레이지</t>
        </is>
      </c>
      <c r="D235" s="80" t="inlineStr">
        <is>
          <t>피로사회</t>
        </is>
      </c>
    </row>
    <row r="236" ht="12.75" customHeight="1" s="118">
      <c r="B236" s="77" t="n">
        <v>2017</v>
      </c>
      <c r="C236" s="80" t="inlineStr">
        <is>
          <t>진주귀고리 소녀</t>
        </is>
      </c>
      <c r="D236" s="65" t="inlineStr">
        <is>
          <t>벨킨 이야기, 스페이드 여왕</t>
        </is>
      </c>
    </row>
    <row r="237" ht="12.75" customHeight="1" s="118">
      <c r="B237" s="77" t="n">
        <v>2017</v>
      </c>
      <c r="C237" s="64" t="inlineStr">
        <is>
          <t>플랑드르 거장의 그림</t>
        </is>
      </c>
      <c r="D237" s="65" t="inlineStr">
        <is>
          <t>청춘은 아름다워</t>
        </is>
      </c>
    </row>
    <row r="238" ht="12.75" customHeight="1" s="118">
      <c r="B238" s="77" t="n">
        <v>2017</v>
      </c>
      <c r="C238" s="83" t="inlineStr">
        <is>
          <t>me Before you</t>
        </is>
      </c>
      <c r="D238" s="64" t="inlineStr">
        <is>
          <t>적의 화장법</t>
        </is>
      </c>
    </row>
    <row r="239" ht="12.75" customHeight="1" s="118">
      <c r="B239" s="77" t="n">
        <v>2017</v>
      </c>
      <c r="C239" s="64" t="inlineStr">
        <is>
          <t>리더의 그릇</t>
        </is>
      </c>
      <c r="D239" s="64" t="inlineStr">
        <is>
          <t>살인자의 기억법</t>
        </is>
      </c>
    </row>
    <row r="240" ht="12.75" customHeight="1" s="118">
      <c r="B240" s="77" t="n">
        <v>2017</v>
      </c>
      <c r="C240" s="82" t="inlineStr">
        <is>
          <t>말주변이 없어도 대화 잘하는법</t>
        </is>
      </c>
      <c r="D240" s="83" t="inlineStr">
        <is>
          <t>에브리맨</t>
        </is>
      </c>
    </row>
    <row r="241" ht="12.75" customHeight="1" s="118">
      <c r="B241" s="77" t="n">
        <v>2017</v>
      </c>
      <c r="C241" s="82" t="inlineStr">
        <is>
          <t>위험한 과학책</t>
        </is>
      </c>
      <c r="D241" s="84" t="inlineStr">
        <is>
          <t>진주귀고리 소녀</t>
        </is>
      </c>
    </row>
    <row r="242" ht="12.75" customHeight="1" s="118">
      <c r="B242" s="77" t="n">
        <v>2017</v>
      </c>
      <c r="C242" s="82" t="inlineStr">
        <is>
          <t>두 도시 이야기</t>
        </is>
      </c>
      <c r="D242" s="65" t="inlineStr">
        <is>
          <t>me Before you</t>
        </is>
      </c>
    </row>
    <row r="243" ht="12.75" customHeight="1" s="118">
      <c r="B243" s="77" t="n">
        <v>2017</v>
      </c>
      <c r="C243" s="82" t="inlineStr">
        <is>
          <t>피에트라 강가에서 나는 울었네</t>
        </is>
      </c>
      <c r="D243" s="79" t="inlineStr">
        <is>
          <t>모비딕</t>
        </is>
      </c>
    </row>
    <row r="244" ht="12.75" customHeight="1" s="118">
      <c r="B244" s="77" t="n">
        <v>2017</v>
      </c>
      <c r="C244" s="82" t="inlineStr">
        <is>
          <t>고리오 영감</t>
        </is>
      </c>
      <c r="D244" s="65" t="inlineStr">
        <is>
          <t>총,균,쇠</t>
        </is>
      </c>
    </row>
    <row r="245" ht="12.75" customHeight="1" s="118">
      <c r="B245" s="77" t="n">
        <v>2017</v>
      </c>
      <c r="C245" s="82" t="inlineStr">
        <is>
          <t>정재승의 과학 콘서트</t>
        </is>
      </c>
      <c r="D245" s="85" t="inlineStr">
        <is>
          <t>클릭 서양미술사</t>
        </is>
      </c>
    </row>
    <row r="246" ht="12.75" customHeight="1" s="118">
      <c r="B246" s="77" t="n">
        <v>2017</v>
      </c>
      <c r="C246" s="82" t="inlineStr">
        <is>
          <t>심플러</t>
        </is>
      </c>
      <c r="D246" s="65" t="inlineStr">
        <is>
          <t>피에트라 강가에서 나는 울었네</t>
        </is>
      </c>
    </row>
    <row r="247" ht="12.75" customHeight="1" s="118">
      <c r="B247" s="77" t="n">
        <v>2017</v>
      </c>
      <c r="C247" s="82" t="inlineStr">
        <is>
          <t>원하는 것이 있다면 감정을 흔들어라</t>
        </is>
      </c>
      <c r="D247" s="65" t="n"/>
    </row>
    <row r="248" ht="12.75" customHeight="1" s="118">
      <c r="B248" s="71" t="n">
        <v>2016</v>
      </c>
      <c r="C248" s="72" t="inlineStr">
        <is>
          <t>버리고 갈 것만 남아서 참 홀가분하다</t>
        </is>
      </c>
      <c r="D248" s="15" t="inlineStr">
        <is>
          <t>베니스의 상인</t>
        </is>
      </c>
    </row>
    <row r="249" ht="12.75" customHeight="1" s="118">
      <c r="B249" s="71" t="n">
        <v>2016</v>
      </c>
      <c r="C249" s="72" t="inlineStr">
        <is>
          <t>당신은 전략가입니까</t>
        </is>
      </c>
      <c r="D249" s="72" t="inlineStr">
        <is>
          <t>생각 버리기 연습</t>
        </is>
      </c>
    </row>
    <row r="250" ht="12.75" customHeight="1" s="118">
      <c r="B250" s="71" t="n">
        <v>2016</v>
      </c>
      <c r="C250" s="73" t="inlineStr">
        <is>
          <t>오베라는 남자</t>
        </is>
      </c>
      <c r="D250" s="73" t="inlineStr">
        <is>
          <t>생각 버리기 연습2</t>
        </is>
      </c>
    </row>
    <row r="251" ht="12.75" customHeight="1" s="118">
      <c r="B251" s="71" t="n">
        <v>2016</v>
      </c>
      <c r="C251" s="86" t="inlineStr">
        <is>
          <t>독서의 기술</t>
        </is>
      </c>
      <c r="D251" s="32" t="inlineStr">
        <is>
          <t>나는 단순하게 살기로 했다</t>
        </is>
      </c>
    </row>
    <row r="252" ht="12.75" customHeight="1" s="118">
      <c r="B252" s="71" t="n">
        <v>2016</v>
      </c>
      <c r="C252" s="87" t="inlineStr">
        <is>
          <t>자유론</t>
        </is>
      </c>
      <c r="D252" s="88" t="inlineStr">
        <is>
          <t>오베라는 남자</t>
        </is>
      </c>
    </row>
    <row r="253" ht="12.75" customHeight="1" s="118">
      <c r="B253" s="71" t="n">
        <v>2016</v>
      </c>
      <c r="C253" s="89" t="inlineStr">
        <is>
          <t>클릭 서양미술사</t>
        </is>
      </c>
      <c r="D253" s="32" t="inlineStr">
        <is>
          <t>버리고 갈 것만 남아서 참 홀가분하다</t>
        </is>
      </c>
    </row>
    <row r="254" ht="12.75" customHeight="1" s="118">
      <c r="B254" s="71" t="n">
        <v>2016</v>
      </c>
      <c r="C254" s="73" t="inlineStr">
        <is>
          <t>내 안에서 나를 만드는 것들</t>
        </is>
      </c>
      <c r="D254" s="10" t="inlineStr">
        <is>
          <t>내마음 다치지 않게</t>
        </is>
      </c>
    </row>
    <row r="255" ht="12.75" customHeight="1" s="118">
      <c r="B255" s="71" t="n">
        <v>2016</v>
      </c>
      <c r="C255" s="73" t="inlineStr">
        <is>
          <t>논리의 기술</t>
        </is>
      </c>
      <c r="D255" s="10" t="inlineStr">
        <is>
          <t>팀장이 절대로 해서는 안될 101가지 행동</t>
        </is>
      </c>
    </row>
    <row r="256" ht="12.75" customHeight="1" s="118">
      <c r="B256" s="71" t="n">
        <v>2016</v>
      </c>
      <c r="C256" s="72" t="inlineStr">
        <is>
          <t>차라투스트라는 이렇게 말했다</t>
        </is>
      </c>
      <c r="D256" s="73" t="inlineStr">
        <is>
          <t>파수꾼</t>
        </is>
      </c>
    </row>
    <row r="257" ht="12.75" customHeight="1" s="118">
      <c r="B257" s="71" t="n">
        <v>2016</v>
      </c>
      <c r="C257" s="73" t="inlineStr">
        <is>
          <t>IT 아키텍트가 하지 말아야 할 128가지</t>
        </is>
      </c>
      <c r="D257" s="73" t="inlineStr">
        <is>
          <t>방드르디, 태평양의 끝</t>
        </is>
      </c>
    </row>
    <row r="258" ht="12.75" customHeight="1" s="118">
      <c r="B258" s="71" t="n">
        <v>2016</v>
      </c>
      <c r="C258" s="73" t="inlineStr">
        <is>
          <t>관계의 본심</t>
        </is>
      </c>
      <c r="D258" s="32" t="inlineStr">
        <is>
          <t>자유론</t>
        </is>
      </c>
    </row>
    <row r="259" ht="12.75" customHeight="1" s="118">
      <c r="B259" s="71" t="n">
        <v>2016</v>
      </c>
      <c r="C259" s="73" t="inlineStr">
        <is>
          <t>지금 시작하는 인문학</t>
        </is>
      </c>
      <c r="D259" s="73" t="inlineStr">
        <is>
          <t>일의 기쁨과 슬픔</t>
        </is>
      </c>
    </row>
    <row r="260" ht="12.75" customHeight="1" s="118">
      <c r="B260" s="71" t="n">
        <v>2016</v>
      </c>
      <c r="C260" s="73" t="inlineStr">
        <is>
          <t>일의 기쁨과 슬픔</t>
        </is>
      </c>
      <c r="D260" s="73" t="inlineStr">
        <is>
          <t>행복은 혼자오지 않는다</t>
        </is>
      </c>
    </row>
    <row r="261" ht="12.75" customHeight="1" s="118">
      <c r="B261" s="71" t="n">
        <v>2016</v>
      </c>
      <c r="C261" s="73" t="inlineStr">
        <is>
          <t>행복은 혼자오지 않는다</t>
        </is>
      </c>
      <c r="D261" s="73" t="inlineStr">
        <is>
          <t>독서의 기술</t>
        </is>
      </c>
    </row>
    <row r="262" ht="12.75" customHeight="1" s="118">
      <c r="B262" s="71" t="n">
        <v>2016</v>
      </c>
      <c r="C262" s="72" t="inlineStr">
        <is>
          <t>사람을 남겨라</t>
        </is>
      </c>
      <c r="D262" s="72" t="inlineStr">
        <is>
          <t>대통령의 글쓰기</t>
        </is>
      </c>
    </row>
    <row r="263" ht="12.75" customHeight="1" s="118">
      <c r="B263" s="71" t="n">
        <v>2016</v>
      </c>
      <c r="C263" s="72" t="inlineStr">
        <is>
          <t>나는 단순하게 살기로 했다</t>
        </is>
      </c>
      <c r="D263" s="10" t="inlineStr">
        <is>
          <t>프랑스 여자는 늙지 않는다</t>
        </is>
      </c>
    </row>
    <row r="264" ht="12.75" customHeight="1" s="118">
      <c r="B264" s="71" t="n">
        <v>2016</v>
      </c>
      <c r="C264" s="73" t="inlineStr">
        <is>
          <t>공무도하</t>
        </is>
      </c>
      <c r="D264" s="10" t="inlineStr">
        <is>
          <t>공무도하</t>
        </is>
      </c>
    </row>
    <row r="265" ht="12.75" customHeight="1" s="118">
      <c r="B265" s="71" t="n">
        <v>2016</v>
      </c>
      <c r="C265" s="73" t="inlineStr">
        <is>
          <t>군주론</t>
        </is>
      </c>
      <c r="D265" s="10" t="inlineStr">
        <is>
          <t>설민석의 조선왕조실록</t>
        </is>
      </c>
    </row>
    <row r="266" ht="12.75" customHeight="1" s="118">
      <c r="B266" s="71" t="n">
        <v>2016</v>
      </c>
      <c r="C266" s="72" t="inlineStr">
        <is>
          <t>리더의 그릇</t>
        </is>
      </c>
      <c r="D266" s="73" t="inlineStr">
        <is>
          <t>시를 잊은 그대에게</t>
        </is>
      </c>
    </row>
    <row r="267" ht="12.75" customHeight="1" s="118">
      <c r="B267" s="71" t="n">
        <v>2016</v>
      </c>
      <c r="C267" s="75" t="inlineStr">
        <is>
          <t>대통령의 글쓰기</t>
        </is>
      </c>
      <c r="D267" s="15" t="n"/>
    </row>
    <row r="268" ht="12.75" customHeight="1" s="118">
      <c r="B268" s="71" t="n">
        <v>2016</v>
      </c>
      <c r="C268" s="73" t="inlineStr">
        <is>
          <t>시를 잊은 그대에게</t>
        </is>
      </c>
      <c r="D268" s="73" t="n"/>
    </row>
    <row r="269" ht="12.75" customHeight="1" s="118">
      <c r="B269" s="71" t="n">
        <v>2016</v>
      </c>
      <c r="C269" s="73" t="inlineStr">
        <is>
          <t>TED TALKS</t>
        </is>
      </c>
      <c r="D269" s="73" t="n"/>
    </row>
    <row r="270" ht="12.75" customHeight="1" s="118">
      <c r="B270" s="71" t="n">
        <v>2016</v>
      </c>
      <c r="C270" s="72" t="inlineStr">
        <is>
          <t>고려 왕조실록</t>
        </is>
      </c>
      <c r="D270" s="72" t="n"/>
    </row>
    <row r="271" ht="12.75" customHeight="1" s="118">
      <c r="B271" s="71" t="n">
        <v>2016</v>
      </c>
      <c r="C271" s="73" t="inlineStr">
        <is>
          <t>조선 왕조실록</t>
        </is>
      </c>
      <c r="D271" s="73" t="n"/>
    </row>
    <row r="272" ht="12.75" customHeight="1" s="118">
      <c r="B272" s="71" t="n">
        <v>2016</v>
      </c>
      <c r="C272" s="72" t="inlineStr">
        <is>
          <t>좁은 문</t>
        </is>
      </c>
      <c r="D272" s="72" t="n"/>
    </row>
    <row r="273" ht="12.75" customHeight="1" s="118">
      <c r="B273" s="71" t="n">
        <v>2016</v>
      </c>
      <c r="C273" s="72" t="inlineStr">
        <is>
          <t>워크래프트 - 전쟁의 서막</t>
        </is>
      </c>
      <c r="D273" s="72" t="n"/>
    </row>
    <row r="274" ht="12.75" customHeight="1" s="118">
      <c r="B274" s="71" t="n">
        <v>2016</v>
      </c>
      <c r="C274" s="73" t="inlineStr">
        <is>
          <t>피로사회</t>
        </is>
      </c>
      <c r="D274" s="73" t="n"/>
    </row>
    <row r="275" ht="12.75" customHeight="1" s="118">
      <c r="B275" s="71" t="n">
        <v>2016</v>
      </c>
      <c r="C275" s="72" t="inlineStr">
        <is>
          <t>워크래프트 - 듀로탄</t>
        </is>
      </c>
      <c r="D275" s="73" t="n"/>
    </row>
    <row r="276" ht="12.75" customHeight="1" s="118">
      <c r="B276" s="71" t="n">
        <v>2016</v>
      </c>
      <c r="C276" s="72" t="inlineStr">
        <is>
          <t>황야의 이리</t>
        </is>
      </c>
      <c r="D276" s="90" t="n"/>
    </row>
    <row r="277" ht="12.75" customHeight="1" s="118">
      <c r="B277" s="71" t="n">
        <v>2016</v>
      </c>
      <c r="C277" s="73" t="inlineStr">
        <is>
          <t>농담</t>
        </is>
      </c>
      <c r="D277" s="72" t="n"/>
    </row>
    <row r="278" ht="12.75" customHeight="1" s="118">
      <c r="B278" s="77" t="n">
        <v>2015</v>
      </c>
      <c r="C278" s="64" t="inlineStr">
        <is>
          <t>설득의 심리학</t>
        </is>
      </c>
      <c r="D278" s="82" t="inlineStr">
        <is>
          <t>할아버지가 꼭 보여주고 싶은 서양명화 101</t>
        </is>
      </c>
    </row>
    <row r="279" ht="12.75" customHeight="1" s="118">
      <c r="B279" s="77" t="n">
        <v>2015</v>
      </c>
      <c r="C279" s="64" t="inlineStr">
        <is>
          <t>세계 철학사</t>
        </is>
      </c>
      <c r="D279" s="64" t="inlineStr">
        <is>
          <t>칼의 노래</t>
        </is>
      </c>
    </row>
    <row r="280" ht="12.75" customHeight="1" s="118">
      <c r="B280" s="77" t="n">
        <v>2015</v>
      </c>
      <c r="C280" s="80" t="inlineStr">
        <is>
          <t>인문의 바다에 빠져라</t>
        </is>
      </c>
      <c r="D280" s="80" t="inlineStr">
        <is>
          <t>파우스트</t>
        </is>
      </c>
    </row>
    <row r="281" ht="12.75" customHeight="1" s="118">
      <c r="B281" s="77" t="n">
        <v>2015</v>
      </c>
      <c r="C281" s="64" t="inlineStr">
        <is>
          <t>육식의 종말</t>
        </is>
      </c>
      <c r="D281" s="80" t="inlineStr">
        <is>
          <t>내가 사랑하는 클래식1</t>
        </is>
      </c>
    </row>
    <row r="282" ht="12.75" customHeight="1" s="118">
      <c r="B282" s="77" t="n">
        <v>2015</v>
      </c>
      <c r="C282" s="64" t="inlineStr">
        <is>
          <t>일본전산 이야기</t>
        </is>
      </c>
      <c r="D282" s="80" t="inlineStr">
        <is>
          <t>내가 사랑하는 클래식2</t>
        </is>
      </c>
    </row>
    <row r="283" ht="12.75" customHeight="1" s="118">
      <c r="B283" s="77" t="n">
        <v>2015</v>
      </c>
      <c r="C283" s="80" t="inlineStr">
        <is>
          <t>설득의 심리학</t>
        </is>
      </c>
      <c r="D283" s="80" t="inlineStr">
        <is>
          <t>내가 사랑하는 클래식3</t>
        </is>
      </c>
    </row>
    <row r="284" ht="12.75" customHeight="1" s="118">
      <c r="B284" s="77" t="n">
        <v>2015</v>
      </c>
      <c r="C284" s="80" t="inlineStr">
        <is>
          <t>프로파간다</t>
        </is>
      </c>
      <c r="D284" s="64" t="inlineStr">
        <is>
          <t>육식의 종말</t>
        </is>
      </c>
    </row>
    <row r="285" ht="12.75" customHeight="1" s="118">
      <c r="B285" s="77" t="n">
        <v>2015</v>
      </c>
      <c r="C285" s="80" t="inlineStr">
        <is>
          <t>미움받을 용기</t>
        </is>
      </c>
      <c r="D285" s="80" t="inlineStr">
        <is>
          <t>설득의 심리학</t>
        </is>
      </c>
    </row>
    <row r="286" ht="12.75" customHeight="1" s="118">
      <c r="B286" s="77" t="n">
        <v>2015</v>
      </c>
      <c r="C286" s="64" t="inlineStr">
        <is>
          <t>유시민의 글쓰기 특강</t>
        </is>
      </c>
      <c r="D286" s="80" t="inlineStr">
        <is>
          <t>무신론자를 위한 종교</t>
        </is>
      </c>
    </row>
    <row r="287" ht="12.75" customHeight="1" s="118">
      <c r="B287" s="77" t="n">
        <v>2015</v>
      </c>
      <c r="C287" s="80" t="inlineStr">
        <is>
          <t>현대 물리학과 동양 사상</t>
        </is>
      </c>
      <c r="D287" s="80" t="inlineStr">
        <is>
          <t>일본전산 이야기</t>
        </is>
      </c>
    </row>
    <row r="288" ht="12.75" customHeight="1" s="118">
      <c r="B288" s="77" t="n">
        <v>2015</v>
      </c>
      <c r="C288" s="80" t="inlineStr">
        <is>
          <t>심리 정치</t>
        </is>
      </c>
      <c r="D288" s="64" t="inlineStr">
        <is>
          <t>그러나 나는 살아가리라</t>
        </is>
      </c>
    </row>
    <row r="289" ht="12.75" customHeight="1" s="118">
      <c r="B289" s="77" t="n">
        <v>2015</v>
      </c>
      <c r="C289" s="80" t="inlineStr">
        <is>
          <t>반짝 반짝 빛나는</t>
        </is>
      </c>
      <c r="D289" s="80" t="inlineStr">
        <is>
          <t>미움받을 용기</t>
        </is>
      </c>
    </row>
    <row r="290" ht="12.75" customHeight="1" s="118">
      <c r="B290" s="77" t="n">
        <v>2015</v>
      </c>
      <c r="C290" s="64" t="inlineStr">
        <is>
          <t>세계 명화 비밀</t>
        </is>
      </c>
      <c r="D290" s="64" t="inlineStr">
        <is>
          <t>유시민의 글쓰기 특강</t>
        </is>
      </c>
    </row>
    <row r="291" ht="12.75" customHeight="1" s="118">
      <c r="B291" s="77" t="n">
        <v>2015</v>
      </c>
      <c r="C291" s="80" t="inlineStr">
        <is>
          <t>금난새의 내가 사랑한 교향곡</t>
        </is>
      </c>
      <c r="D291" s="80" t="inlineStr">
        <is>
          <t>인문의 바다에 빠져라</t>
        </is>
      </c>
    </row>
    <row r="292" ht="12.75" customHeight="1" s="118">
      <c r="B292" s="77" t="n">
        <v>2015</v>
      </c>
      <c r="C292" s="64" t="inlineStr">
        <is>
          <t>유시민의 글쓰기 특강</t>
        </is>
      </c>
      <c r="D292" s="80" t="inlineStr">
        <is>
          <t>쉽게 배우는 인테리어</t>
        </is>
      </c>
    </row>
    <row r="293" ht="12.75" customHeight="1" s="118">
      <c r="B293" s="77" t="n">
        <v>2015</v>
      </c>
      <c r="C293" s="64" t="inlineStr">
        <is>
          <t>1리터의 눈물</t>
        </is>
      </c>
      <c r="D293" s="80" t="inlineStr">
        <is>
          <t>심리 정치</t>
        </is>
      </c>
    </row>
    <row r="294" ht="12.75" customHeight="1" s="118">
      <c r="B294" s="77" t="n">
        <v>2015</v>
      </c>
      <c r="C294" s="80" t="inlineStr">
        <is>
          <t>이것은 질문입니까?</t>
        </is>
      </c>
      <c r="D294" s="64" t="inlineStr">
        <is>
          <t>반짝 반짝 빛나는</t>
        </is>
      </c>
    </row>
    <row r="295" ht="12.75" customHeight="1" s="118">
      <c r="B295" s="77" t="n">
        <v>2015</v>
      </c>
      <c r="C295" s="64" t="inlineStr">
        <is>
          <t>이기적 유전자</t>
        </is>
      </c>
      <c r="D295" s="64" t="inlineStr">
        <is>
          <t>프로파간다</t>
        </is>
      </c>
    </row>
    <row r="296" ht="12.75" customHeight="1" s="118">
      <c r="B296" s="77" t="n">
        <v>2015</v>
      </c>
      <c r="C296" s="91" t="inlineStr">
        <is>
          <t>지적 대화를 위한 넓고 얕은 지식</t>
        </is>
      </c>
      <c r="D296" s="91" t="inlineStr">
        <is>
          <t>지적 대화를 위한 넓고 얕은 지식</t>
        </is>
      </c>
    </row>
    <row r="297" ht="12.75" customHeight="1" s="118">
      <c r="B297" s="77" t="n">
        <v>2015</v>
      </c>
      <c r="C297" s="92" t="inlineStr">
        <is>
          <t>지적 대화를 위한 넓고 얕은 지식 : 현실 너머 편</t>
        </is>
      </c>
      <c r="D297" s="92" t="inlineStr">
        <is>
          <t>지적 대화를 위한 넓고 얕은 지식 : 현실 너머 편</t>
        </is>
      </c>
    </row>
    <row r="298" ht="12.75" customHeight="1" s="118">
      <c r="B298" s="77" t="n">
        <v>2015</v>
      </c>
      <c r="C298" s="93" t="inlineStr">
        <is>
          <t>화폐전쟁</t>
        </is>
      </c>
      <c r="D298" s="82" t="inlineStr">
        <is>
          <t>제노사이드</t>
        </is>
      </c>
    </row>
    <row r="299" ht="12.75" customHeight="1" s="118">
      <c r="B299" s="77" t="n">
        <v>2015</v>
      </c>
      <c r="C299" s="94" t="inlineStr">
        <is>
          <t>조국현상을 말한다</t>
        </is>
      </c>
      <c r="D299" s="95" t="inlineStr">
        <is>
          <t>세계 명화 비밀</t>
        </is>
      </c>
    </row>
    <row r="300" ht="12.75" customHeight="1" s="118">
      <c r="B300" s="77" t="n">
        <v>2015</v>
      </c>
      <c r="C300" s="96" t="inlineStr">
        <is>
          <t>코스모스</t>
        </is>
      </c>
      <c r="D300" s="80" t="inlineStr">
        <is>
          <t>디어 라이프</t>
        </is>
      </c>
    </row>
    <row r="301" ht="12.75" customHeight="1" s="118">
      <c r="B301" s="77" t="n">
        <v>2015</v>
      </c>
      <c r="C301" s="94" t="inlineStr">
        <is>
          <t>노인과 바다</t>
        </is>
      </c>
      <c r="D301" s="94" t="inlineStr">
        <is>
          <t>노인과 바다</t>
        </is>
      </c>
    </row>
    <row r="302" ht="12.75" customHeight="1" s="118">
      <c r="B302" s="77" t="n">
        <v>2015</v>
      </c>
      <c r="C302" s="64" t="inlineStr">
        <is>
          <t>로아나(상)</t>
        </is>
      </c>
      <c r="D302" s="80" t="inlineStr">
        <is>
          <t>금난새의 내가 사랑한 교향곡</t>
        </is>
      </c>
    </row>
    <row r="303" ht="12.75" customHeight="1" s="118">
      <c r="B303" s="77" t="n">
        <v>2015</v>
      </c>
      <c r="C303" s="64" t="inlineStr">
        <is>
          <t>로아나(하)</t>
        </is>
      </c>
      <c r="D303" s="64" t="inlineStr">
        <is>
          <t>꿈꾸는 책들의 도시 - 1</t>
        </is>
      </c>
    </row>
    <row r="304" ht="12.75" customHeight="1" s="118">
      <c r="B304" s="77" t="n">
        <v>2015</v>
      </c>
      <c r="C304" s="64" t="inlineStr">
        <is>
          <t>내가 사랑하는 클래식1</t>
        </is>
      </c>
      <c r="D304" s="64" t="inlineStr">
        <is>
          <t>꿈꾸는 책들의 도시 - 2</t>
        </is>
      </c>
    </row>
    <row r="305" ht="12.75" customHeight="1" s="118">
      <c r="B305" s="77" t="n">
        <v>2015</v>
      </c>
      <c r="C305" s="64" t="inlineStr">
        <is>
          <t>내가 사랑하는 클래식2</t>
        </is>
      </c>
      <c r="D305" s="80" t="inlineStr">
        <is>
          <t>마션</t>
        </is>
      </c>
    </row>
    <row r="306" ht="12.75" customHeight="1" s="118">
      <c r="B306" s="77" t="n">
        <v>2015</v>
      </c>
      <c r="C306" s="64" t="inlineStr">
        <is>
          <t>불안</t>
        </is>
      </c>
      <c r="D306" s="97" t="inlineStr">
        <is>
          <t>자전거 여행1</t>
        </is>
      </c>
    </row>
    <row r="307" ht="12.75" customHeight="1" s="118">
      <c r="B307" s="77" t="n">
        <v>2015</v>
      </c>
      <c r="C307" s="64" t="inlineStr">
        <is>
          <t>자전거 여행1</t>
        </is>
      </c>
      <c r="D307" s="97" t="inlineStr">
        <is>
          <t>자전거 여행2</t>
        </is>
      </c>
    </row>
    <row r="308" ht="12.75" customHeight="1" s="118">
      <c r="B308" s="77" t="n">
        <v>2015</v>
      </c>
      <c r="C308" s="64" t="inlineStr">
        <is>
          <t>자전거 여행2</t>
        </is>
      </c>
      <c r="D308" s="64" t="n"/>
    </row>
    <row r="309" ht="12.75" customHeight="1" s="118">
      <c r="B309" s="77" t="n">
        <v>2015</v>
      </c>
      <c r="C309" s="80" t="inlineStr">
        <is>
          <t>마션</t>
        </is>
      </c>
      <c r="D309" s="64" t="n"/>
    </row>
    <row r="310" ht="12.75" customHeight="1" s="118">
      <c r="B310" s="77" t="n">
        <v>2015</v>
      </c>
      <c r="C310" s="64" t="inlineStr">
        <is>
          <t>소크라테스의 변명</t>
        </is>
      </c>
      <c r="D310" s="64" t="n"/>
    </row>
    <row r="311" ht="12.75" customHeight="1" s="118">
      <c r="B311" s="77" t="n">
        <v>2015</v>
      </c>
      <c r="C311" s="64" t="inlineStr">
        <is>
          <t>설득의 심리학2</t>
        </is>
      </c>
      <c r="D311" s="64" t="n"/>
    </row>
    <row r="312" ht="12.75" customHeight="1" s="118">
      <c r="B312" s="77" t="n">
        <v>2015</v>
      </c>
      <c r="C312" s="64" t="inlineStr">
        <is>
          <t>베니스의 상인</t>
        </is>
      </c>
      <c r="D312" s="64" t="n"/>
    </row>
    <row r="313" ht="12.75" customHeight="1" s="118">
      <c r="B313" s="77" t="n">
        <v>2015</v>
      </c>
      <c r="C313" s="64" t="inlineStr">
        <is>
          <t>방드르디, 태평양의 끝</t>
        </is>
      </c>
      <c r="D313" s="64" t="n"/>
    </row>
    <row r="314" ht="12.75" customHeight="1" s="118">
      <c r="B314" s="77" t="n">
        <v>2015</v>
      </c>
      <c r="C314" s="64" t="inlineStr">
        <is>
          <t>수레바퀴 아래서</t>
        </is>
      </c>
      <c r="D314" s="64" t="n"/>
    </row>
    <row r="315" ht="12.75" customHeight="1" s="118">
      <c r="B315" s="77" t="n">
        <v>2015</v>
      </c>
      <c r="C315" s="64" t="inlineStr">
        <is>
          <t>프루스트가 우리의 삶을 바꾸는 방법들</t>
        </is>
      </c>
      <c r="D315" s="64" t="n"/>
    </row>
    <row r="316" ht="12.75" customHeight="1" s="118">
      <c r="B316" s="77" t="n">
        <v>2015</v>
      </c>
      <c r="C316" s="64" t="inlineStr">
        <is>
          <t>긍정의 힘</t>
        </is>
      </c>
      <c r="D316" s="64" t="n"/>
    </row>
    <row r="317" ht="12.75" customHeight="1" s="118">
      <c r="B317" s="77" t="n">
        <v>2015</v>
      </c>
      <c r="C317" s="80" t="inlineStr">
        <is>
          <t>파수꾼</t>
        </is>
      </c>
      <c r="D317" s="64" t="n"/>
    </row>
    <row r="318" ht="12.75" customHeight="1" s="118">
      <c r="B318" s="77" t="n">
        <v>2015</v>
      </c>
      <c r="C318" s="64" t="inlineStr">
        <is>
          <t>디어 라이프</t>
        </is>
      </c>
      <c r="D318" s="64" t="n"/>
    </row>
    <row r="319" ht="12.75" customHeight="1" s="118">
      <c r="B319" s="71" t="n">
        <v>2014</v>
      </c>
      <c r="C319" s="72" t="inlineStr">
        <is>
          <t>이방인</t>
        </is>
      </c>
      <c r="D319" s="72" t="inlineStr">
        <is>
          <t>실마릴리온 - 1</t>
        </is>
      </c>
    </row>
    <row r="320" ht="12.75" customHeight="1" s="118">
      <c r="B320" s="71" t="n">
        <v>2014</v>
      </c>
      <c r="C320" s="72" t="inlineStr">
        <is>
          <t>꿈의 도시</t>
        </is>
      </c>
      <c r="D320" s="72" t="inlineStr">
        <is>
          <t>실마릴리온 - 2</t>
        </is>
      </c>
    </row>
    <row r="321" ht="12.75" customHeight="1" s="118">
      <c r="B321" s="71" t="n">
        <v>2014</v>
      </c>
      <c r="C321" s="72" t="inlineStr">
        <is>
          <t>악마와 미스 프랭</t>
        </is>
      </c>
      <c r="D321" s="72" t="inlineStr">
        <is>
          <t>최초의 인간</t>
        </is>
      </c>
    </row>
    <row r="322" ht="12.75" customHeight="1" s="118">
      <c r="B322" s="71" t="n">
        <v>2014</v>
      </c>
      <c r="C322" s="72" t="inlineStr">
        <is>
          <t>그리고 아무 말도 하지 않았다</t>
        </is>
      </c>
      <c r="D322" s="72" t="inlineStr">
        <is>
          <t>악마와 미스 프랭</t>
        </is>
      </c>
    </row>
    <row r="323" ht="12.75" customHeight="1" s="118">
      <c r="B323" s="71" t="n">
        <v>2014</v>
      </c>
      <c r="C323" s="72" t="inlineStr">
        <is>
          <t>지금 사랑하지 않는 자, 모두 유죄</t>
        </is>
      </c>
      <c r="D323" s="72" t="inlineStr">
        <is>
          <t>트와일라잇-eBook</t>
        </is>
      </c>
    </row>
    <row r="324" ht="12.75" customHeight="1" s="118">
      <c r="B324" s="71" t="n">
        <v>2014</v>
      </c>
      <c r="C324" s="72" t="inlineStr">
        <is>
          <t>폭풍의 언덕</t>
        </is>
      </c>
      <c r="D324" s="72" t="inlineStr">
        <is>
          <t>뉴문-eBook</t>
        </is>
      </c>
    </row>
    <row r="325" ht="12.75" customHeight="1" s="118">
      <c r="B325" s="71" t="n">
        <v>2014</v>
      </c>
      <c r="C325" s="73" t="inlineStr">
        <is>
          <t>드라큘라</t>
        </is>
      </c>
      <c r="D325" s="72" t="inlineStr">
        <is>
          <t>이클립스-eBook</t>
        </is>
      </c>
    </row>
    <row r="326" ht="12.75" customHeight="1" s="118">
      <c r="B326" s="71" t="n">
        <v>2014</v>
      </c>
      <c r="C326" s="73" t="inlineStr">
        <is>
          <t>시가 내게로 왔다</t>
        </is>
      </c>
      <c r="D326" s="72" t="inlineStr">
        <is>
          <t>브레이킹 던-eBook</t>
        </is>
      </c>
    </row>
    <row r="327" ht="12.75" customHeight="1" s="118">
      <c r="B327" s="71" t="n">
        <v>2014</v>
      </c>
      <c r="C327" s="72" t="inlineStr">
        <is>
          <t>여덟 단어</t>
        </is>
      </c>
      <c r="D327" s="72" t="inlineStr">
        <is>
          <t>폭풍의 언덕</t>
        </is>
      </c>
    </row>
    <row r="328" ht="12.75" customHeight="1" s="118">
      <c r="B328" s="71" t="n">
        <v>2014</v>
      </c>
      <c r="C328" s="72" t="n"/>
      <c r="D328" s="73" t="inlineStr">
        <is>
          <t>여덟 단어</t>
        </is>
      </c>
    </row>
    <row r="329" ht="12.75" customHeight="1" s="118">
      <c r="B329" s="71" t="n">
        <v>2014</v>
      </c>
      <c r="C329" s="72" t="n"/>
      <c r="D329" s="72" t="inlineStr">
        <is>
          <t>까라마조프 씨네 형제들 - 상</t>
        </is>
      </c>
    </row>
    <row r="330" ht="12.75" customHeight="1" s="118">
      <c r="B330" s="71" t="n">
        <v>2014</v>
      </c>
      <c r="C330" s="72" t="inlineStr">
        <is>
          <t>시골의사 박경철의 자기혁명</t>
        </is>
      </c>
      <c r="D330" s="72" t="inlineStr">
        <is>
          <t>까라마조프 씨네 형제들 - 중</t>
        </is>
      </c>
    </row>
    <row r="331" ht="12.75" customHeight="1" s="118">
      <c r="B331" s="71" t="n">
        <v>2014</v>
      </c>
      <c r="C331" s="72" t="inlineStr">
        <is>
          <t>왜 나는 너를 사랑하는가</t>
        </is>
      </c>
      <c r="D331" s="72" t="inlineStr">
        <is>
          <t>까라마조프 씨네 형제들 - 하</t>
        </is>
      </c>
    </row>
    <row r="332" ht="12.75" customHeight="1" s="118">
      <c r="B332" s="71" t="n">
        <v>2014</v>
      </c>
      <c r="C332" s="72" t="inlineStr">
        <is>
          <t>1cm+</t>
        </is>
      </c>
      <c r="D332" s="72" t="inlineStr">
        <is>
          <t>답을내는 조직</t>
        </is>
      </c>
    </row>
    <row r="333" ht="12.75" customHeight="1" s="118">
      <c r="B333" s="71" t="n">
        <v>2014</v>
      </c>
      <c r="C333" s="72" t="inlineStr">
        <is>
          <t>시골의사의 아름다운 동행</t>
        </is>
      </c>
      <c r="D333" s="98" t="inlineStr">
        <is>
          <t>1cm+</t>
        </is>
      </c>
    </row>
    <row r="334" ht="12.75" customHeight="1" s="118">
      <c r="B334" s="71" t="n">
        <v>2014</v>
      </c>
      <c r="C334" s="72" t="inlineStr">
        <is>
          <t>아프니까 청춘이다</t>
        </is>
      </c>
      <c r="D334" s="72" t="inlineStr">
        <is>
          <t>아프니까 청춘이다</t>
        </is>
      </c>
    </row>
    <row r="335" ht="12.75" customHeight="1" s="118">
      <c r="B335" s="71" t="n">
        <v>2014</v>
      </c>
      <c r="C335" s="73" t="inlineStr">
        <is>
          <t>키친</t>
        </is>
      </c>
      <c r="D335" s="72" t="inlineStr">
        <is>
          <t>도리언그레이의 초상</t>
        </is>
      </c>
    </row>
    <row r="336" ht="12.75" customHeight="1" s="118">
      <c r="B336" s="71" t="n">
        <v>2014</v>
      </c>
      <c r="C336" s="72" t="inlineStr">
        <is>
          <t>내 심장을 쏴라</t>
        </is>
      </c>
      <c r="D336" s="72" t="inlineStr">
        <is>
          <t>시골의사의 아름다운 동행</t>
        </is>
      </c>
    </row>
    <row r="337" ht="12.75" customHeight="1" s="118">
      <c r="B337" s="71" t="n">
        <v>2014</v>
      </c>
      <c r="C337" s="72" t="inlineStr">
        <is>
          <t>전쟁의 세계사</t>
        </is>
      </c>
      <c r="D337" s="72" t="inlineStr">
        <is>
          <t>내 심장을 쏴라</t>
        </is>
      </c>
    </row>
    <row r="338" ht="12.75" customHeight="1" s="118">
      <c r="B338" s="71" t="n">
        <v>2014</v>
      </c>
      <c r="C338" s="72" t="inlineStr">
        <is>
          <t>도리언그레이의 초상</t>
        </is>
      </c>
      <c r="D338" s="73" t="inlineStr">
        <is>
          <t>드라큘라</t>
        </is>
      </c>
    </row>
    <row r="339" ht="12.75" customHeight="1" s="118">
      <c r="B339" s="71" t="n">
        <v>2014</v>
      </c>
      <c r="C339" s="73" t="inlineStr">
        <is>
          <t>무소유 - ebook</t>
        </is>
      </c>
      <c r="D339" s="73" t="inlineStr">
        <is>
          <t>불안</t>
        </is>
      </c>
    </row>
    <row r="340" ht="12.75" customHeight="1" s="118">
      <c r="B340" s="71" t="n">
        <v>2014</v>
      </c>
      <c r="C340" s="72" t="inlineStr">
        <is>
          <t>어린왕자</t>
        </is>
      </c>
      <c r="D340" s="73" t="inlineStr">
        <is>
          <t>어린왕자</t>
        </is>
      </c>
    </row>
    <row r="341" ht="12.75" customHeight="1" s="118">
      <c r="B341" s="71" t="n">
        <v>2014</v>
      </c>
      <c r="C341" s="72" t="inlineStr">
        <is>
          <t>거대한 전환</t>
        </is>
      </c>
      <c r="D341" s="73" t="inlineStr">
        <is>
          <t>무소유 - ebook</t>
        </is>
      </c>
    </row>
    <row r="342" ht="12.75" customHeight="1" s="118">
      <c r="B342" s="71" t="n">
        <v>2014</v>
      </c>
      <c r="C342" s="72" t="inlineStr">
        <is>
          <t>책은 도끼다</t>
        </is>
      </c>
      <c r="D342" s="73" t="inlineStr">
        <is>
          <t>가난한 사람들</t>
        </is>
      </c>
    </row>
    <row r="343" ht="12.75" customHeight="1" s="118">
      <c r="B343" s="71" t="n">
        <v>2014</v>
      </c>
      <c r="C343" s="72" t="inlineStr">
        <is>
          <t>스마트한 심리학 사용법</t>
        </is>
      </c>
      <c r="D343" s="73" t="inlineStr">
        <is>
          <t>책상은 책상이다</t>
        </is>
      </c>
    </row>
    <row r="344" ht="12.75" customHeight="1" s="118">
      <c r="B344" s="71" t="n">
        <v>2014</v>
      </c>
      <c r="C344" s="72" t="inlineStr">
        <is>
          <t>무신론자를 위한 종교</t>
        </is>
      </c>
      <c r="D344" s="72" t="inlineStr">
        <is>
          <t>스마트한 심리학 사용법</t>
        </is>
      </c>
    </row>
    <row r="345" ht="12.75" customHeight="1" s="118">
      <c r="B345" s="71" t="n">
        <v>2014</v>
      </c>
      <c r="C345" s="72" t="inlineStr">
        <is>
          <t>가난한 사람들</t>
        </is>
      </c>
      <c r="D345" s="72" t="inlineStr">
        <is>
          <t>그리고 아무 말도 하지 않았다</t>
        </is>
      </c>
    </row>
    <row r="346" ht="12.75" customHeight="1" s="118">
      <c r="B346" s="71" t="n">
        <v>2014</v>
      </c>
      <c r="C346" s="72" t="inlineStr">
        <is>
          <t>여행의 기술</t>
        </is>
      </c>
      <c r="D346" s="72" t="inlineStr">
        <is>
          <t>여행의 기술</t>
        </is>
      </c>
    </row>
    <row r="347" ht="12.75" customHeight="1" s="118">
      <c r="B347" s="71" t="n">
        <v>2014</v>
      </c>
      <c r="C347" s="72" t="inlineStr">
        <is>
          <t>그림 아는 만큼 보인다</t>
        </is>
      </c>
      <c r="D347" s="72" t="inlineStr">
        <is>
          <t>그림 아는 만큼 보인다</t>
        </is>
      </c>
    </row>
    <row r="348" ht="12.75" customHeight="1" s="118">
      <c r="B348" s="71" t="n">
        <v>2014</v>
      </c>
      <c r="C348" s="72" t="inlineStr">
        <is>
          <t>칼의 노래</t>
        </is>
      </c>
      <c r="D348" s="72" t="n"/>
    </row>
    <row r="349" ht="12.75" customHeight="1" s="118">
      <c r="B349" s="71" t="n">
        <v>2014</v>
      </c>
      <c r="C349" s="73" t="inlineStr">
        <is>
          <t>파우스트</t>
        </is>
      </c>
      <c r="D349" s="72" t="n"/>
    </row>
    <row r="350" ht="12.75" customHeight="1" s="118">
      <c r="B350" s="71" t="n">
        <v>2014</v>
      </c>
      <c r="C350" s="72" t="inlineStr">
        <is>
          <t>책상은 책상이다</t>
        </is>
      </c>
      <c r="D350" s="72" t="n"/>
    </row>
    <row r="351" ht="12.75" customHeight="1" s="118">
      <c r="B351" s="71" t="n">
        <v>2014</v>
      </c>
      <c r="C351" s="72" t="inlineStr">
        <is>
          <t>내가 사랑하는 클래식1</t>
        </is>
      </c>
      <c r="D351" s="72" t="n"/>
    </row>
    <row r="352" ht="12.75" customHeight="1" s="118">
      <c r="B352" s="71" t="n">
        <v>2014</v>
      </c>
      <c r="C352" s="72" t="inlineStr">
        <is>
          <t>내가 사랑하는 클래식2</t>
        </is>
      </c>
      <c r="D352" s="72" t="n"/>
    </row>
    <row r="353" ht="12.75" customHeight="1" s="118">
      <c r="B353" s="71" t="n">
        <v>2014</v>
      </c>
      <c r="C353" s="72" t="inlineStr">
        <is>
          <t>내가 사랑하는 클래식3</t>
        </is>
      </c>
      <c r="D353" s="72" t="n"/>
    </row>
    <row r="354" ht="12.75" customHeight="1" s="118">
      <c r="B354" s="77" t="n">
        <v>2013</v>
      </c>
      <c r="C354" s="99" t="inlineStr">
        <is>
          <t>데미안</t>
        </is>
      </c>
      <c r="D354" s="80" t="inlineStr">
        <is>
          <t>템테이션</t>
        </is>
      </c>
    </row>
    <row r="355" ht="12.75" customHeight="1" s="118">
      <c r="B355" s="77" t="n">
        <v>2013</v>
      </c>
      <c r="C355" s="80" t="inlineStr">
        <is>
          <t>나미야 잡화점의 기적</t>
        </is>
      </c>
      <c r="D355" s="80" t="inlineStr">
        <is>
          <t>멈추면 비로소 보이는 것들</t>
        </is>
      </c>
    </row>
    <row r="356" ht="12.75" customHeight="1" s="118">
      <c r="B356" s="77" t="n">
        <v>2013</v>
      </c>
      <c r="C356" s="100" t="inlineStr">
        <is>
          <t>멈추면 비로소 보이는 것들</t>
        </is>
      </c>
      <c r="D356" s="80" t="inlineStr">
        <is>
          <t>환상동화</t>
        </is>
      </c>
    </row>
    <row r="357" ht="12.75" customHeight="1" s="118">
      <c r="B357" s="77" t="n">
        <v>2013</v>
      </c>
      <c r="C357" s="96" t="inlineStr">
        <is>
          <t>눈의 아이</t>
        </is>
      </c>
      <c r="D357" s="80" t="inlineStr">
        <is>
          <t>경청</t>
        </is>
      </c>
    </row>
    <row r="358" ht="12.75" customHeight="1" s="118">
      <c r="B358" s="77" t="n">
        <v>2013</v>
      </c>
      <c r="C358" s="96" t="inlineStr">
        <is>
          <t>경청</t>
        </is>
      </c>
      <c r="D358" s="80" t="inlineStr">
        <is>
          <t>나미야 잡화점의 기적</t>
        </is>
      </c>
    </row>
    <row r="359" ht="12.75" customHeight="1" s="118">
      <c r="B359" s="77" t="n">
        <v>2013</v>
      </c>
      <c r="C359" s="94" t="inlineStr">
        <is>
          <t>이집트 신화</t>
        </is>
      </c>
      <c r="D359" s="64" t="inlineStr">
        <is>
          <t>눈의 아이</t>
        </is>
      </c>
    </row>
    <row r="360" ht="12.75" customHeight="1" s="118">
      <c r="B360" s="77" t="n">
        <v>2013</v>
      </c>
      <c r="C360" s="94" t="inlineStr">
        <is>
          <t>시간을 달리는 소녀</t>
        </is>
      </c>
      <c r="D360" s="80" t="inlineStr">
        <is>
          <t>데미안</t>
        </is>
      </c>
    </row>
    <row r="361" ht="12.75" customHeight="1" s="118">
      <c r="B361" s="77" t="n">
        <v>2013</v>
      </c>
      <c r="C361" s="94" t="inlineStr">
        <is>
          <t>나이트런 파더스데이(상, 하)</t>
        </is>
      </c>
      <c r="D361" s="80" t="inlineStr">
        <is>
          <t>나이트런 파더스데이(상, 하)</t>
        </is>
      </c>
    </row>
    <row r="362" ht="12.75" customHeight="1" s="118">
      <c r="B362" s="77" t="n">
        <v>2013</v>
      </c>
      <c r="C362" s="94" t="inlineStr">
        <is>
          <t>스텝 파더 스텝</t>
        </is>
      </c>
      <c r="D362" s="80" t="inlineStr">
        <is>
          <t>왜 나는 너를 사랑하는가</t>
        </is>
      </c>
    </row>
    <row r="363" ht="12.75" customHeight="1" s="118">
      <c r="B363" s="77" t="n">
        <v>2013</v>
      </c>
      <c r="C363" s="101" t="inlineStr">
        <is>
          <t>게르만 신화와 전설</t>
        </is>
      </c>
      <c r="D363" s="64" t="inlineStr">
        <is>
          <t>앵무새 죽이기</t>
        </is>
      </c>
    </row>
    <row r="364" ht="12.75" customHeight="1" s="118">
      <c r="B364" s="77" t="n">
        <v>2013</v>
      </c>
      <c r="C364" s="94" t="inlineStr">
        <is>
          <t>호밀밭의 파수꾼</t>
        </is>
      </c>
      <c r="D364" s="64" t="inlineStr">
        <is>
          <t>호밀밭의 파수꾼</t>
        </is>
      </c>
    </row>
    <row r="365" ht="12.75" customHeight="1" s="118">
      <c r="B365" s="77" t="n">
        <v>2013</v>
      </c>
      <c r="C365" s="64" t="inlineStr">
        <is>
          <t>앵무새 죽이기</t>
        </is>
      </c>
      <c r="D365" s="80" t="inlineStr">
        <is>
          <t>리딩노트</t>
        </is>
      </c>
    </row>
    <row r="366" ht="12.75" customHeight="1" s="118">
      <c r="B366" s="77" t="n">
        <v>2013</v>
      </c>
      <c r="C366" s="64" t="inlineStr">
        <is>
          <t>빨간머리 앤</t>
        </is>
      </c>
      <c r="D366" s="64" t="inlineStr">
        <is>
          <t>노란 코끼리</t>
        </is>
      </c>
    </row>
    <row r="367" ht="12.75" customHeight="1" s="118">
      <c r="B367" s="77" t="n">
        <v>2013</v>
      </c>
      <c r="C367" s="64" t="inlineStr">
        <is>
          <t>서양 미술사</t>
        </is>
      </c>
      <c r="D367" s="80" t="inlineStr">
        <is>
          <t>용의자 X의 헌신</t>
        </is>
      </c>
    </row>
    <row r="368" ht="12.75" customHeight="1" s="118">
      <c r="B368" s="77" t="n">
        <v>2013</v>
      </c>
      <c r="C368" s="64" t="inlineStr">
        <is>
          <t>끝없는 이야기</t>
        </is>
      </c>
      <c r="D368" s="80" t="inlineStr">
        <is>
          <t>톨스토이 단편선 - 2</t>
        </is>
      </c>
    </row>
    <row r="369" ht="12.75" customHeight="1" s="118">
      <c r="B369" s="77" t="n">
        <v>2013</v>
      </c>
      <c r="C369" s="80" t="inlineStr">
        <is>
          <t>얼굴 빨개지는 아이</t>
        </is>
      </c>
      <c r="D369" s="80" t="n"/>
    </row>
    <row r="370" ht="12.75" customHeight="1" s="118">
      <c r="B370" s="77" t="n">
        <v>2013</v>
      </c>
      <c r="C370" s="80" t="inlineStr">
        <is>
          <t>백야</t>
        </is>
      </c>
      <c r="D370" s="80" t="inlineStr">
        <is>
          <t>얼굴 빨개지는 아이</t>
        </is>
      </c>
    </row>
    <row r="371" ht="12.75" customHeight="1" s="118">
      <c r="B371" s="77" t="n">
        <v>2013</v>
      </c>
      <c r="C371" s="80" t="inlineStr">
        <is>
          <t>톨스토이 단편선 - 2</t>
        </is>
      </c>
      <c r="D371" s="80" t="inlineStr">
        <is>
          <t>백야</t>
        </is>
      </c>
    </row>
    <row r="372" ht="12.75" customHeight="1" s="118">
      <c r="B372" s="77" t="n">
        <v>2013</v>
      </c>
      <c r="C372" s="64" t="inlineStr">
        <is>
          <t>답을내는 조직</t>
        </is>
      </c>
      <c r="D372" s="80" t="inlineStr">
        <is>
          <t>시골의사 박경철의 자기혁명</t>
        </is>
      </c>
    </row>
    <row r="373" ht="12.75" customHeight="1" s="118">
      <c r="B373" s="77" t="n">
        <v>2013</v>
      </c>
      <c r="C373" s="94" t="inlineStr">
        <is>
          <t>플랫폼 전략</t>
        </is>
      </c>
      <c r="D373" s="80" t="inlineStr">
        <is>
          <t>구글을 지탱하는 기술</t>
        </is>
      </c>
    </row>
    <row r="374" ht="12.75" customHeight="1" s="118">
      <c r="B374" s="77" t="n">
        <v>2013</v>
      </c>
      <c r="C374" s="102" t="inlineStr">
        <is>
          <t>순간의 꽃</t>
        </is>
      </c>
      <c r="D374" s="64" t="inlineStr">
        <is>
          <t>플랫폼 전략</t>
        </is>
      </c>
    </row>
    <row r="375" ht="12.75" customHeight="1" s="118">
      <c r="B375" s="77" t="n">
        <v>2013</v>
      </c>
      <c r="C375" s="82" t="inlineStr">
        <is>
          <t>할아버지가 꼭 보여주고 싶은 서양명화 101</t>
        </is>
      </c>
      <c r="D375" s="103" t="inlineStr">
        <is>
          <t>끝없는 이야기</t>
        </is>
      </c>
    </row>
    <row r="376" ht="12.75" customHeight="1" s="118">
      <c r="B376" s="77" t="n">
        <v>2013</v>
      </c>
      <c r="C376" s="64" t="inlineStr">
        <is>
          <t>몽유병자들(상)</t>
        </is>
      </c>
      <c r="D376" s="64" t="inlineStr">
        <is>
          <t>깊이에의 강요</t>
        </is>
      </c>
    </row>
    <row r="377" ht="12.75" customHeight="1" s="118">
      <c r="B377" s="77" t="n">
        <v>2013</v>
      </c>
      <c r="C377" s="64" t="inlineStr">
        <is>
          <t>몽유병자들(하)</t>
        </is>
      </c>
      <c r="D377" s="84" t="inlineStr">
        <is>
          <t>키친</t>
        </is>
      </c>
    </row>
    <row r="378" ht="12.75" customHeight="1" s="118">
      <c r="B378" s="77" t="n">
        <v>2013</v>
      </c>
      <c r="C378" s="84" t="inlineStr">
        <is>
          <t>도쿄타워</t>
        </is>
      </c>
      <c r="D378" s="80" t="inlineStr">
        <is>
          <t>게르만 신화와 전설</t>
        </is>
      </c>
    </row>
    <row r="379" ht="12.75" customHeight="1" s="118">
      <c r="B379" s="77" t="n">
        <v>2013</v>
      </c>
      <c r="C379" s="64" t="inlineStr">
        <is>
          <t>시골의사 박경철의 자기혁명</t>
        </is>
      </c>
      <c r="D379" s="84" t="inlineStr">
        <is>
          <t>도쿄타워</t>
        </is>
      </c>
    </row>
    <row r="380" ht="12.75" customHeight="1" s="118">
      <c r="B380" s="77" t="n">
        <v>2013</v>
      </c>
      <c r="C380" s="64" t="inlineStr">
        <is>
          <t>팀장이 절대로 해서는 안될 101가지 행동</t>
        </is>
      </c>
      <c r="D380" s="64" t="inlineStr">
        <is>
          <t>꿈의 도시</t>
        </is>
      </c>
    </row>
    <row r="381" ht="12.75" customHeight="1" s="118">
      <c r="B381" s="77" t="n">
        <v>2013</v>
      </c>
      <c r="C381" s="80" t="inlineStr">
        <is>
          <t>거의 모든 재난으로 부터 살아남는 법</t>
        </is>
      </c>
      <c r="D381" s="64" t="inlineStr">
        <is>
          <t>순간의 꽃</t>
        </is>
      </c>
    </row>
    <row r="382" ht="12.75" customHeight="1" s="118">
      <c r="B382" s="77" t="n">
        <v>2013</v>
      </c>
      <c r="C382" s="64" t="inlineStr">
        <is>
          <t>깊이에의 강요</t>
        </is>
      </c>
      <c r="D382" s="64" t="inlineStr">
        <is>
          <t>시가 내게로 왔다</t>
        </is>
      </c>
    </row>
    <row r="383" ht="12.75" customHeight="1" s="118">
      <c r="B383" s="77" t="n">
        <v>2013</v>
      </c>
      <c r="C383" s="64" t="inlineStr">
        <is>
          <t>대위의 딸</t>
        </is>
      </c>
      <c r="D383" s="64" t="n"/>
    </row>
    <row r="384" ht="12.75" customHeight="1" s="118">
      <c r="B384" s="77" t="n">
        <v>2013</v>
      </c>
      <c r="C384" s="64" t="inlineStr">
        <is>
          <t>노란 코끼리</t>
        </is>
      </c>
      <c r="D384" s="64" t="inlineStr">
        <is>
          <t>대위의 딸</t>
        </is>
      </c>
    </row>
    <row r="385" ht="12.75" customHeight="1" s="118">
      <c r="B385" s="77" t="n">
        <v>2013</v>
      </c>
      <c r="C385" s="64" t="inlineStr">
        <is>
          <t>꿈꾸는 책들의 도시 - 1</t>
        </is>
      </c>
      <c r="D385" s="64" t="inlineStr">
        <is>
          <t>서양 미술사</t>
        </is>
      </c>
    </row>
    <row r="386" ht="12.75" customHeight="1" s="118">
      <c r="B386" s="77" t="n">
        <v>2013</v>
      </c>
      <c r="C386" s="64" t="inlineStr">
        <is>
          <t>꿈꾸는 책들의 도시 - 2</t>
        </is>
      </c>
      <c r="D386" s="80" t="inlineStr">
        <is>
          <t>셰익스피어 비극선</t>
        </is>
      </c>
    </row>
    <row r="387" ht="12.75" customHeight="1" s="118">
      <c r="B387" s="77" t="n">
        <v>2013</v>
      </c>
      <c r="C387" s="80" t="inlineStr">
        <is>
          <t>불안</t>
        </is>
      </c>
      <c r="D387" s="94" t="inlineStr">
        <is>
          <t>전망 좋은 방</t>
        </is>
      </c>
    </row>
    <row r="388" ht="12.75" customHeight="1" s="118">
      <c r="B388" s="77" t="n">
        <v>2013</v>
      </c>
      <c r="C388" s="80" t="inlineStr">
        <is>
          <t>셰익스피어 비극선</t>
        </is>
      </c>
      <c r="D388" s="80" t="inlineStr">
        <is>
          <t>지금 사랑하지 않는 자, 모두 유죄</t>
        </is>
      </c>
    </row>
    <row r="389" ht="12.75" customHeight="1" s="118">
      <c r="B389" s="77" t="n">
        <v>2013</v>
      </c>
      <c r="C389" s="64" t="inlineStr">
        <is>
          <t>총,균,쇠</t>
        </is>
      </c>
      <c r="D389" s="84" t="inlineStr">
        <is>
          <t>이방인</t>
        </is>
      </c>
    </row>
    <row r="390" ht="12.75" customHeight="1" s="118">
      <c r="B390" s="77" t="n">
        <v>2013</v>
      </c>
      <c r="C390" s="80" t="inlineStr">
        <is>
          <t>전망 좋은 방</t>
        </is>
      </c>
      <c r="D390" s="82" t="n"/>
    </row>
    <row r="391" ht="12.75" customHeight="1" s="118">
      <c r="B391" s="77" t="n">
        <v>2013</v>
      </c>
      <c r="C391" s="84" t="inlineStr">
        <is>
          <t>최초의 인간</t>
        </is>
      </c>
      <c r="D391" s="64" t="n"/>
    </row>
    <row r="392" ht="12.75" customHeight="1" s="118">
      <c r="B392" s="77" t="n">
        <v>2013</v>
      </c>
      <c r="C392" s="80" t="inlineStr">
        <is>
          <t>실마릴리온 - 1</t>
        </is>
      </c>
      <c r="D392" s="103" t="n"/>
    </row>
    <row r="393" ht="12.75" customHeight="1" s="118">
      <c r="B393" s="77" t="n">
        <v>2013</v>
      </c>
      <c r="C393" s="80" t="inlineStr">
        <is>
          <t>실마릴리온 - 2</t>
        </is>
      </c>
      <c r="D393" s="103" t="n"/>
    </row>
    <row r="394" ht="12.75" customHeight="1" s="118">
      <c r="B394" s="77" t="n">
        <v>2013</v>
      </c>
      <c r="C394" s="82" t="inlineStr">
        <is>
          <t>까라마조프 씨네 형제들 - 상</t>
        </is>
      </c>
      <c r="D394" s="103" t="n"/>
    </row>
    <row r="395" ht="12.75" customHeight="1" s="118">
      <c r="B395" s="77" t="n">
        <v>2013</v>
      </c>
      <c r="C395" s="82" t="inlineStr">
        <is>
          <t>까라마조프 씨네 형제들 - 중</t>
        </is>
      </c>
      <c r="D395" s="80" t="n"/>
    </row>
    <row r="396" ht="12.75" customHeight="1" s="118">
      <c r="B396" s="77" t="n">
        <v>2013</v>
      </c>
      <c r="C396" s="82" t="inlineStr">
        <is>
          <t>까라마조프 씨네 형제들 - 하</t>
        </is>
      </c>
      <c r="D396" s="78" t="n"/>
    </row>
    <row r="397" ht="12.75" customHeight="1" s="118">
      <c r="B397" s="71" t="n">
        <v>2012</v>
      </c>
      <c r="C397" s="104" t="inlineStr">
        <is>
          <t>벤자민 버튼의 시간은 거꾸로 간다</t>
        </is>
      </c>
      <c r="D397" s="72" t="inlineStr">
        <is>
          <t>해리포터와 불사조 기사단 - 1</t>
        </is>
      </c>
    </row>
    <row r="398" ht="12.75" customHeight="1" s="118">
      <c r="B398" s="71" t="n">
        <v>2012</v>
      </c>
      <c r="C398" s="104" t="inlineStr">
        <is>
          <t>비둘기</t>
        </is>
      </c>
      <c r="D398" s="72" t="inlineStr">
        <is>
          <t>해리포터와 불사조 기사단 - 2</t>
        </is>
      </c>
    </row>
    <row r="399" ht="12.75" customHeight="1" s="118">
      <c r="B399" s="71" t="n">
        <v>2012</v>
      </c>
      <c r="C399" s="104" t="inlineStr">
        <is>
          <t>보수를 팝니다</t>
        </is>
      </c>
      <c r="D399" s="72" t="inlineStr">
        <is>
          <t>해리포터와 불사조 기사단 - 3</t>
        </is>
      </c>
    </row>
    <row r="400" ht="12.75" customHeight="1" s="118">
      <c r="B400" s="71" t="n">
        <v>2012</v>
      </c>
      <c r="C400" s="86" t="inlineStr">
        <is>
          <t>톨스토이 단편선 - 1</t>
        </is>
      </c>
      <c r="D400" s="72" t="inlineStr">
        <is>
          <t>해리포터와 불사조 기사단 - 4</t>
        </is>
      </c>
    </row>
    <row r="401" ht="12.75" customHeight="1" s="118">
      <c r="B401" s="71" t="n">
        <v>2012</v>
      </c>
      <c r="C401" s="86" t="inlineStr">
        <is>
          <t>소년 짐</t>
        </is>
      </c>
      <c r="D401" s="72" t="inlineStr">
        <is>
          <t>해리포터와 불사조 기사단 - 5</t>
        </is>
      </c>
    </row>
    <row r="402" ht="12.75" customHeight="1" s="118">
      <c r="B402" s="71" t="n">
        <v>2012</v>
      </c>
      <c r="C402" s="86" t="inlineStr">
        <is>
          <t>죽음본능</t>
        </is>
      </c>
      <c r="D402" s="72" t="inlineStr">
        <is>
          <t>해리포터와 혼혈왕자 - 1</t>
        </is>
      </c>
    </row>
    <row r="403" ht="12.75" customHeight="1" s="118">
      <c r="B403" s="71" t="n">
        <v>2012</v>
      </c>
      <c r="C403" s="86" t="inlineStr">
        <is>
          <t>위로</t>
        </is>
      </c>
      <c r="D403" s="72" t="inlineStr">
        <is>
          <t>해리포터와 혼혈왕자 - 2</t>
        </is>
      </c>
    </row>
    <row r="404" ht="12.75" customHeight="1" s="118">
      <c r="B404" s="71" t="n">
        <v>2012</v>
      </c>
      <c r="C404" s="86" t="inlineStr">
        <is>
          <t>달과 6펜스</t>
        </is>
      </c>
      <c r="D404" s="72" t="inlineStr">
        <is>
          <t>해리포터와 혼혈왕자 - 3</t>
        </is>
      </c>
    </row>
    <row r="405" ht="12.75" customHeight="1" s="118">
      <c r="B405" s="71" t="n">
        <v>2012</v>
      </c>
      <c r="C405" s="86" t="inlineStr">
        <is>
          <t>이것은 질문입니까?</t>
        </is>
      </c>
      <c r="D405" s="72" t="inlineStr">
        <is>
          <t>해리포터와 혼혈왕자 - 4</t>
        </is>
      </c>
    </row>
    <row r="406" ht="12.75" customHeight="1" s="118">
      <c r="B406" s="71" t="n">
        <v>2012</v>
      </c>
      <c r="C406" s="105" t="n">
        <v>1984</v>
      </c>
      <c r="D406" s="72" t="inlineStr">
        <is>
          <t>해리포터와 죽음의 성물 - 1</t>
        </is>
      </c>
    </row>
    <row r="407" ht="12.75" customHeight="1" s="118">
      <c r="B407" s="71" t="n">
        <v>2012</v>
      </c>
      <c r="C407" s="86" t="inlineStr">
        <is>
          <t>운명이다-노무현자서전</t>
        </is>
      </c>
      <c r="D407" s="72" t="inlineStr">
        <is>
          <t>해리포터와 죽음의 성물 - 2</t>
        </is>
      </c>
    </row>
    <row r="408" ht="12.75" customHeight="1" s="118">
      <c r="B408" s="71" t="n">
        <v>2012</v>
      </c>
      <c r="C408" s="72" t="inlineStr">
        <is>
          <t>죽음을 그리다</t>
        </is>
      </c>
      <c r="D408" s="72" t="inlineStr">
        <is>
          <t>해리포터와 죽음의 성물 - 3</t>
        </is>
      </c>
    </row>
    <row r="409" ht="12.75" customHeight="1" s="118">
      <c r="B409" s="71" t="n">
        <v>2012</v>
      </c>
      <c r="C409" s="72" t="inlineStr">
        <is>
          <t>어떻게 원하는 것을 얻는가</t>
        </is>
      </c>
      <c r="D409" s="72" t="inlineStr">
        <is>
          <t>해리포터와 죽음의 성물 - 4</t>
        </is>
      </c>
    </row>
    <row r="410" ht="12.75" customHeight="1" s="118">
      <c r="B410" s="71" t="n">
        <v>2012</v>
      </c>
      <c r="C410" s="72" t="inlineStr">
        <is>
          <t>젊은 베르테르의 슬픔</t>
        </is>
      </c>
      <c r="D410" s="72" t="inlineStr">
        <is>
          <t>위로</t>
        </is>
      </c>
    </row>
    <row r="411" ht="12.75" customHeight="1" s="118">
      <c r="B411" s="71" t="n">
        <v>2012</v>
      </c>
      <c r="C411" s="72" t="inlineStr">
        <is>
          <t>나쁜 사마리아인들</t>
        </is>
      </c>
      <c r="D411" s="72" t="inlineStr">
        <is>
          <t>소년 짐</t>
        </is>
      </c>
    </row>
    <row r="412" ht="12.75" customHeight="1" s="118">
      <c r="B412" s="71" t="n">
        <v>2012</v>
      </c>
      <c r="C412" s="72" t="inlineStr">
        <is>
          <t>난장이가 쏘아올린 작은 공</t>
        </is>
      </c>
      <c r="D412" s="72" t="inlineStr">
        <is>
          <t>난장이가 쏘아올린 작은 공</t>
        </is>
      </c>
    </row>
    <row r="413" ht="12.75" customHeight="1" s="118">
      <c r="B413" s="71" t="n">
        <v>2012</v>
      </c>
      <c r="C413" s="72" t="inlineStr">
        <is>
          <t>빅 픽쳐</t>
        </is>
      </c>
      <c r="D413" s="72" t="inlineStr">
        <is>
          <t>비둘기</t>
        </is>
      </c>
    </row>
    <row r="414" ht="12.75" customHeight="1" s="118">
      <c r="B414" s="71" t="n">
        <v>2012</v>
      </c>
      <c r="C414" s="86" t="inlineStr">
        <is>
          <t>전날의 섬</t>
        </is>
      </c>
      <c r="D414" s="72" t="inlineStr">
        <is>
          <t>보수를 팝니다</t>
        </is>
      </c>
    </row>
    <row r="415" ht="12.75" customHeight="1" s="118">
      <c r="B415" s="71" t="n">
        <v>2012</v>
      </c>
      <c r="C415" s="10" t="inlineStr">
        <is>
          <t>고우영 삼국지 10</t>
        </is>
      </c>
      <c r="D415" s="106" t="n">
        <v>1984</v>
      </c>
    </row>
    <row r="416" ht="12.75" customHeight="1" s="118">
      <c r="B416" s="71" t="n">
        <v>2012</v>
      </c>
      <c r="C416" s="10" t="inlineStr">
        <is>
          <t>고우영 삼국지 9</t>
        </is>
      </c>
      <c r="D416" s="72" t="inlineStr">
        <is>
          <t>어떻게 원하는 것을 얻는가</t>
        </is>
      </c>
    </row>
    <row r="417" ht="12.75" customHeight="1" s="118">
      <c r="B417" s="71" t="n">
        <v>2012</v>
      </c>
      <c r="C417" s="10" t="inlineStr">
        <is>
          <t>고우영 삼국지 8</t>
        </is>
      </c>
      <c r="D417" s="107" t="inlineStr">
        <is>
          <t>운명이다-노무현자서전</t>
        </is>
      </c>
    </row>
    <row r="418" ht="12.75" customHeight="1" s="118">
      <c r="B418" s="71" t="n">
        <v>2012</v>
      </c>
      <c r="C418" s="10" t="inlineStr">
        <is>
          <t>고우영 삼국지 7</t>
        </is>
      </c>
      <c r="D418" s="72" t="inlineStr">
        <is>
          <t>빅 픽쳐</t>
        </is>
      </c>
    </row>
    <row r="419" ht="12.75" customHeight="1" s="118">
      <c r="B419" s="71" t="n">
        <v>2012</v>
      </c>
      <c r="C419" s="10" t="inlineStr">
        <is>
          <t>고우영 삼국지 6</t>
        </is>
      </c>
      <c r="D419" s="72" t="inlineStr">
        <is>
          <t>이것은 질문입니까?</t>
        </is>
      </c>
    </row>
    <row r="420" ht="12.75" customHeight="1" s="118">
      <c r="B420" s="71" t="n">
        <v>2012</v>
      </c>
      <c r="C420" s="10" t="inlineStr">
        <is>
          <t>고우영 삼국지 5</t>
        </is>
      </c>
      <c r="D420" s="72" t="inlineStr">
        <is>
          <t>1리터의 눈물</t>
        </is>
      </c>
    </row>
    <row r="421" ht="12.75" customHeight="1" s="118">
      <c r="B421" s="71" t="n">
        <v>2012</v>
      </c>
      <c r="C421" s="10" t="inlineStr">
        <is>
          <t>고우영 삼국지 4</t>
        </is>
      </c>
      <c r="D421" s="72" t="inlineStr">
        <is>
          <t>젊은 베르테르의 슬픔</t>
        </is>
      </c>
    </row>
    <row r="422" ht="12.75" customHeight="1" s="118">
      <c r="B422" s="71" t="n">
        <v>2012</v>
      </c>
      <c r="C422" s="10" t="inlineStr">
        <is>
          <t>고우영 삼국지 3</t>
        </is>
      </c>
      <c r="D422" s="72" t="inlineStr">
        <is>
          <t>죽음본능</t>
        </is>
      </c>
    </row>
    <row r="423" ht="12.75" customHeight="1" s="118">
      <c r="B423" s="71" t="n">
        <v>2012</v>
      </c>
      <c r="C423" s="10" t="inlineStr">
        <is>
          <t>고우영 삼국지 2</t>
        </is>
      </c>
      <c r="D423" s="72" t="inlineStr">
        <is>
          <t>너무 친한 친구들</t>
        </is>
      </c>
    </row>
    <row r="424" ht="12.75" customHeight="1" s="118">
      <c r="B424" s="71" t="n">
        <v>2012</v>
      </c>
      <c r="C424" s="10" t="inlineStr">
        <is>
          <t>고우영 삼국지 1</t>
        </is>
      </c>
      <c r="D424" s="10" t="inlineStr">
        <is>
          <t>고우영 삼국지 10</t>
        </is>
      </c>
    </row>
    <row r="425" ht="12.75" customHeight="1" s="118">
      <c r="B425" s="71" t="n">
        <v>2012</v>
      </c>
      <c r="C425" s="72" t="n"/>
      <c r="D425" s="10" t="inlineStr">
        <is>
          <t>고우영 삼국지 9</t>
        </is>
      </c>
    </row>
    <row r="426" ht="12.75" customHeight="1" s="118">
      <c r="B426" s="71" t="n">
        <v>2012</v>
      </c>
      <c r="C426" s="72" t="n"/>
      <c r="D426" s="10" t="inlineStr">
        <is>
          <t>고우영 삼국지 8</t>
        </is>
      </c>
    </row>
    <row r="427" ht="12.75" customHeight="1" s="118">
      <c r="B427" s="71" t="n">
        <v>2012</v>
      </c>
      <c r="C427" s="72" t="n"/>
      <c r="D427" s="10" t="inlineStr">
        <is>
          <t>고우영 삼국지 7</t>
        </is>
      </c>
    </row>
    <row r="428" ht="12.75" customHeight="1" s="118">
      <c r="B428" s="71" t="n">
        <v>2012</v>
      </c>
      <c r="C428" s="72" t="n"/>
      <c r="D428" s="10" t="inlineStr">
        <is>
          <t>고우영 삼국지 6</t>
        </is>
      </c>
    </row>
    <row r="429" ht="12.75" customHeight="1" s="118">
      <c r="B429" s="71" t="n">
        <v>2012</v>
      </c>
      <c r="C429" s="72" t="n"/>
      <c r="D429" s="10" t="inlineStr">
        <is>
          <t>고우영 삼국지 5</t>
        </is>
      </c>
    </row>
    <row r="430" ht="12.75" customHeight="1" s="118">
      <c r="B430" s="71" t="n">
        <v>2012</v>
      </c>
      <c r="C430" s="72" t="n"/>
      <c r="D430" s="10" t="inlineStr">
        <is>
          <t>고우영 삼국지 4</t>
        </is>
      </c>
    </row>
    <row r="431" ht="12.75" customHeight="1" s="118">
      <c r="B431" s="71" t="n">
        <v>2012</v>
      </c>
      <c r="C431" s="72" t="n"/>
      <c r="D431" s="10" t="inlineStr">
        <is>
          <t>고우영 삼국지 3</t>
        </is>
      </c>
    </row>
    <row r="432" ht="12.75" customHeight="1" s="118">
      <c r="B432" s="71" t="n">
        <v>2012</v>
      </c>
      <c r="C432" s="72" t="n"/>
      <c r="D432" s="10" t="inlineStr">
        <is>
          <t>고우영 삼국지 2</t>
        </is>
      </c>
    </row>
    <row r="433" ht="12.75" customHeight="1" s="118">
      <c r="B433" s="71" t="n">
        <v>2012</v>
      </c>
      <c r="C433" s="72" t="n"/>
      <c r="D433" s="10" t="inlineStr">
        <is>
          <t>고우영 삼국지 1</t>
        </is>
      </c>
    </row>
    <row r="434" ht="12.75" customHeight="1" s="118">
      <c r="B434" s="71" t="n">
        <v>2012</v>
      </c>
      <c r="C434" s="72" t="inlineStr">
        <is>
          <t>책은 도끼다</t>
        </is>
      </c>
      <c r="D434" s="72" t="inlineStr">
        <is>
          <t>톨스토이 단편선 - 1</t>
        </is>
      </c>
    </row>
    <row r="435" ht="12.75" customHeight="1" s="118">
      <c r="B435" s="71" t="n">
        <v>2012</v>
      </c>
      <c r="C435" s="72" t="inlineStr">
        <is>
          <t>오만과 편견</t>
        </is>
      </c>
      <c r="D435" s="86" t="inlineStr">
        <is>
          <t>죄와 벌(상)</t>
        </is>
      </c>
    </row>
    <row r="436" ht="12.75" customHeight="1" s="118">
      <c r="B436" s="71" t="n">
        <v>2012</v>
      </c>
      <c r="C436" s="24" t="inlineStr">
        <is>
          <t>화차</t>
        </is>
      </c>
      <c r="D436" s="86" t="inlineStr">
        <is>
          <t>죄와 벌(하)</t>
        </is>
      </c>
    </row>
    <row r="437" ht="12.75" customHeight="1" s="118">
      <c r="B437" s="71" t="n">
        <v>2012</v>
      </c>
      <c r="C437" s="72" t="inlineStr">
        <is>
          <t>오두막 편지</t>
        </is>
      </c>
      <c r="D437" s="86" t="inlineStr">
        <is>
          <t>책은 도끼다</t>
        </is>
      </c>
    </row>
    <row r="438" ht="12.75" customHeight="1" s="118">
      <c r="B438" s="71" t="n">
        <v>2012</v>
      </c>
      <c r="C438" s="72" t="inlineStr">
        <is>
          <t>좀머씨 이야기</t>
        </is>
      </c>
      <c r="D438" s="24" t="inlineStr">
        <is>
          <t>화차</t>
        </is>
      </c>
    </row>
    <row r="439" ht="12.75" customHeight="1" s="118">
      <c r="B439" s="71" t="n">
        <v>2012</v>
      </c>
      <c r="C439" s="73" t="inlineStr">
        <is>
          <t>콘트라베이스</t>
        </is>
      </c>
      <c r="D439" s="15" t="inlineStr">
        <is>
          <t>위험한 관계</t>
        </is>
      </c>
    </row>
    <row r="440" ht="12.75" customHeight="1" s="118">
      <c r="B440" s="71" t="n">
        <v>2012</v>
      </c>
      <c r="C440" s="72" t="inlineStr">
        <is>
          <t>위험한 관계</t>
        </is>
      </c>
      <c r="D440" s="72" t="inlineStr">
        <is>
          <t>시간을 달리는 소녀</t>
        </is>
      </c>
    </row>
    <row r="441" ht="12.75" customHeight="1" s="118">
      <c r="B441" s="71" t="n">
        <v>2012</v>
      </c>
      <c r="C441" s="72" t="inlineStr">
        <is>
          <t>신 - 1</t>
        </is>
      </c>
      <c r="D441" s="107" t="inlineStr">
        <is>
          <t>왜 세계의 절반은 굶주리는가?</t>
        </is>
      </c>
    </row>
    <row r="442" ht="12.75" customHeight="1" s="118">
      <c r="B442" s="71" t="n">
        <v>2012</v>
      </c>
      <c r="C442" s="72" t="inlineStr">
        <is>
          <t>신 - 2</t>
        </is>
      </c>
      <c r="D442" s="107" t="inlineStr">
        <is>
          <t>좀머씨 이야기</t>
        </is>
      </c>
    </row>
    <row r="443" ht="12.75" customHeight="1" s="118">
      <c r="B443" s="71" t="n">
        <v>2012</v>
      </c>
      <c r="C443" s="72" t="inlineStr">
        <is>
          <t>신 - 3</t>
        </is>
      </c>
      <c r="D443" s="107" t="inlineStr">
        <is>
          <t>루브르 박물관</t>
        </is>
      </c>
    </row>
    <row r="444" ht="12.75" customHeight="1" s="118">
      <c r="B444" s="71" t="n">
        <v>2012</v>
      </c>
      <c r="C444" s="72" t="inlineStr">
        <is>
          <t>루브르 박물관</t>
        </is>
      </c>
      <c r="D444" s="73" t="inlineStr">
        <is>
          <t>콘트라베이스</t>
        </is>
      </c>
    </row>
    <row r="445" ht="12.75" customHeight="1" s="118">
      <c r="B445" s="71" t="n">
        <v>2012</v>
      </c>
      <c r="C445" s="72" t="inlineStr">
        <is>
          <t>왜 세계의 절반은 굶주리는가?</t>
        </is>
      </c>
      <c r="D445" s="75" t="inlineStr">
        <is>
          <t>인생의 절반쯤 왔을 때 깨닫게 되는 것들</t>
        </is>
      </c>
    </row>
    <row r="446" ht="12.75" customHeight="1" s="118">
      <c r="B446" s="71" t="n">
        <v>2012</v>
      </c>
      <c r="C446" s="72" t="inlineStr">
        <is>
          <t>그리스인 조르바</t>
        </is>
      </c>
      <c r="D446" s="107" t="inlineStr">
        <is>
          <t>그리스인 조르바</t>
        </is>
      </c>
    </row>
    <row r="447" ht="12.75" customHeight="1" s="118">
      <c r="B447" s="71" t="n">
        <v>2012</v>
      </c>
      <c r="C447" s="108" t="inlineStr">
        <is>
          <t>너무 친한 친구들</t>
        </is>
      </c>
      <c r="D447" s="72" t="inlineStr">
        <is>
          <t>향수</t>
        </is>
      </c>
    </row>
    <row r="448" ht="12.75" customHeight="1" s="118">
      <c r="B448" s="71" t="n">
        <v>2012</v>
      </c>
      <c r="C448" s="24" t="inlineStr">
        <is>
          <t>백범일지</t>
        </is>
      </c>
      <c r="D448" s="15" t="inlineStr">
        <is>
          <t>변신이야기1</t>
        </is>
      </c>
    </row>
    <row r="449" ht="12.75" customHeight="1" s="118">
      <c r="B449" s="71" t="n">
        <v>2012</v>
      </c>
      <c r="C449" s="24" t="inlineStr">
        <is>
          <t>개를 데리고 다니는 부인</t>
        </is>
      </c>
      <c r="D449" s="24" t="inlineStr">
        <is>
          <t>변신이야기2</t>
        </is>
      </c>
    </row>
    <row r="450" ht="12.75" customHeight="1" s="118">
      <c r="B450" s="71" t="n">
        <v>2012</v>
      </c>
      <c r="C450" s="73" t="inlineStr">
        <is>
          <t>구글을 지탱하는 기술</t>
        </is>
      </c>
      <c r="D450" s="24" t="inlineStr">
        <is>
          <t>무량수전 배흘림기둥에 기대서서</t>
        </is>
      </c>
    </row>
    <row r="451" ht="12.75" customHeight="1" s="118">
      <c r="B451" s="71" t="n">
        <v>2012</v>
      </c>
      <c r="C451" s="15" t="inlineStr">
        <is>
          <t>변신이야기1</t>
        </is>
      </c>
      <c r="D451" s="15" t="inlineStr">
        <is>
          <t>안나 카레니나1</t>
        </is>
      </c>
    </row>
    <row r="452" ht="12.75" customHeight="1" s="118">
      <c r="B452" s="71" t="n">
        <v>2012</v>
      </c>
      <c r="C452" s="15" t="inlineStr">
        <is>
          <t>변신이야기2</t>
        </is>
      </c>
      <c r="D452" s="15" t="inlineStr">
        <is>
          <t>안나 카레니나2</t>
        </is>
      </c>
    </row>
    <row r="453" ht="12.75" customHeight="1" s="118">
      <c r="B453" s="71" t="n">
        <v>2012</v>
      </c>
      <c r="C453" s="15" t="inlineStr">
        <is>
          <t>참을수 없는 존재의 가벼움</t>
        </is>
      </c>
      <c r="D453" s="15" t="inlineStr">
        <is>
          <t>안나 카레니나3</t>
        </is>
      </c>
    </row>
    <row r="454" ht="12.75" customHeight="1" s="118">
      <c r="B454" s="71" t="n">
        <v>2012</v>
      </c>
      <c r="C454" s="15" t="inlineStr">
        <is>
          <t>안나 카레니나1</t>
        </is>
      </c>
      <c r="D454" s="24" t="inlineStr">
        <is>
          <t>상식으로 꼭 알아야 할 최고의 명품 최고의 디자이너</t>
        </is>
      </c>
    </row>
    <row r="455" ht="12.75" customHeight="1" s="118">
      <c r="B455" s="71" t="n">
        <v>2012</v>
      </c>
      <c r="C455" s="15" t="inlineStr">
        <is>
          <t>안나 카레니나2</t>
        </is>
      </c>
      <c r="D455" s="72" t="n"/>
    </row>
    <row r="456" ht="12.75" customHeight="1" s="118">
      <c r="B456" s="71" t="n">
        <v>2012</v>
      </c>
      <c r="C456" s="15" t="inlineStr">
        <is>
          <t>안나 카레니나3</t>
        </is>
      </c>
      <c r="D456" s="15" t="n"/>
    </row>
    <row r="457" ht="12.75" customHeight="1" s="118">
      <c r="B457" s="71" t="n">
        <v>2012</v>
      </c>
      <c r="C457" s="15" t="inlineStr">
        <is>
          <t>상식으로 꼭 알아야 할 최고의 명품 최고의 디자이너</t>
        </is>
      </c>
      <c r="D457" s="24" t="n"/>
    </row>
    <row r="458" ht="12.75" customHeight="1" s="118">
      <c r="B458" s="71" t="n">
        <v>2012</v>
      </c>
      <c r="C458" s="24" t="inlineStr">
        <is>
          <t>리딩노트</t>
        </is>
      </c>
      <c r="D458" s="24" t="n"/>
    </row>
    <row r="459" ht="12.75" customHeight="1" s="118">
      <c r="B459" s="71" t="n">
        <v>2012</v>
      </c>
      <c r="C459" s="24" t="inlineStr">
        <is>
          <t>템테이션</t>
        </is>
      </c>
      <c r="D459" s="15" t="n"/>
    </row>
    <row r="460" ht="12.75" customHeight="1" s="118">
      <c r="B460" s="109" t="n">
        <v>2011</v>
      </c>
      <c r="C460" s="110" t="inlineStr">
        <is>
          <t>인생의 절반쯤 왔을 때 깨닫게 되는 것들</t>
        </is>
      </c>
      <c r="D460" s="110" t="inlineStr">
        <is>
          <t>빨간머리 앤</t>
        </is>
      </c>
    </row>
    <row r="461" ht="12.75" customHeight="1" s="118">
      <c r="B461" s="109" t="n">
        <v>2011</v>
      </c>
      <c r="C461" s="111" t="inlineStr">
        <is>
          <t>일기일회</t>
        </is>
      </c>
      <c r="D461" s="110" t="inlineStr">
        <is>
          <t>체사레 보르자 혹은 우아한 냉혹</t>
        </is>
      </c>
    </row>
    <row r="462" ht="12.75" customHeight="1" s="118">
      <c r="B462" s="109" t="n">
        <v>2011</v>
      </c>
      <c r="C462" s="110" t="inlineStr">
        <is>
          <t>달려라 정봉주</t>
        </is>
      </c>
      <c r="D462" s="110" t="inlineStr">
        <is>
          <t>벤자민 버튼의 시간은 거꾸로 간다</t>
        </is>
      </c>
    </row>
    <row r="463" ht="12.75" customHeight="1" s="118">
      <c r="B463" s="109" t="n">
        <v>2011</v>
      </c>
      <c r="C463" s="111" t="inlineStr">
        <is>
          <t>위대한 개츠비</t>
        </is>
      </c>
      <c r="D463" s="110" t="inlineStr">
        <is>
          <t>장미의 이름(상)</t>
        </is>
      </c>
    </row>
    <row r="464" ht="12.75" customHeight="1" s="118">
      <c r="B464" s="109" t="n">
        <v>2011</v>
      </c>
      <c r="C464" s="112" t="inlineStr">
        <is>
          <t>나무</t>
        </is>
      </c>
      <c r="D464" s="110" t="inlineStr">
        <is>
          <t>장미의 이름(하)</t>
        </is>
      </c>
    </row>
    <row r="465" ht="12.75" customHeight="1" s="118">
      <c r="B465" s="109" t="n">
        <v>2011</v>
      </c>
      <c r="C465" s="112" t="inlineStr">
        <is>
          <t>파라다이스 - 2</t>
        </is>
      </c>
      <c r="D465" s="110" t="inlineStr">
        <is>
          <t>위대한 개츠비</t>
        </is>
      </c>
    </row>
    <row r="466" ht="12.75" customHeight="1" s="118">
      <c r="B466" s="109" t="n">
        <v>2011</v>
      </c>
      <c r="C466" s="112" t="inlineStr">
        <is>
          <t>파라다이스 - 1</t>
        </is>
      </c>
      <c r="D466" s="110" t="inlineStr">
        <is>
          <t>스눕</t>
        </is>
      </c>
    </row>
    <row r="467" ht="12.75" customHeight="1" s="118">
      <c r="B467" s="109" t="n">
        <v>2011</v>
      </c>
      <c r="C467" s="112" t="inlineStr">
        <is>
          <t>마미야 형제</t>
        </is>
      </c>
      <c r="D467" s="110" t="inlineStr">
        <is>
          <t>그들이 말하지 않는 23가지</t>
        </is>
      </c>
    </row>
    <row r="468" ht="12.75" customHeight="1" s="118">
      <c r="B468" s="109" t="n">
        <v>2011</v>
      </c>
      <c r="C468" s="112" t="inlineStr">
        <is>
          <t>빨간장화</t>
        </is>
      </c>
      <c r="D468" s="110" t="inlineStr">
        <is>
          <t>사치코 서점</t>
        </is>
      </c>
    </row>
    <row r="469" ht="12.75" customHeight="1" s="118">
      <c r="B469" s="109" t="n">
        <v>2011</v>
      </c>
      <c r="C469" s="112" t="inlineStr">
        <is>
          <t>공중그네</t>
        </is>
      </c>
      <c r="D469" s="110" t="inlineStr">
        <is>
          <t>언더그라운드</t>
        </is>
      </c>
    </row>
    <row r="470" ht="12.75" customHeight="1" s="118">
      <c r="B470" s="109" t="n">
        <v>2011</v>
      </c>
      <c r="C470" s="112" t="inlineStr">
        <is>
          <t>모방범 - 3</t>
        </is>
      </c>
      <c r="D470" s="110" t="inlineStr">
        <is>
          <t>약속된 장소에서</t>
        </is>
      </c>
    </row>
    <row r="471" ht="12.75" customHeight="1" s="118">
      <c r="B471" s="109" t="n">
        <v>2011</v>
      </c>
      <c r="C471" s="112" t="inlineStr">
        <is>
          <t>모방범 - 2</t>
        </is>
      </c>
      <c r="D471" s="110" t="inlineStr">
        <is>
          <t>백설공주에게 죽음을</t>
        </is>
      </c>
    </row>
    <row r="472" ht="12.75" customHeight="1" s="118">
      <c r="B472" s="109" t="n">
        <v>2011</v>
      </c>
      <c r="C472" s="112" t="inlineStr">
        <is>
          <t>모방범 - 1</t>
        </is>
      </c>
      <c r="D472" s="110" t="inlineStr">
        <is>
          <t>흐르는 강물처럼</t>
        </is>
      </c>
    </row>
    <row r="473" ht="12.75" customHeight="1" s="118">
      <c r="B473" s="109" t="n">
        <v>2011</v>
      </c>
      <c r="C473" s="112" t="inlineStr">
        <is>
          <t>1Q84-3</t>
        </is>
      </c>
      <c r="D473" s="110" t="inlineStr">
        <is>
          <t>마음밭에 무얼 심지?</t>
        </is>
      </c>
    </row>
    <row r="474" ht="12.75" customHeight="1" s="118">
      <c r="B474" s="109" t="n">
        <v>2011</v>
      </c>
      <c r="C474" s="112" t="inlineStr">
        <is>
          <t>1Q84-2</t>
        </is>
      </c>
      <c r="D474" s="110" t="inlineStr">
        <is>
          <t>인간의 증명</t>
        </is>
      </c>
    </row>
    <row r="475" ht="12.75" customHeight="1" s="118">
      <c r="B475" s="109" t="n">
        <v>2011</v>
      </c>
      <c r="C475" s="112" t="inlineStr">
        <is>
          <t>1Q84-1</t>
        </is>
      </c>
      <c r="D475" s="110" t="inlineStr">
        <is>
          <t>타샤의 그림 정원</t>
        </is>
      </c>
    </row>
    <row r="476" ht="12.75" customHeight="1" s="118">
      <c r="B476" s="109" t="n">
        <v>2011</v>
      </c>
      <c r="C476" s="112" t="inlineStr">
        <is>
          <t>모모</t>
        </is>
      </c>
      <c r="D476" s="110" t="inlineStr">
        <is>
          <t>종이 여자</t>
        </is>
      </c>
    </row>
    <row r="477" ht="12.75" customHeight="1" s="118">
      <c r="B477" s="109" t="n">
        <v>2011</v>
      </c>
      <c r="C477" s="112" t="inlineStr">
        <is>
          <t>어린왕자</t>
        </is>
      </c>
      <c r="D477" s="110" t="inlineStr">
        <is>
          <t>낯익은 타인들의 도시</t>
        </is>
      </c>
    </row>
    <row r="478" ht="12.75" customHeight="1" s="118">
      <c r="B478" s="109" t="n">
        <v>2011</v>
      </c>
      <c r="C478" s="112" t="inlineStr">
        <is>
          <t>백설공주</t>
        </is>
      </c>
      <c r="D478" s="110" t="inlineStr">
        <is>
          <t>동물농장</t>
        </is>
      </c>
    </row>
    <row r="479" ht="12.75" customHeight="1" s="118">
      <c r="B479" s="109" t="n">
        <v>2011</v>
      </c>
      <c r="C479" s="112" t="inlineStr">
        <is>
          <t>이상한 나라의 앨리스</t>
        </is>
      </c>
      <c r="D479" s="112" t="inlineStr">
        <is>
          <t>모방범 - 3</t>
        </is>
      </c>
    </row>
    <row r="480" ht="12.75" customHeight="1" s="118">
      <c r="B480" s="109" t="n">
        <v>2011</v>
      </c>
      <c r="C480" s="112" t="inlineStr">
        <is>
          <t>눈의 여왕</t>
        </is>
      </c>
      <c r="D480" s="112" t="inlineStr">
        <is>
          <t>모방범 - 2</t>
        </is>
      </c>
    </row>
    <row r="481" ht="12.75" customHeight="1" s="118">
      <c r="B481" s="109" t="n">
        <v>2011</v>
      </c>
      <c r="C481" s="112" t="inlineStr">
        <is>
          <t>피노키오</t>
        </is>
      </c>
      <c r="D481" s="112" t="inlineStr">
        <is>
          <t>모방범 - 1</t>
        </is>
      </c>
    </row>
    <row r="482" ht="12.75" customHeight="1" s="118">
      <c r="B482" s="109" t="n">
        <v>2011</v>
      </c>
      <c r="C482" s="112" t="inlineStr">
        <is>
          <t>소년 짐</t>
        </is>
      </c>
      <c r="D482" s="110" t="inlineStr">
        <is>
          <t>잃어버린 낙원을 찾아서</t>
        </is>
      </c>
    </row>
    <row r="483" ht="12.75" customHeight="1" s="118">
      <c r="B483" s="109" t="n">
        <v>2011</v>
      </c>
      <c r="C483" s="112" t="inlineStr">
        <is>
          <t>백설공주에게 죽음을</t>
        </is>
      </c>
      <c r="D483" s="110" t="inlineStr">
        <is>
          <t>구해줘</t>
        </is>
      </c>
    </row>
    <row r="484" ht="12.75" customHeight="1" s="118">
      <c r="B484" s="109" t="n">
        <v>2011</v>
      </c>
      <c r="C484" s="112" t="inlineStr">
        <is>
          <t>살인자들의 섬</t>
        </is>
      </c>
      <c r="D484" s="110" t="inlineStr">
        <is>
          <t>일기일회</t>
        </is>
      </c>
    </row>
    <row r="485" ht="12.75" customHeight="1" s="118">
      <c r="B485" s="109" t="n">
        <v>2011</v>
      </c>
      <c r="C485" s="112" t="inlineStr">
        <is>
          <t>죽음본능</t>
        </is>
      </c>
      <c r="D485" s="110" t="inlineStr">
        <is>
          <t>헬가 게버트의 그림 동화</t>
        </is>
      </c>
    </row>
    <row r="486" ht="12.75" customHeight="1" s="118">
      <c r="B486" s="109" t="n">
        <v>2011</v>
      </c>
      <c r="C486" s="112" t="inlineStr">
        <is>
          <t>살인의 해석</t>
        </is>
      </c>
      <c r="D486" s="110" t="inlineStr">
        <is>
          <t>마미야 형제</t>
        </is>
      </c>
    </row>
    <row r="487" ht="12.75" customHeight="1" s="118">
      <c r="B487" s="109" t="n">
        <v>2011</v>
      </c>
      <c r="C487" s="112" t="inlineStr">
        <is>
          <t>빵과 장미</t>
        </is>
      </c>
      <c r="D487" s="110" t="inlineStr">
        <is>
          <t>빵과 장미</t>
        </is>
      </c>
    </row>
    <row r="488" ht="12.75" customHeight="1" s="118">
      <c r="B488" s="109" t="n">
        <v>2011</v>
      </c>
      <c r="C488" s="112" t="inlineStr">
        <is>
          <t>모던 팥쥐전</t>
        </is>
      </c>
      <c r="D488" s="110" t="inlineStr">
        <is>
          <t>개를 데리고 다니는 부인</t>
        </is>
      </c>
    </row>
    <row r="489" ht="12.75" customHeight="1" s="118">
      <c r="B489" s="109" t="n">
        <v>2011</v>
      </c>
      <c r="C489" s="112" t="inlineStr">
        <is>
          <t>최근 100년의 세계사</t>
        </is>
      </c>
      <c r="D489" s="110" t="inlineStr">
        <is>
          <t>오두막 편지</t>
        </is>
      </c>
    </row>
    <row r="490" ht="12.75" customHeight="1" s="118">
      <c r="B490" s="109" t="n">
        <v>2011</v>
      </c>
      <c r="C490" s="112" t="inlineStr">
        <is>
          <t>신라 왕조실록</t>
        </is>
      </c>
      <c r="D490" s="110" t="inlineStr">
        <is>
          <t>푸코의 진자-3</t>
        </is>
      </c>
    </row>
    <row r="491" ht="12.75" customHeight="1" s="118">
      <c r="B491" s="109" t="n">
        <v>2011</v>
      </c>
      <c r="C491" s="112" t="inlineStr">
        <is>
          <t>백제 왕조실록</t>
        </is>
      </c>
      <c r="D491" s="110" t="inlineStr">
        <is>
          <t>푸코의 진자-2</t>
        </is>
      </c>
    </row>
    <row r="492" ht="12.75" customHeight="1" s="118">
      <c r="B492" s="109" t="n">
        <v>2011</v>
      </c>
      <c r="C492" s="112" t="inlineStr">
        <is>
          <t>고구려 왕조실록</t>
        </is>
      </c>
      <c r="D492" s="110" t="inlineStr">
        <is>
          <t>푸코의 진자-1</t>
        </is>
      </c>
    </row>
    <row r="493" ht="12.75" customHeight="1" s="118">
      <c r="B493" s="109" t="n">
        <v>2011</v>
      </c>
      <c r="C493" s="112" t="inlineStr">
        <is>
          <t>신 - 3</t>
        </is>
      </c>
      <c r="D493" s="110" t="n"/>
    </row>
    <row r="494" ht="12.75" customHeight="1" s="118">
      <c r="B494" s="109" t="n">
        <v>2011</v>
      </c>
      <c r="C494" s="112" t="inlineStr">
        <is>
          <t>신 - 2</t>
        </is>
      </c>
      <c r="D494" s="110" t="inlineStr">
        <is>
          <t>마당 깊은 집</t>
        </is>
      </c>
    </row>
    <row r="495" ht="12.75" customHeight="1" s="118">
      <c r="B495" s="109" t="n">
        <v>2011</v>
      </c>
      <c r="C495" s="112" t="inlineStr">
        <is>
          <t>신 - 1</t>
        </is>
      </c>
      <c r="D495" s="110" t="inlineStr">
        <is>
          <t>달과 6펜스</t>
        </is>
      </c>
    </row>
    <row r="496" ht="12.75" customHeight="1" s="118">
      <c r="B496" s="109" t="n">
        <v>2011</v>
      </c>
      <c r="C496" s="112" t="inlineStr">
        <is>
          <t>종이 여자</t>
        </is>
      </c>
      <c r="D496" s="112" t="inlineStr">
        <is>
          <t>신 - 3</t>
        </is>
      </c>
    </row>
    <row r="497" ht="12.75" customHeight="1" s="118">
      <c r="B497" s="109" t="n">
        <v>2011</v>
      </c>
      <c r="C497" s="112" t="inlineStr">
        <is>
          <t>구해줘</t>
        </is>
      </c>
      <c r="D497" s="112" t="inlineStr">
        <is>
          <t>신 - 2</t>
        </is>
      </c>
    </row>
    <row r="498" ht="12.75" customHeight="1" s="118">
      <c r="B498" s="109" t="n">
        <v>2011</v>
      </c>
      <c r="C498" s="112" t="inlineStr">
        <is>
          <t>돈 까밀로와 빼뽀네</t>
        </is>
      </c>
      <c r="D498" s="112" t="inlineStr">
        <is>
          <t>신 - 1</t>
        </is>
      </c>
    </row>
    <row r="499" ht="12.75" customHeight="1" s="118">
      <c r="B499" s="109" t="n">
        <v>2011</v>
      </c>
      <c r="C499" s="112" t="inlineStr">
        <is>
          <t>마음을 리셋할 때 읽으면 좋은 71가지 어드바이스</t>
        </is>
      </c>
      <c r="D499" s="113" t="inlineStr">
        <is>
          <t>해리포터와 마법사의 돌 - 1</t>
        </is>
      </c>
    </row>
    <row r="500" ht="12.75" customHeight="1" s="118">
      <c r="B500" s="109" t="n">
        <v>2011</v>
      </c>
      <c r="C500" s="112" t="inlineStr">
        <is>
          <t>헬가 게버트의 그림 동화</t>
        </is>
      </c>
      <c r="D500" s="113" t="inlineStr">
        <is>
          <t>해리포터와 마법사의 돌 - 2</t>
        </is>
      </c>
    </row>
    <row r="501" ht="12.75" customHeight="1" s="118">
      <c r="B501" s="109" t="n">
        <v>2011</v>
      </c>
      <c r="C501" s="112" t="inlineStr">
        <is>
          <t>달팽이 식당</t>
        </is>
      </c>
      <c r="D501" s="113" t="inlineStr">
        <is>
          <t>해리포터와 비밀의 방 - 1</t>
        </is>
      </c>
    </row>
    <row r="502" ht="12.75" customHeight="1" s="118">
      <c r="B502" s="109" t="n">
        <v>2011</v>
      </c>
      <c r="C502" s="112" t="inlineStr">
        <is>
          <t>인간의 증명</t>
        </is>
      </c>
      <c r="D502" s="113" t="inlineStr">
        <is>
          <t>해리포터와 비밀의 방 - 2</t>
        </is>
      </c>
    </row>
    <row r="503" ht="12.75" customHeight="1" s="118">
      <c r="B503" s="109" t="n">
        <v>2011</v>
      </c>
      <c r="C503" s="112" t="inlineStr">
        <is>
          <t>사치코 서점</t>
        </is>
      </c>
      <c r="D503" s="113" t="inlineStr">
        <is>
          <t>해리포터와 아즈카반의 죄수 - 1</t>
        </is>
      </c>
    </row>
    <row r="504" ht="12.75" customHeight="1" s="118">
      <c r="B504" s="109" t="n">
        <v>2011</v>
      </c>
      <c r="C504" s="112" t="inlineStr">
        <is>
          <t>약속된 장소에서</t>
        </is>
      </c>
      <c r="D504" s="113" t="inlineStr">
        <is>
          <t>해리포터와 아즈카반의 죄수 - 2</t>
        </is>
      </c>
    </row>
    <row r="505" ht="12.75" customHeight="1" s="118">
      <c r="B505" s="109" t="n">
        <v>2011</v>
      </c>
      <c r="C505" s="112" t="inlineStr">
        <is>
          <t>언더그라운드</t>
        </is>
      </c>
      <c r="D505" s="110" t="inlineStr">
        <is>
          <t>달려라 정봉주</t>
        </is>
      </c>
    </row>
    <row r="506" ht="12.75" customHeight="1" s="118">
      <c r="B506" s="109" t="n">
        <v>2011</v>
      </c>
      <c r="C506" s="112" t="inlineStr">
        <is>
          <t>마음밭에 무얼 심지?</t>
        </is>
      </c>
      <c r="D506" s="110" t="inlineStr">
        <is>
          <t>해리포터와 불의 잔 - 4</t>
        </is>
      </c>
    </row>
    <row r="507" ht="12.75" customHeight="1" s="118">
      <c r="B507" s="109" t="n">
        <v>2011</v>
      </c>
      <c r="C507" s="112" t="inlineStr">
        <is>
          <t>파페포포 메모리즈</t>
        </is>
      </c>
      <c r="D507" s="110" t="inlineStr">
        <is>
          <t>해리포터와 불의 잔 - 3</t>
        </is>
      </c>
    </row>
    <row r="508" ht="12.75" customHeight="1" s="118">
      <c r="B508" s="109" t="n">
        <v>2011</v>
      </c>
      <c r="C508" s="112" t="inlineStr">
        <is>
          <t>연을 쫓는 아이</t>
        </is>
      </c>
      <c r="D508" s="114" t="inlineStr">
        <is>
          <t>해리포터와 불의 잔 - 2</t>
        </is>
      </c>
    </row>
    <row r="509" ht="12.75" customHeight="1" s="118">
      <c r="B509" s="109" t="n">
        <v>2011</v>
      </c>
      <c r="C509" s="112" t="inlineStr">
        <is>
          <t>청소부 밥</t>
        </is>
      </c>
      <c r="D509" s="114" t="inlineStr">
        <is>
          <t>해리포터와 불의 잔 - 1</t>
        </is>
      </c>
    </row>
    <row r="510" ht="12.75" customHeight="1" s="118">
      <c r="B510" s="109" t="n">
        <v>2011</v>
      </c>
      <c r="C510" s="112" t="inlineStr">
        <is>
          <t>인간의 두얼굴 : 내면의 진실</t>
        </is>
      </c>
      <c r="D510" s="114" t="n"/>
    </row>
    <row r="511" ht="12.75" customHeight="1" s="118">
      <c r="B511" s="109" t="n">
        <v>2011</v>
      </c>
      <c r="C511" s="112" t="inlineStr">
        <is>
          <t>인간의 두얼굴 : 외부 조종자</t>
        </is>
      </c>
      <c r="D511" s="114" t="n"/>
    </row>
    <row r="512" ht="12.75" customHeight="1" s="118">
      <c r="B512" s="109" t="n">
        <v>2011</v>
      </c>
      <c r="C512" s="112" t="inlineStr">
        <is>
          <t>바우돌리노(하)</t>
        </is>
      </c>
      <c r="D512" s="114" t="n"/>
    </row>
    <row r="513" ht="12.75" customHeight="1" s="118">
      <c r="B513" s="109" t="n">
        <v>2011</v>
      </c>
      <c r="C513" s="112" t="inlineStr">
        <is>
          <t>바우돌리노(상)</t>
        </is>
      </c>
      <c r="D513" s="114" t="n"/>
    </row>
    <row r="514" ht="12.75" customHeight="1" s="118">
      <c r="B514" s="109" t="n">
        <v>2011</v>
      </c>
      <c r="C514" s="112" t="inlineStr">
        <is>
          <t>모비딕</t>
        </is>
      </c>
      <c r="D514" s="114" t="n"/>
    </row>
    <row r="515" ht="12.75" customHeight="1" s="118">
      <c r="B515" s="71" t="n">
        <v>2010</v>
      </c>
      <c r="C515" s="10" t="inlineStr">
        <is>
          <t>낯익은 타인들의 도시</t>
        </is>
      </c>
      <c r="D515" s="10" t="inlineStr">
        <is>
          <t>파라다이스 - 2</t>
        </is>
      </c>
    </row>
    <row r="516" ht="12.75" customHeight="1" s="118">
      <c r="B516" s="71" t="n">
        <v>2010</v>
      </c>
      <c r="C516" s="10" t="inlineStr">
        <is>
          <t>만들어진 신</t>
        </is>
      </c>
      <c r="D516" s="10" t="inlineStr">
        <is>
          <t>파라다이스 - 1</t>
        </is>
      </c>
    </row>
    <row r="517" ht="12.75" customHeight="1" s="118">
      <c r="B517" s="71" t="n">
        <v>2010</v>
      </c>
      <c r="C517" s="10" t="inlineStr">
        <is>
          <t>미하엘 쾰마이어의 그리스 로마 신화</t>
        </is>
      </c>
      <c r="D517" s="10" t="inlineStr">
        <is>
          <t>백야행 - 3</t>
        </is>
      </c>
    </row>
    <row r="518" ht="12.75" customHeight="1" s="118">
      <c r="B518" s="71" t="n">
        <v>2010</v>
      </c>
      <c r="C518" s="10" t="inlineStr">
        <is>
          <t>마당 깊은 집</t>
        </is>
      </c>
      <c r="D518" s="10" t="inlineStr">
        <is>
          <t>백야행 - 2</t>
        </is>
      </c>
    </row>
    <row r="519" ht="12.75" customHeight="1" s="118">
      <c r="B519" s="71" t="n">
        <v>2010</v>
      </c>
      <c r="C519" s="10" t="inlineStr">
        <is>
          <t>사진이 즐거워지는 사진책</t>
        </is>
      </c>
      <c r="D519" s="10" t="inlineStr">
        <is>
          <t>백야행 - 1</t>
        </is>
      </c>
    </row>
    <row r="520" ht="12.75" customHeight="1" s="118">
      <c r="B520" s="71" t="n">
        <v>2010</v>
      </c>
      <c r="C520" s="10" t="inlineStr">
        <is>
          <t>그러나 나는 살아가리라</t>
        </is>
      </c>
      <c r="D520" s="75" t="inlineStr">
        <is>
          <t>소울메이트</t>
        </is>
      </c>
    </row>
    <row r="521" ht="12.75" customHeight="1" s="118">
      <c r="B521" s="71" t="n">
        <v>2010</v>
      </c>
      <c r="C521" s="10" t="inlineStr">
        <is>
          <t>무량수전 배흘림기둥에 기대서서</t>
        </is>
      </c>
      <c r="D521" s="75" t="inlineStr">
        <is>
          <t>어린왕자</t>
        </is>
      </c>
    </row>
    <row r="522" ht="12.75" customHeight="1" s="118">
      <c r="B522" s="71" t="n">
        <v>2010</v>
      </c>
      <c r="C522" s="10" t="inlineStr">
        <is>
          <t>타샤의 그림 정원</t>
        </is>
      </c>
      <c r="D522" s="75" t="inlineStr">
        <is>
          <t>대화의 기술 107의 법칙</t>
        </is>
      </c>
    </row>
    <row r="523" ht="12.75" customHeight="1" s="118">
      <c r="B523" s="71" t="n">
        <v>2010</v>
      </c>
      <c r="C523" s="10" t="inlineStr">
        <is>
          <t>잃어버린 낙원을 찾아서</t>
        </is>
      </c>
      <c r="D523" s="75" t="inlineStr">
        <is>
          <t>달팽이 식당</t>
        </is>
      </c>
    </row>
    <row r="524" ht="12.75" customHeight="1" s="118">
      <c r="B524" s="71" t="n">
        <v>2010</v>
      </c>
      <c r="C524" s="10" t="inlineStr">
        <is>
          <t>동물농장</t>
        </is>
      </c>
      <c r="D524" s="75" t="inlineStr">
        <is>
          <t>공중그네</t>
        </is>
      </c>
    </row>
    <row r="525" ht="12.75" customHeight="1" s="118">
      <c r="B525" s="71" t="n">
        <v>2010</v>
      </c>
      <c r="C525" s="29" t="inlineStr">
        <is>
          <t>브리다</t>
        </is>
      </c>
      <c r="D525" s="75" t="inlineStr">
        <is>
          <t>빨간장화</t>
        </is>
      </c>
    </row>
    <row r="526" ht="12.75" customHeight="1" s="118">
      <c r="B526" s="71" t="n">
        <v>2010</v>
      </c>
      <c r="C526" s="10" t="inlineStr">
        <is>
          <t>베로니카, 죽기로 결심하다</t>
        </is>
      </c>
      <c r="D526" s="75" t="inlineStr">
        <is>
          <t>연금술사</t>
        </is>
      </c>
    </row>
    <row r="527" ht="12.75" customHeight="1" s="118">
      <c r="B527" s="71" t="n">
        <v>2010</v>
      </c>
      <c r="C527" s="10" t="inlineStr">
        <is>
          <t>11분</t>
        </is>
      </c>
      <c r="D527" s="75" t="inlineStr">
        <is>
          <t>살인의 해석</t>
        </is>
      </c>
    </row>
    <row r="528" ht="12.75" customHeight="1" s="118">
      <c r="B528" s="71" t="n">
        <v>2010</v>
      </c>
      <c r="C528" s="10" t="inlineStr">
        <is>
          <t>연금술사</t>
        </is>
      </c>
      <c r="D528" s="75" t="inlineStr">
        <is>
          <t>상실의 시대</t>
        </is>
      </c>
    </row>
    <row r="529" ht="12.75" customHeight="1" s="118">
      <c r="B529" s="71" t="n">
        <v>2010</v>
      </c>
      <c r="C529" s="10" t="inlineStr">
        <is>
          <t>흐르는 강물처럼</t>
        </is>
      </c>
      <c r="D529" s="75" t="inlineStr">
        <is>
          <t>칭찬은 고래도 춤추게 한다</t>
        </is>
      </c>
    </row>
    <row r="530" ht="12.75" customHeight="1" s="118">
      <c r="B530" s="71" t="n">
        <v>2010</v>
      </c>
      <c r="C530" s="10" t="inlineStr">
        <is>
          <t>상실의 시대</t>
        </is>
      </c>
      <c r="D530" s="75" t="inlineStr">
        <is>
          <t>누가 내 치즈를 옮겼을까</t>
        </is>
      </c>
    </row>
    <row r="531" ht="12.75" customHeight="1" s="118">
      <c r="B531" s="71" t="n">
        <v>2010</v>
      </c>
      <c r="C531" s="10" t="inlineStr">
        <is>
          <t>내 영혼이 따뜻했던 날들</t>
        </is>
      </c>
      <c r="D531" s="75" t="inlineStr">
        <is>
          <t>모던 팥쥐전</t>
        </is>
      </c>
    </row>
    <row r="532" ht="12.75" customHeight="1" s="118">
      <c r="B532" s="71" t="n">
        <v>2010</v>
      </c>
      <c r="C532" s="10" t="inlineStr">
        <is>
          <t>칭찬은 고래도 춤추게 한다</t>
        </is>
      </c>
      <c r="D532" s="75" t="inlineStr">
        <is>
          <t>11분</t>
        </is>
      </c>
    </row>
    <row r="533" ht="12.75" customHeight="1" s="118">
      <c r="B533" s="71" t="n">
        <v>2010</v>
      </c>
      <c r="C533" s="10" t="inlineStr">
        <is>
          <t>마시멜로 이야기</t>
        </is>
      </c>
      <c r="D533" s="10" t="inlineStr">
        <is>
          <t>1Q84-3</t>
        </is>
      </c>
    </row>
    <row r="534" ht="12.75" customHeight="1" s="118">
      <c r="B534" s="71" t="n">
        <v>2010</v>
      </c>
      <c r="C534" s="10" t="inlineStr">
        <is>
          <t>누가 내 치즈를 옮겼을까</t>
        </is>
      </c>
      <c r="D534" s="10" t="inlineStr">
        <is>
          <t>1Q84-2</t>
        </is>
      </c>
    </row>
    <row r="535" ht="12.75" customHeight="1" s="118">
      <c r="B535" s="71" t="n">
        <v>2010</v>
      </c>
      <c r="C535" s="10" t="inlineStr">
        <is>
          <t>그들이 말하지 않는 23가지</t>
        </is>
      </c>
      <c r="D535" s="10" t="inlineStr">
        <is>
          <t>1Q84-1</t>
        </is>
      </c>
    </row>
    <row r="536" ht="12.75" customHeight="1" s="118">
      <c r="B536" s="71" t="n">
        <v>2010</v>
      </c>
      <c r="C536" s="10" t="inlineStr">
        <is>
          <t>스눕</t>
        </is>
      </c>
      <c r="D536" s="75" t="inlineStr">
        <is>
          <t>연을 쫓는 아이</t>
        </is>
      </c>
    </row>
    <row r="537" ht="12.75" customHeight="1" s="118">
      <c r="B537" s="71" t="n">
        <v>2010</v>
      </c>
      <c r="C537" s="10" t="inlineStr">
        <is>
          <t>왜 도덕인가</t>
        </is>
      </c>
      <c r="D537" s="75" t="inlineStr">
        <is>
          <t>인간의 두얼굴 : 내면의 진실</t>
        </is>
      </c>
    </row>
    <row r="538" ht="12.75" customHeight="1" s="118">
      <c r="B538" s="71" t="n">
        <v>2010</v>
      </c>
      <c r="C538" s="10" t="inlineStr">
        <is>
          <t>정의란 무엇인가</t>
        </is>
      </c>
      <c r="D538" s="75" t="inlineStr">
        <is>
          <t>인간의 두얼굴 : 외부 조종자</t>
        </is>
      </c>
    </row>
    <row r="539" ht="12.75" customHeight="1" s="118">
      <c r="B539" s="71" t="n">
        <v>2010</v>
      </c>
      <c r="C539" s="10" t="inlineStr">
        <is>
          <t>개를 데리고 다니는 부인</t>
        </is>
      </c>
      <c r="D539" s="75" t="inlineStr">
        <is>
          <t>마시멜로 이야기</t>
        </is>
      </c>
    </row>
    <row r="540" ht="12.75" customHeight="1" s="118">
      <c r="B540" s="71" t="n">
        <v>2010</v>
      </c>
      <c r="C540" s="10" t="inlineStr">
        <is>
          <t>죄와 벌(하)</t>
        </is>
      </c>
      <c r="D540" s="75" t="inlineStr">
        <is>
          <t>모모</t>
        </is>
      </c>
    </row>
    <row r="541" ht="12.75" customHeight="1" s="118">
      <c r="B541" s="71" t="n">
        <v>2010</v>
      </c>
      <c r="C541" s="10" t="inlineStr">
        <is>
          <t>죄와 벌(상)</t>
        </is>
      </c>
      <c r="D541" s="75" t="inlineStr">
        <is>
          <t>한순간 바람이 되어라 - 3</t>
        </is>
      </c>
    </row>
    <row r="542" ht="12.75" customHeight="1" s="118">
      <c r="B542" s="71" t="n">
        <v>2010</v>
      </c>
      <c r="C542" s="10" t="inlineStr">
        <is>
          <t>장미의 이름(하)</t>
        </is>
      </c>
      <c r="D542" s="122" t="inlineStr">
        <is>
          <t>한순간 바람이 되어라 - 2</t>
        </is>
      </c>
    </row>
    <row r="543" ht="12.75" customHeight="1" s="118">
      <c r="B543" s="71" t="n">
        <v>2010</v>
      </c>
      <c r="C543" s="10" t="inlineStr">
        <is>
          <t>장미의 이름(상)</t>
        </is>
      </c>
      <c r="D543" s="75" t="inlineStr">
        <is>
          <t>한순간 바람이 되어라 - 1</t>
        </is>
      </c>
    </row>
    <row r="544" ht="12.75" customHeight="1" s="118">
      <c r="B544" s="71" t="n">
        <v>2010</v>
      </c>
      <c r="C544" s="10" t="inlineStr">
        <is>
          <t>푸코의 진자-3</t>
        </is>
      </c>
      <c r="D544" s="75" t="inlineStr">
        <is>
          <t>살인자들의 섬</t>
        </is>
      </c>
    </row>
    <row r="545" ht="12.75" customHeight="1" s="118">
      <c r="B545" s="71" t="n">
        <v>2010</v>
      </c>
      <c r="C545" s="10" t="inlineStr">
        <is>
          <t>푸코의 진자-2</t>
        </is>
      </c>
      <c r="D545" s="75" t="inlineStr">
        <is>
          <t>미하엘 쾰마이어의 그리스 로마 신화</t>
        </is>
      </c>
    </row>
    <row r="546" ht="12.75" customHeight="1" s="118">
      <c r="B546" s="71" t="n">
        <v>2010</v>
      </c>
      <c r="C546" s="10" t="inlineStr">
        <is>
          <t>푸코의 진자-1</t>
        </is>
      </c>
      <c r="D546" s="75" t="inlineStr">
        <is>
          <t>당신의 주말은 몇개 입니까</t>
        </is>
      </c>
    </row>
    <row r="547" ht="12.75" customHeight="1" s="118">
      <c r="B547" s="71" t="n">
        <v>2010</v>
      </c>
      <c r="C547" s="10" t="inlineStr">
        <is>
          <t>카산드라의 거울 - 2</t>
        </is>
      </c>
      <c r="D547" s="75" t="inlineStr">
        <is>
          <t>반짝 반짝 빛나는</t>
        </is>
      </c>
    </row>
    <row r="548" ht="12.75" customHeight="1" s="118">
      <c r="B548" s="71" t="n">
        <v>2010</v>
      </c>
      <c r="C548" s="10" t="inlineStr">
        <is>
          <t>카산드라의 거울 - 1</t>
        </is>
      </c>
      <c r="D548" s="75" t="inlineStr">
        <is>
          <t>베로니카, 죽기로 결심하다</t>
        </is>
      </c>
    </row>
    <row r="549" ht="12.75" customHeight="1" s="118">
      <c r="B549" s="71" t="n">
        <v>2010</v>
      </c>
      <c r="C549" s="10" t="inlineStr">
        <is>
          <t>한순간 바람이 되어라 - 3</t>
        </is>
      </c>
      <c r="D549" s="75" t="inlineStr">
        <is>
          <t>매일 읽는 긍정의 한 줄</t>
        </is>
      </c>
    </row>
    <row r="550" ht="12.75" customHeight="1" s="118">
      <c r="B550" s="71" t="n">
        <v>2010</v>
      </c>
      <c r="C550" s="10" t="inlineStr">
        <is>
          <t>한순간 바람이 되어라 - 2</t>
        </is>
      </c>
      <c r="D550" s="75" t="inlineStr">
        <is>
          <t>규장각 각신들의 나날 - 2</t>
        </is>
      </c>
    </row>
    <row r="551" ht="12.75" customHeight="1" s="118">
      <c r="B551" s="71" t="n">
        <v>2010</v>
      </c>
      <c r="C551" s="10" t="inlineStr">
        <is>
          <t>한순간 바람이 되어라 - 1</t>
        </is>
      </c>
      <c r="D551" s="75" t="inlineStr">
        <is>
          <t>규장각 각신들의 나날 - 1</t>
        </is>
      </c>
    </row>
    <row r="552" ht="12.75" customHeight="1" s="118">
      <c r="B552" s="71" t="n">
        <v>2010</v>
      </c>
      <c r="C552" s="10" t="inlineStr">
        <is>
          <t>규장각 각신들의 나날 - 2</t>
        </is>
      </c>
      <c r="D552" s="75" t="inlineStr">
        <is>
          <t>성균관 유생들의 나날 - 2</t>
        </is>
      </c>
    </row>
    <row r="553" ht="12.75" customHeight="1" s="118">
      <c r="B553" s="71" t="n">
        <v>2010</v>
      </c>
      <c r="C553" s="10" t="inlineStr">
        <is>
          <t>규장각 각신들의 나날 - 1</t>
        </is>
      </c>
      <c r="D553" s="75" t="inlineStr">
        <is>
          <t>성균관 유생들의 나날 - 1</t>
        </is>
      </c>
    </row>
    <row r="554" ht="12.75" customHeight="1" s="118">
      <c r="B554" s="71" t="n">
        <v>2010</v>
      </c>
      <c r="C554" s="10" t="inlineStr">
        <is>
          <t>성균관 유생들의 나날 - 2</t>
        </is>
      </c>
      <c r="D554" s="75" t="inlineStr">
        <is>
          <t>내 영혼이 따뜻했던 날들</t>
        </is>
      </c>
    </row>
    <row r="555" ht="12.75" customHeight="1" s="118">
      <c r="B555" s="71" t="n">
        <v>2010</v>
      </c>
      <c r="C555" s="10" t="inlineStr">
        <is>
          <t>성균관 유생들의 나날 - 1</t>
        </is>
      </c>
      <c r="D555" s="75" t="inlineStr">
        <is>
          <t>브리다</t>
        </is>
      </c>
    </row>
    <row r="556" ht="12.75" customHeight="1" s="118">
      <c r="B556" s="71" t="n">
        <v>2010</v>
      </c>
      <c r="C556" s="44" t="n"/>
      <c r="D556" s="75" t="inlineStr">
        <is>
          <t>오르세 미술관</t>
        </is>
      </c>
    </row>
    <row r="557" ht="12.75" customHeight="1" s="118">
      <c r="B557" s="71" t="n">
        <v>2010</v>
      </c>
      <c r="C557" s="44" t="n"/>
      <c r="D557" s="75" t="inlineStr">
        <is>
          <t>정의란 무엇인가</t>
        </is>
      </c>
    </row>
    <row r="558" ht="12.75" customHeight="1" s="118">
      <c r="B558" s="71" t="n">
        <v>2010</v>
      </c>
      <c r="C558" s="44" t="n"/>
      <c r="D558" s="75" t="inlineStr">
        <is>
          <t>바우돌리노(하)</t>
        </is>
      </c>
    </row>
    <row r="559" ht="12.75" customHeight="1" s="118">
      <c r="B559" s="71" t="n">
        <v>2010</v>
      </c>
      <c r="C559" s="44" t="n"/>
      <c r="D559" s="75" t="inlineStr">
        <is>
          <t>바우돌리노(상)</t>
        </is>
      </c>
    </row>
    <row r="560" ht="12.75" customHeight="1" s="118">
      <c r="B560" s="71" t="n">
        <v>2010</v>
      </c>
      <c r="C560" s="44" t="n"/>
      <c r="D560" s="10" t="n"/>
    </row>
    <row r="561" ht="12.75" customHeight="1" s="118">
      <c r="B561" s="71" t="n">
        <v>2010</v>
      </c>
      <c r="C561" s="44" t="n"/>
      <c r="D561" s="10" t="inlineStr">
        <is>
          <t>백설공주</t>
        </is>
      </c>
    </row>
    <row r="562" ht="12.75" customHeight="1" s="118">
      <c r="B562" s="71" t="n">
        <v>2010</v>
      </c>
      <c r="C562" s="44" t="n"/>
      <c r="D562" s="11" t="inlineStr">
        <is>
          <t>눈의 여왕</t>
        </is>
      </c>
    </row>
    <row r="563" ht="12.75" customHeight="1" s="118">
      <c r="B563" s="109" t="inlineStr">
        <is>
          <t>연도불명</t>
        </is>
      </c>
      <c r="C563" s="111" t="n"/>
      <c r="D563" s="110" t="inlineStr">
        <is>
          <t>진주귀고리 소녀</t>
        </is>
      </c>
    </row>
    <row r="564" ht="12.75" customHeight="1" s="118">
      <c r="B564" s="109" t="inlineStr">
        <is>
          <t>연도불명</t>
        </is>
      </c>
      <c r="C564" s="111" t="n"/>
      <c r="D564" s="110" t="inlineStr">
        <is>
          <t>매일 읽는 긍정의 한 줄</t>
        </is>
      </c>
    </row>
    <row r="565" ht="12.75" customHeight="1" s="118">
      <c r="B565" s="109" t="inlineStr">
        <is>
          <t>연도불명</t>
        </is>
      </c>
      <c r="C565" s="111" t="n"/>
      <c r="D565" s="110" t="inlineStr">
        <is>
          <t>화성에서 온 남자 금성에서 온 여자</t>
        </is>
      </c>
    </row>
    <row r="566" ht="12.75" customHeight="1" s="118">
      <c r="B566" s="109" t="inlineStr">
        <is>
          <t>연도불명</t>
        </is>
      </c>
      <c r="C566" s="111" t="n"/>
      <c r="D566" s="110" t="inlineStr">
        <is>
          <t>샐러드&amp;소스 만들기</t>
        </is>
      </c>
    </row>
    <row r="567" ht="12.75" customHeight="1" s="118">
      <c r="B567" s="109" t="inlineStr">
        <is>
          <t>연도불명</t>
        </is>
      </c>
      <c r="C567" s="111" t="n"/>
      <c r="D567" s="110" t="inlineStr">
        <is>
          <t>카산드라의 거울 - 2</t>
        </is>
      </c>
    </row>
    <row r="568" ht="12.75" customHeight="1" s="118">
      <c r="B568" s="109" t="inlineStr">
        <is>
          <t>연도불명</t>
        </is>
      </c>
      <c r="C568" s="111" t="n"/>
      <c r="D568" s="110" t="inlineStr">
        <is>
          <t>카산드라의 거울 - 1</t>
        </is>
      </c>
    </row>
    <row r="569" ht="12.75" customHeight="1" s="118">
      <c r="B569" s="109" t="inlineStr">
        <is>
          <t>연도불명</t>
        </is>
      </c>
      <c r="C569" s="111" t="n"/>
      <c r="D569" s="110" t="inlineStr">
        <is>
          <t>나무</t>
        </is>
      </c>
    </row>
    <row r="570" ht="12.75" customHeight="1" s="118">
      <c r="B570" s="109" t="inlineStr">
        <is>
          <t>연도불명</t>
        </is>
      </c>
      <c r="C570" s="111" t="n"/>
      <c r="D570" s="110" t="inlineStr">
        <is>
          <t>파라다이스 - 2</t>
        </is>
      </c>
    </row>
    <row r="571" ht="12.75" customHeight="1" s="118">
      <c r="B571" s="109" t="inlineStr">
        <is>
          <t>연도불명</t>
        </is>
      </c>
      <c r="C571" s="111" t="n"/>
      <c r="D571" s="110" t="inlineStr">
        <is>
          <t>파라다이스 - 1</t>
        </is>
      </c>
    </row>
    <row r="572" ht="12.75" customHeight="1" s="118">
      <c r="B572" s="109" t="inlineStr">
        <is>
          <t>연도불명</t>
        </is>
      </c>
      <c r="C572" s="111" t="n"/>
      <c r="D572" s="110" t="inlineStr">
        <is>
          <t>빨간장화</t>
        </is>
      </c>
    </row>
    <row r="573" ht="12.75" customHeight="1" s="118">
      <c r="B573" s="109" t="inlineStr">
        <is>
          <t>연도불명</t>
        </is>
      </c>
      <c r="C573" s="111" t="n"/>
      <c r="D573" s="110" t="inlineStr">
        <is>
          <t>공중그네</t>
        </is>
      </c>
    </row>
    <row r="574" ht="12.75" customHeight="1" s="118">
      <c r="B574" s="109" t="inlineStr">
        <is>
          <t>연도불명</t>
        </is>
      </c>
      <c r="C574" s="111" t="n"/>
      <c r="D574" s="110" t="inlineStr">
        <is>
          <t>모방범 - 3</t>
        </is>
      </c>
    </row>
    <row r="575" ht="12.75" customHeight="1" s="118">
      <c r="B575" s="109" t="inlineStr">
        <is>
          <t>연도불명</t>
        </is>
      </c>
      <c r="C575" s="111" t="n"/>
      <c r="D575" s="110" t="inlineStr">
        <is>
          <t>모방범 - 2</t>
        </is>
      </c>
    </row>
    <row r="576" ht="12.75" customHeight="1" s="118">
      <c r="B576" s="109" t="inlineStr">
        <is>
          <t>연도불명</t>
        </is>
      </c>
      <c r="C576" s="111" t="n"/>
      <c r="D576" s="110" t="inlineStr">
        <is>
          <t>모방범 - 1</t>
        </is>
      </c>
    </row>
    <row r="577" ht="12.75" customHeight="1" s="118">
      <c r="B577" s="109" t="inlineStr">
        <is>
          <t>연도불명</t>
        </is>
      </c>
      <c r="C577" s="111" t="n"/>
      <c r="D577" s="110" t="inlineStr">
        <is>
          <t>1Q84-3</t>
        </is>
      </c>
    </row>
    <row r="578" ht="12.75" customHeight="1" s="118">
      <c r="B578" s="109" t="inlineStr">
        <is>
          <t>연도불명</t>
        </is>
      </c>
      <c r="C578" s="111" t="n"/>
      <c r="D578" s="110" t="inlineStr">
        <is>
          <t>1Q84-2</t>
        </is>
      </c>
    </row>
    <row r="579" ht="12.75" customHeight="1" s="118">
      <c r="B579" s="109" t="inlineStr">
        <is>
          <t>연도불명</t>
        </is>
      </c>
      <c r="C579" s="111" t="n"/>
      <c r="D579" s="110" t="inlineStr">
        <is>
          <t>1Q84-1</t>
        </is>
      </c>
    </row>
    <row r="580" ht="12.75" customHeight="1" s="118">
      <c r="B580" s="109" t="inlineStr">
        <is>
          <t>연도불명</t>
        </is>
      </c>
      <c r="C580" s="111" t="n"/>
      <c r="D580" s="110" t="inlineStr">
        <is>
          <t>모모</t>
        </is>
      </c>
    </row>
    <row r="581" ht="12.75" customHeight="1" s="118">
      <c r="B581" s="109" t="inlineStr">
        <is>
          <t>연도불명</t>
        </is>
      </c>
      <c r="C581" s="111" t="n"/>
      <c r="D581" s="110" t="inlineStr">
        <is>
          <t>스텝 파더 스텝</t>
        </is>
      </c>
    </row>
    <row r="582" ht="12.75" customHeight="1" s="118">
      <c r="B582" s="109" t="inlineStr">
        <is>
          <t>연도불명</t>
        </is>
      </c>
      <c r="C582" s="111" t="n"/>
      <c r="D582" s="110" t="inlineStr">
        <is>
          <t>고우영 삼국지 10</t>
        </is>
      </c>
    </row>
    <row r="583" ht="12.75" customHeight="1" s="118">
      <c r="B583" s="109" t="inlineStr">
        <is>
          <t>연도불명</t>
        </is>
      </c>
      <c r="C583" s="111" t="n"/>
      <c r="D583" s="110" t="inlineStr">
        <is>
          <t>고우영 삼국지 9</t>
        </is>
      </c>
    </row>
    <row r="584" ht="12.75" customHeight="1" s="118">
      <c r="B584" s="109" t="inlineStr">
        <is>
          <t>연도불명</t>
        </is>
      </c>
      <c r="C584" s="111" t="n"/>
      <c r="D584" s="110" t="inlineStr">
        <is>
          <t>고우영 삼국지 8</t>
        </is>
      </c>
    </row>
    <row r="585" ht="12.75" customHeight="1" s="118">
      <c r="B585" s="109" t="inlineStr">
        <is>
          <t>연도불명</t>
        </is>
      </c>
      <c r="C585" s="111" t="n"/>
      <c r="D585" s="110" t="inlineStr">
        <is>
          <t>고우영 삼국지 7</t>
        </is>
      </c>
    </row>
    <row r="586" ht="12.75" customHeight="1" s="118">
      <c r="B586" s="109" t="inlineStr">
        <is>
          <t>연도불명</t>
        </is>
      </c>
      <c r="C586" s="111" t="n"/>
      <c r="D586" s="110" t="inlineStr">
        <is>
          <t>고우영 삼국지 6</t>
        </is>
      </c>
    </row>
    <row r="587" ht="12.75" customHeight="1" s="118">
      <c r="B587" s="109" t="inlineStr">
        <is>
          <t>연도불명</t>
        </is>
      </c>
      <c r="C587" s="111" t="n"/>
      <c r="D587" s="110" t="inlineStr">
        <is>
          <t>고우영 삼국지 5</t>
        </is>
      </c>
    </row>
    <row r="588" ht="12.75" customHeight="1" s="118">
      <c r="B588" s="109" t="inlineStr">
        <is>
          <t>연도불명</t>
        </is>
      </c>
      <c r="C588" s="111" t="n"/>
      <c r="D588" s="110" t="inlineStr">
        <is>
          <t>고우영 삼국지 4</t>
        </is>
      </c>
    </row>
    <row r="589" ht="12.75" customHeight="1" s="118">
      <c r="B589" s="109" t="inlineStr">
        <is>
          <t>연도불명</t>
        </is>
      </c>
      <c r="C589" s="111" t="n"/>
      <c r="D589" s="110" t="inlineStr">
        <is>
          <t>고우영 삼국지 3</t>
        </is>
      </c>
    </row>
    <row r="590" ht="12.75" customHeight="1" s="118">
      <c r="B590" s="109" t="inlineStr">
        <is>
          <t>연도불명</t>
        </is>
      </c>
      <c r="C590" s="111" t="n"/>
      <c r="D590" s="110" t="inlineStr">
        <is>
          <t>고우영 삼국지 2</t>
        </is>
      </c>
    </row>
    <row r="591" ht="12.75" customHeight="1" s="118">
      <c r="B591" s="109" t="inlineStr">
        <is>
          <t>연도불명</t>
        </is>
      </c>
      <c r="C591" s="111" t="n"/>
      <c r="D591" s="110" t="inlineStr">
        <is>
          <t>고우영 삼국지 1</t>
        </is>
      </c>
    </row>
    <row r="592" ht="12.75" customHeight="1" s="118">
      <c r="B592" s="109" t="inlineStr">
        <is>
          <t>연도불명</t>
        </is>
      </c>
      <c r="C592" s="111" t="n"/>
      <c r="D592" s="110" t="inlineStr">
        <is>
          <t>해리포터와 죽음의 성물 - 4</t>
        </is>
      </c>
    </row>
    <row r="593" ht="12.75" customHeight="1" s="118">
      <c r="B593" s="109" t="inlineStr">
        <is>
          <t>연도불명</t>
        </is>
      </c>
      <c r="C593" s="111" t="n"/>
      <c r="D593" s="110" t="inlineStr">
        <is>
          <t>해리포터와 죽음의 성물 - 3</t>
        </is>
      </c>
    </row>
    <row r="594" ht="12.75" customHeight="1" s="118">
      <c r="B594" s="109" t="inlineStr">
        <is>
          <t>연도불명</t>
        </is>
      </c>
      <c r="C594" s="111" t="n"/>
      <c r="D594" s="110" t="inlineStr">
        <is>
          <t>해리포터와 죽음의 성물 - 2</t>
        </is>
      </c>
    </row>
    <row r="595" ht="12.75" customHeight="1" s="118">
      <c r="B595" s="109" t="inlineStr">
        <is>
          <t>연도불명</t>
        </is>
      </c>
      <c r="C595" s="111" t="n"/>
      <c r="D595" s="110" t="inlineStr">
        <is>
          <t>해리포터와 죽음의 성물 - 1</t>
        </is>
      </c>
    </row>
    <row r="596" ht="12.75" customHeight="1" s="118">
      <c r="B596" s="109" t="inlineStr">
        <is>
          <t>연도불명</t>
        </is>
      </c>
      <c r="C596" s="111" t="n"/>
      <c r="D596" s="110" t="inlineStr">
        <is>
          <t>해리포터와 불사조 기사단 - 5</t>
        </is>
      </c>
    </row>
    <row r="597" ht="12.75" customHeight="1" s="118">
      <c r="B597" s="109" t="inlineStr">
        <is>
          <t>연도불명</t>
        </is>
      </c>
      <c r="C597" s="111" t="n"/>
      <c r="D597" s="110" t="inlineStr">
        <is>
          <t>해리포터와 불사조 기사단 - 4</t>
        </is>
      </c>
    </row>
    <row r="598" ht="12.75" customHeight="1" s="118">
      <c r="B598" s="109" t="inlineStr">
        <is>
          <t>연도불명</t>
        </is>
      </c>
      <c r="C598" s="111" t="n"/>
      <c r="D598" s="110" t="inlineStr">
        <is>
          <t>해리포터와 불사조 기사단 - 3</t>
        </is>
      </c>
    </row>
    <row r="599" ht="12.75" customHeight="1" s="118">
      <c r="B599" s="109" t="inlineStr">
        <is>
          <t>연도불명</t>
        </is>
      </c>
      <c r="C599" s="111" t="n"/>
      <c r="D599" s="110" t="inlineStr">
        <is>
          <t>해리포터와 불사조 기사단 - 2</t>
        </is>
      </c>
    </row>
    <row r="600" ht="12.75" customHeight="1" s="118">
      <c r="B600" s="109" t="inlineStr">
        <is>
          <t>연도불명</t>
        </is>
      </c>
      <c r="C600" s="111" t="n"/>
      <c r="D600" s="110" t="inlineStr">
        <is>
          <t>해리포터와 불사조 기사단 - 1</t>
        </is>
      </c>
    </row>
    <row r="601" ht="12.75" customHeight="1" s="118">
      <c r="B601" s="109" t="inlineStr">
        <is>
          <t>연도불명</t>
        </is>
      </c>
      <c r="C601" s="111" t="n"/>
      <c r="D601" s="110" t="inlineStr">
        <is>
          <t>해리포터와 불의 잔 - 4</t>
        </is>
      </c>
    </row>
    <row r="602" ht="12.75" customHeight="1" s="118">
      <c r="B602" s="109" t="inlineStr">
        <is>
          <t>연도불명</t>
        </is>
      </c>
      <c r="C602" s="111" t="n"/>
      <c r="D602" s="110" t="inlineStr">
        <is>
          <t>해리포터와 불의 잔 - 3</t>
        </is>
      </c>
    </row>
    <row r="603" ht="12.75" customHeight="1" s="118">
      <c r="B603" s="109" t="inlineStr">
        <is>
          <t>연도불명</t>
        </is>
      </c>
      <c r="C603" s="111" t="n"/>
      <c r="D603" s="110" t="inlineStr">
        <is>
          <t>해리포터와 불의 잔 - 2</t>
        </is>
      </c>
    </row>
    <row r="604" ht="12.75" customHeight="1" s="118">
      <c r="B604" s="109" t="inlineStr">
        <is>
          <t>연도불명</t>
        </is>
      </c>
      <c r="C604" s="111" t="n"/>
      <c r="D604" s="110" t="inlineStr">
        <is>
          <t>해리포터와 불의 잔 - 1</t>
        </is>
      </c>
    </row>
    <row r="605" ht="12.75" customHeight="1" s="118">
      <c r="B605" s="109" t="inlineStr">
        <is>
          <t>연도불명</t>
        </is>
      </c>
      <c r="C605" s="111" t="n"/>
      <c r="D605" s="110" t="inlineStr">
        <is>
          <t>작은 아씨들</t>
        </is>
      </c>
    </row>
    <row r="606" ht="12.75" customHeight="1" s="118">
      <c r="B606" s="109" t="inlineStr">
        <is>
          <t>연도불명</t>
        </is>
      </c>
      <c r="C606" s="111" t="n"/>
      <c r="D606" s="110" t="inlineStr">
        <is>
          <t>백설공주</t>
        </is>
      </c>
    </row>
    <row r="607" ht="12.75" customHeight="1" s="118">
      <c r="B607" s="109" t="inlineStr">
        <is>
          <t>연도불명</t>
        </is>
      </c>
      <c r="C607" s="111" t="n"/>
      <c r="D607" s="110" t="inlineStr">
        <is>
          <t>피노키오</t>
        </is>
      </c>
    </row>
    <row r="608" ht="12.75" customHeight="1" s="118">
      <c r="B608" s="109" t="inlineStr">
        <is>
          <t>연도불명</t>
        </is>
      </c>
      <c r="C608" s="111" t="n"/>
      <c r="D608" s="110" t="inlineStr">
        <is>
          <t>소년 짐</t>
        </is>
      </c>
    </row>
    <row r="609" ht="12.75" customHeight="1" s="118">
      <c r="B609" s="109" t="inlineStr">
        <is>
          <t>연도불명</t>
        </is>
      </c>
      <c r="C609" s="111" t="n"/>
      <c r="D609" s="110" t="inlineStr">
        <is>
          <t>살인자들의 섬</t>
        </is>
      </c>
    </row>
    <row r="610" ht="12.75" customHeight="1" s="118">
      <c r="B610" s="109" t="inlineStr">
        <is>
          <t>연도불명</t>
        </is>
      </c>
      <c r="C610" s="111" t="n"/>
      <c r="D610" s="110" t="inlineStr">
        <is>
          <t>백야행 - 3</t>
        </is>
      </c>
    </row>
    <row r="611" ht="12.75" customHeight="1" s="118">
      <c r="B611" s="109" t="inlineStr">
        <is>
          <t>연도불명</t>
        </is>
      </c>
      <c r="C611" s="111" t="n"/>
      <c r="D611" s="110" t="inlineStr">
        <is>
          <t>백야행 - 2</t>
        </is>
      </c>
    </row>
    <row r="612" ht="12.75" customHeight="1" s="118">
      <c r="B612" s="109" t="inlineStr">
        <is>
          <t>연도불명</t>
        </is>
      </c>
      <c r="C612" s="111" t="n"/>
      <c r="D612" s="110" t="inlineStr">
        <is>
          <t>백야행 - 1</t>
        </is>
      </c>
    </row>
    <row r="613" ht="12.75" customHeight="1" s="118">
      <c r="B613" s="109" t="inlineStr">
        <is>
          <t>연도불명</t>
        </is>
      </c>
      <c r="C613" s="111" t="n"/>
      <c r="D613" s="110" t="inlineStr">
        <is>
          <t>규장각 각신들의 나날 - 2</t>
        </is>
      </c>
    </row>
    <row r="614" ht="12.75" customHeight="1" s="118">
      <c r="B614" s="109" t="inlineStr">
        <is>
          <t>연도불명</t>
        </is>
      </c>
      <c r="C614" s="111" t="n"/>
      <c r="D614" s="110" t="inlineStr">
        <is>
          <t>규장각 각신들의 나날 - 1</t>
        </is>
      </c>
    </row>
    <row r="615" ht="12.75" customHeight="1" s="118">
      <c r="B615" s="109" t="inlineStr">
        <is>
          <t>연도불명</t>
        </is>
      </c>
      <c r="C615" s="111" t="n"/>
      <c r="D615" s="110" t="inlineStr">
        <is>
          <t>성균관 유생들의 나날 - 2</t>
        </is>
      </c>
    </row>
    <row r="616" ht="12.75" customHeight="1" s="118">
      <c r="B616" s="109" t="inlineStr">
        <is>
          <t>연도불명</t>
        </is>
      </c>
      <c r="C616" s="111" t="n"/>
      <c r="D616" s="110" t="inlineStr">
        <is>
          <t>성균관 유생들의 나날 - 1</t>
        </is>
      </c>
    </row>
    <row r="617" ht="12.75" customHeight="1" s="118">
      <c r="B617" s="109" t="inlineStr">
        <is>
          <t>연도불명</t>
        </is>
      </c>
      <c r="C617" s="111" t="n"/>
      <c r="D617" s="110" t="inlineStr">
        <is>
          <t>모던 팥쥐전</t>
        </is>
      </c>
    </row>
    <row r="618" ht="12.75" customHeight="1" s="118">
      <c r="B618" s="109" t="inlineStr">
        <is>
          <t>연도불명</t>
        </is>
      </c>
      <c r="C618" s="111" t="n"/>
      <c r="D618" s="110" t="inlineStr">
        <is>
          <t>과자, 내 아이를 해치는 달콤한 유혹</t>
        </is>
      </c>
    </row>
    <row r="619" ht="12.75" customHeight="1" s="118">
      <c r="B619" s="109" t="inlineStr">
        <is>
          <t>연도불명</t>
        </is>
      </c>
      <c r="C619" s="111" t="n"/>
      <c r="D619" s="110" t="inlineStr">
        <is>
          <t>신 - 3</t>
        </is>
      </c>
    </row>
    <row r="620" ht="12.75" customHeight="1" s="118">
      <c r="B620" s="109" t="inlineStr">
        <is>
          <t>연도불명</t>
        </is>
      </c>
      <c r="C620" s="111" t="n"/>
      <c r="D620" s="110" t="inlineStr">
        <is>
          <t>신 - 2</t>
        </is>
      </c>
    </row>
    <row r="621" ht="12.75" customHeight="1" s="118">
      <c r="B621" s="109" t="inlineStr">
        <is>
          <t>연도불명</t>
        </is>
      </c>
      <c r="C621" s="111" t="n"/>
      <c r="D621" s="110" t="inlineStr">
        <is>
          <t>신 - 1</t>
        </is>
      </c>
    </row>
    <row r="622" ht="12.75" customHeight="1" s="118">
      <c r="B622" s="109" t="inlineStr">
        <is>
          <t>연도불명</t>
        </is>
      </c>
      <c r="C622" s="111" t="n"/>
      <c r="D622" s="110" t="inlineStr">
        <is>
          <t>종이 여자</t>
        </is>
      </c>
    </row>
    <row r="623" ht="12.75" customHeight="1" s="118">
      <c r="B623" s="109" t="inlineStr">
        <is>
          <t>연도불명</t>
        </is>
      </c>
      <c r="C623" s="111" t="n"/>
      <c r="D623" s="110" t="inlineStr">
        <is>
          <t>돈 까밀로와 빼뽀네</t>
        </is>
      </c>
    </row>
    <row r="624" ht="12.75" customHeight="1" s="118">
      <c r="B624" s="109" t="inlineStr">
        <is>
          <t>연도불명</t>
        </is>
      </c>
      <c r="C624" s="111" t="n"/>
      <c r="D624" s="110" t="inlineStr">
        <is>
          <t>마음을 리셋할 때 읽으면 좋은 71가지 어드바이스</t>
        </is>
      </c>
    </row>
    <row r="625" ht="12.75" customHeight="1" s="118">
      <c r="B625" s="109" t="inlineStr">
        <is>
          <t>연도불명</t>
        </is>
      </c>
      <c r="C625" s="111" t="n"/>
      <c r="D625" s="110" t="inlineStr">
        <is>
          <t>헬가 게버트의 그림 동화</t>
        </is>
      </c>
    </row>
    <row r="626" ht="12.75" customHeight="1" s="118">
      <c r="B626" s="109" t="inlineStr">
        <is>
          <t>연도불명</t>
        </is>
      </c>
      <c r="C626" s="111" t="n"/>
      <c r="D626" s="110" t="inlineStr">
        <is>
          <t>소울메이트</t>
        </is>
      </c>
    </row>
    <row r="627" ht="12.75" customHeight="1" s="118">
      <c r="B627" s="109" t="inlineStr">
        <is>
          <t>연도불명</t>
        </is>
      </c>
      <c r="C627" s="111" t="n"/>
      <c r="D627" s="110" t="inlineStr">
        <is>
          <t>달팽이 식당</t>
        </is>
      </c>
    </row>
    <row r="628" ht="12.75" customHeight="1" s="118">
      <c r="B628" s="109" t="inlineStr">
        <is>
          <t>연도불명</t>
        </is>
      </c>
      <c r="C628" s="111" t="n"/>
      <c r="D628" s="110" t="inlineStr">
        <is>
          <t>약속된 장소에서</t>
        </is>
      </c>
    </row>
    <row r="629" ht="12.75" customHeight="1" s="118">
      <c r="B629" s="109" t="inlineStr">
        <is>
          <t>연도불명</t>
        </is>
      </c>
      <c r="C629" s="111" t="n"/>
      <c r="D629" s="110" t="inlineStr">
        <is>
          <t>마음밭에 무얼 심지?</t>
        </is>
      </c>
    </row>
    <row r="630" ht="12.75" customHeight="1" s="118">
      <c r="B630" s="109" t="inlineStr">
        <is>
          <t>연도불명</t>
        </is>
      </c>
      <c r="C630" s="111" t="n"/>
      <c r="D630" s="110" t="inlineStr">
        <is>
          <t>파페포포 메모리즈</t>
        </is>
      </c>
    </row>
    <row r="631" ht="12.75" customHeight="1" s="118">
      <c r="B631" s="109" t="inlineStr">
        <is>
          <t>연도불명</t>
        </is>
      </c>
      <c r="C631" s="111" t="n"/>
      <c r="D631" s="110" t="inlineStr">
        <is>
          <t>연을 쫓는 아이</t>
        </is>
      </c>
    </row>
    <row r="632" ht="12.75" customHeight="1" s="118">
      <c r="B632" s="109" t="inlineStr">
        <is>
          <t>연도불명</t>
        </is>
      </c>
      <c r="C632" s="111" t="n"/>
      <c r="D632" s="110" t="inlineStr">
        <is>
          <t>청소부 밥</t>
        </is>
      </c>
    </row>
    <row r="633" ht="12.75" customHeight="1" s="118">
      <c r="B633" s="109" t="inlineStr">
        <is>
          <t>연도불명</t>
        </is>
      </c>
      <c r="C633" s="111" t="n"/>
      <c r="D633" s="110" t="inlineStr">
        <is>
          <t>인간의 두얼굴 : 내면의 진실</t>
        </is>
      </c>
    </row>
    <row r="634" ht="12.75" customHeight="1" s="118">
      <c r="B634" s="109" t="inlineStr">
        <is>
          <t>연도불명</t>
        </is>
      </c>
      <c r="C634" s="111" t="n"/>
      <c r="D634" s="110" t="inlineStr">
        <is>
          <t>인간의 두얼굴 : 외부 조종자</t>
        </is>
      </c>
    </row>
    <row r="635" ht="12.75" customHeight="1" s="118">
      <c r="B635" s="109" t="inlineStr">
        <is>
          <t>연도불명</t>
        </is>
      </c>
      <c r="C635" s="111" t="n"/>
      <c r="D635" s="110" t="inlineStr">
        <is>
          <t>거의 모든 재난으로 부터 살아남는 법</t>
        </is>
      </c>
    </row>
    <row r="636" ht="12.75" customHeight="1" s="118">
      <c r="B636" s="109" t="inlineStr">
        <is>
          <t>연도불명</t>
        </is>
      </c>
      <c r="C636" s="111" t="n"/>
      <c r="D636" s="110" t="inlineStr">
        <is>
          <t>바우돌리노(하)</t>
        </is>
      </c>
    </row>
    <row r="637" ht="12.75" customHeight="1" s="118">
      <c r="B637" s="109" t="inlineStr">
        <is>
          <t>연도불명</t>
        </is>
      </c>
      <c r="C637" s="111" t="n"/>
      <c r="D637" s="110" t="inlineStr">
        <is>
          <t>바우돌리노(상)</t>
        </is>
      </c>
    </row>
    <row r="638" ht="12.75" customHeight="1" s="118">
      <c r="B638" s="115" t="inlineStr">
        <is>
          <t>연도불명</t>
        </is>
      </c>
      <c r="C638" s="111" t="n"/>
      <c r="D638" s="110" t="inlineStr">
        <is>
          <t>빅 픽쳐</t>
        </is>
      </c>
    </row>
    <row r="639" ht="12.75" customHeight="1" s="118">
      <c r="B639" s="57" t="n"/>
      <c r="D639" s="116" t="n"/>
    </row>
    <row r="640" ht="12.75" customHeight="1" s="118">
      <c r="B640" s="57" t="n"/>
      <c r="D640" s="116" t="n"/>
    </row>
    <row r="641" ht="12.75" customHeight="1" s="118">
      <c r="B641" s="57" t="n"/>
      <c r="D641" s="116" t="n"/>
    </row>
    <row r="642" ht="12.75" customHeight="1" s="118">
      <c r="B642" s="57" t="n"/>
      <c r="D642" s="116" t="n"/>
    </row>
    <row r="643" ht="12.75" customHeight="1" s="118">
      <c r="B643" s="57" t="n"/>
      <c r="D643" s="116" t="n"/>
    </row>
    <row r="644" ht="12.75" customHeight="1" s="118">
      <c r="B644" s="57" t="n"/>
      <c r="D644" s="116" t="n"/>
    </row>
    <row r="645" ht="12.75" customHeight="1" s="118">
      <c r="B645" s="57" t="n"/>
      <c r="D645" s="116" t="n"/>
    </row>
    <row r="646" ht="12.75" customHeight="1" s="118">
      <c r="B646" s="57" t="n"/>
      <c r="D646" s="116" t="n"/>
    </row>
    <row r="647" ht="12.75" customHeight="1" s="118">
      <c r="B647" s="57" t="n"/>
      <c r="D647" s="116" t="n"/>
    </row>
    <row r="648" ht="12.75" customHeight="1" s="118">
      <c r="B648" s="57" t="n"/>
      <c r="D648" s="116" t="n"/>
    </row>
    <row r="649" ht="12.75" customHeight="1" s="118">
      <c r="B649" s="57" t="n"/>
      <c r="D649" s="116" t="n"/>
    </row>
    <row r="650" ht="12.75" customHeight="1" s="118">
      <c r="B650" s="57" t="n"/>
      <c r="D650" s="116" t="n"/>
    </row>
    <row r="651" ht="12.75" customHeight="1" s="118">
      <c r="B651" s="57" t="n"/>
      <c r="D651" s="116" t="n"/>
    </row>
    <row r="652" ht="12.75" customHeight="1" s="118">
      <c r="B652" s="57" t="n"/>
      <c r="D652" s="116" t="n"/>
    </row>
    <row r="653" ht="12.75" customHeight="1" s="118">
      <c r="B653" s="57" t="n"/>
      <c r="D653" s="116" t="n"/>
    </row>
    <row r="654" ht="12.75" customHeight="1" s="118">
      <c r="B654" s="57" t="n"/>
      <c r="D654" s="116" t="n"/>
    </row>
    <row r="655" ht="12.75" customHeight="1" s="118">
      <c r="B655" s="57" t="n"/>
      <c r="D655" s="116" t="n"/>
    </row>
    <row r="656" ht="12.75" customHeight="1" s="118">
      <c r="B656" s="57" t="n"/>
      <c r="D656" s="116" t="n"/>
    </row>
    <row r="657" ht="12.75" customHeight="1" s="118">
      <c r="B657" s="57" t="n"/>
      <c r="D657" s="116" t="n"/>
    </row>
    <row r="658" ht="12.75" customHeight="1" s="118">
      <c r="B658" s="57" t="n"/>
      <c r="D658" s="116" t="n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2:C89"/>
  <sheetViews>
    <sheetView workbookViewId="0">
      <pane ySplit="2" topLeftCell="A3" activePane="bottomLeft" state="frozen"/>
      <selection pane="bottomLeft" activeCell="E11" sqref="E11"/>
    </sheetView>
  </sheetViews>
  <sheetFormatPr baseColWidth="8" defaultColWidth="12.5703125" defaultRowHeight="15" customHeight="1"/>
  <cols>
    <col width="3.42578125" customWidth="1" style="118" min="1" max="1"/>
    <col width="39.28515625" customWidth="1" style="118" min="2" max="3"/>
  </cols>
  <sheetData>
    <row r="2" ht="18" customHeight="1" s="118">
      <c r="B2" s="7" t="inlineStr">
        <is>
          <t>대현</t>
        </is>
      </c>
      <c r="C2" s="7" t="inlineStr">
        <is>
          <t>문선</t>
        </is>
      </c>
    </row>
    <row r="3" ht="12.75" customHeight="1" s="118">
      <c r="B3" s="10" t="inlineStr">
        <is>
          <t>시지프 신화</t>
        </is>
      </c>
      <c r="C3" s="10" t="inlineStr">
        <is>
          <t>시지프 신화</t>
        </is>
      </c>
    </row>
    <row r="4" ht="13.5" customHeight="1" s="118">
      <c r="B4" s="10" t="inlineStr">
        <is>
          <t>빈센트 반고흐</t>
        </is>
      </c>
      <c r="C4" s="10" t="inlineStr">
        <is>
          <t>설득의 심리학2</t>
        </is>
      </c>
    </row>
    <row r="5" ht="12.75" customHeight="1" s="118">
      <c r="B5" s="10" t="inlineStr">
        <is>
          <t>소울메이트</t>
        </is>
      </c>
      <c r="C5" s="10" t="inlineStr">
        <is>
          <t>몽유병자들(하)</t>
        </is>
      </c>
    </row>
    <row r="6" ht="12.75" customHeight="1" s="118">
      <c r="B6" s="10" t="inlineStr">
        <is>
          <t>향수</t>
        </is>
      </c>
      <c r="C6" s="10" t="inlineStr">
        <is>
          <t>몽유병자들(상)</t>
        </is>
      </c>
    </row>
    <row r="7" ht="12.75" customHeight="1" s="118">
      <c r="B7" s="10" t="inlineStr">
        <is>
          <t>매일 읽는 긍정의 한 줄</t>
        </is>
      </c>
      <c r="C7" s="10" t="inlineStr">
        <is>
          <t>백범일지</t>
        </is>
      </c>
    </row>
    <row r="8" ht="12.75" customHeight="1" s="118">
      <c r="B8" s="10" t="inlineStr">
        <is>
          <t>화성에서 온 남자 금성에서 온 여자</t>
        </is>
      </c>
      <c r="C8" s="10" t="inlineStr">
        <is>
          <t>월드 오브 워크래프트 스톰레이지</t>
        </is>
      </c>
    </row>
    <row r="9" ht="12.75" customHeight="1" s="118">
      <c r="B9" s="10" t="inlineStr">
        <is>
          <t>샐러드&amp;소스 만들기</t>
        </is>
      </c>
      <c r="C9" s="10" t="inlineStr">
        <is>
          <t>스피드 당구</t>
        </is>
      </c>
    </row>
    <row r="10" ht="12.75" customHeight="1" s="118">
      <c r="B10" s="10" t="inlineStr">
        <is>
          <t>스피드 당구</t>
        </is>
      </c>
      <c r="C10" s="10" t="inlineStr">
        <is>
          <t>제이나 프라우드무어 : 전쟁의 물결</t>
        </is>
      </c>
    </row>
    <row r="11" ht="12.75" customHeight="1" s="118">
      <c r="B11" s="10" t="inlineStr">
        <is>
          <t>밥 먹는 술집을 차렸습니다</t>
        </is>
      </c>
      <c r="C11" s="10" t="inlineStr">
        <is>
          <t>월드오브워크래프트 볼진: 호드의 그림자</t>
        </is>
      </c>
    </row>
    <row r="12" ht="12.75" customHeight="1" s="118">
      <c r="B12" s="10" t="inlineStr">
        <is>
          <t>적의 화장법</t>
        </is>
      </c>
      <c r="C12" s="10" t="inlineStr">
        <is>
          <t>꼬마 니콜라 - 나 홀로 기차 여행</t>
        </is>
      </c>
    </row>
    <row r="13" ht="12.75" customHeight="1" s="118">
      <c r="B13" s="10" t="inlineStr">
        <is>
          <t>프랑스 여자는 늙지 않는다</t>
        </is>
      </c>
      <c r="C13" s="10" t="inlineStr">
        <is>
          <t>꼬마 니콜라 - 공동 꼴찌</t>
        </is>
      </c>
    </row>
    <row r="14" ht="12.75" customHeight="1" s="118">
      <c r="B14" s="10" t="inlineStr">
        <is>
          <t>내마음 다치지 않게</t>
        </is>
      </c>
      <c r="C14" s="10" t="inlineStr">
        <is>
          <t>꼬마 니콜라 - 초콜릿 공장 소동</t>
        </is>
      </c>
    </row>
    <row r="15" ht="12.75" customHeight="1" s="118">
      <c r="B15" s="10" t="inlineStr">
        <is>
          <t>생각 버리기 연습2</t>
        </is>
      </c>
      <c r="C15" s="10" t="inlineStr">
        <is>
          <t>꼬마 니콜라의 골칫거리</t>
        </is>
      </c>
    </row>
    <row r="16" ht="12.75" customHeight="1" s="118">
      <c r="B16" s="10" t="inlineStr">
        <is>
          <t>생각 버리기 연습</t>
        </is>
      </c>
      <c r="C16" s="10" t="inlineStr">
        <is>
          <t>꼬마 니콜라와 친구들</t>
        </is>
      </c>
    </row>
    <row r="17" ht="12.75" customHeight="1" s="118">
      <c r="B17" s="10" t="inlineStr">
        <is>
          <t>제노사이드</t>
        </is>
      </c>
      <c r="C17" s="10" t="inlineStr">
        <is>
          <t>꼬마 니콜라의 여름방학</t>
        </is>
      </c>
    </row>
    <row r="18" ht="12.75" customHeight="1" s="118">
      <c r="B18" s="10" t="inlineStr">
        <is>
          <t>용의자 X의 헌신</t>
        </is>
      </c>
      <c r="C18" s="10" t="inlineStr">
        <is>
          <t>꼬마 니콜라의 쉬는시간</t>
        </is>
      </c>
    </row>
    <row r="19" ht="12.75" customHeight="1" s="118">
      <c r="B19" s="10" t="inlineStr">
        <is>
          <t>꼬마 니콜라 - 나 홀로 기차 여행</t>
        </is>
      </c>
      <c r="C19" s="10" t="inlineStr">
        <is>
          <t>꼬마 니콜라</t>
        </is>
      </c>
    </row>
    <row r="20" ht="12.75" customHeight="1" s="118">
      <c r="B20" s="10" t="inlineStr">
        <is>
          <t>꼬마 니콜라 - 공동 꼴찌</t>
        </is>
      </c>
      <c r="C20" s="10" t="inlineStr">
        <is>
          <t>이집트, 고대 문명의 역사와 보물</t>
        </is>
      </c>
    </row>
    <row r="21" ht="12.75" customHeight="1" s="118">
      <c r="B21" s="10" t="inlineStr">
        <is>
          <t>꼬마 니콜라 - 초콜릿 공장 소동</t>
        </is>
      </c>
      <c r="C21" s="10" t="inlineStr">
        <is>
          <t>과학의 책</t>
        </is>
      </c>
    </row>
    <row r="22" ht="12.75" customHeight="1" s="118">
      <c r="B22" s="10" t="inlineStr">
        <is>
          <t>꼬마 니콜라의 골칫거리</t>
        </is>
      </c>
      <c r="C22" s="10" t="inlineStr">
        <is>
          <t>지식의 책</t>
        </is>
      </c>
    </row>
    <row r="23" ht="12.75" customHeight="1" s="118">
      <c r="B23" s="10" t="inlineStr">
        <is>
          <t>꼬마 니콜라와 친구들</t>
        </is>
      </c>
      <c r="C23" s="10" t="inlineStr">
        <is>
          <t>세계의 역사를 뒤바꾼 1000가지 사건</t>
        </is>
      </c>
    </row>
    <row r="24" ht="12.75" customHeight="1" s="118">
      <c r="B24" s="10" t="inlineStr">
        <is>
          <t>꼬마 니콜라의 여름방학</t>
        </is>
      </c>
      <c r="C24" s="10" t="inlineStr">
        <is>
          <t>빈센트 반고흐</t>
        </is>
      </c>
    </row>
    <row r="25" ht="12.75" customHeight="1" s="118">
      <c r="B25" s="10" t="inlineStr">
        <is>
          <t>꼬마 니콜라의 쉬는시간</t>
        </is>
      </c>
      <c r="C25" s="10" t="inlineStr">
        <is>
          <t>조선 상고사</t>
        </is>
      </c>
    </row>
    <row r="26" ht="12.75" customHeight="1" s="118">
      <c r="B26" s="10" t="inlineStr">
        <is>
          <t>꼬마 니콜라</t>
        </is>
      </c>
      <c r="C26" s="10" t="inlineStr">
        <is>
          <t>최근 100년의 세계사</t>
        </is>
      </c>
    </row>
    <row r="27" ht="12.75" customHeight="1" s="118">
      <c r="B27" s="10" t="inlineStr">
        <is>
          <t>이집트, 고대 문명의 역사와 보물</t>
        </is>
      </c>
      <c r="C27" s="10" t="inlineStr">
        <is>
          <t>조선 왕조실록</t>
        </is>
      </c>
    </row>
    <row r="28" ht="12.75" customHeight="1" s="118">
      <c r="B28" s="10" t="inlineStr">
        <is>
          <t>환상동화</t>
        </is>
      </c>
      <c r="C28" s="10" t="inlineStr">
        <is>
          <t>고려 왕조실록</t>
        </is>
      </c>
    </row>
    <row r="29" ht="12.75" customHeight="1" s="118">
      <c r="B29" s="10" t="inlineStr">
        <is>
          <t>과학의 책</t>
        </is>
      </c>
      <c r="C29" s="10" t="inlineStr">
        <is>
          <t>신라 왕조실록</t>
        </is>
      </c>
    </row>
    <row r="30" ht="12.75" customHeight="1" s="118">
      <c r="B30" s="10" t="inlineStr">
        <is>
          <t>지식의 책</t>
        </is>
      </c>
      <c r="C30" s="10" t="inlineStr">
        <is>
          <t>백제 왕조실록</t>
        </is>
      </c>
    </row>
    <row r="31" ht="12.75" customHeight="1" s="118">
      <c r="B31" s="10" t="inlineStr">
        <is>
          <t>세계의 역사를 뒤바꾼 1000가지 사건</t>
        </is>
      </c>
      <c r="C31" s="10" t="inlineStr">
        <is>
          <t>고구려 왕조실록</t>
        </is>
      </c>
    </row>
    <row r="32" ht="12.75" customHeight="1" s="118">
      <c r="B32" s="10" t="inlineStr">
        <is>
          <t>해리포터와 죽음의 성물 - 4</t>
        </is>
      </c>
      <c r="C32" s="32" t="inlineStr">
        <is>
          <t>죽음을 그리다</t>
        </is>
      </c>
    </row>
    <row r="33" ht="12.75" customHeight="1" s="118">
      <c r="B33" s="10" t="inlineStr">
        <is>
          <t>해리포터와 죽음의 성물 - 3</t>
        </is>
      </c>
      <c r="C33" s="10" t="inlineStr">
        <is>
          <t>나의 문화유산답사기 1</t>
        </is>
      </c>
    </row>
    <row r="34" ht="12.75" customHeight="1" s="118">
      <c r="B34" s="10" t="inlineStr">
        <is>
          <t>해리포터와 죽음의 성물 - 2</t>
        </is>
      </c>
      <c r="C34" s="10" t="inlineStr">
        <is>
          <t>세계 철학사</t>
        </is>
      </c>
    </row>
    <row r="35" ht="12.75" customHeight="1" s="118">
      <c r="B35" s="10" t="inlineStr">
        <is>
          <t>해리포터와 죽음의 성물 - 1</t>
        </is>
      </c>
      <c r="C35" s="10" t="inlineStr">
        <is>
          <t>현대 물리학과 동양 사상</t>
        </is>
      </c>
    </row>
    <row r="36" ht="12.75" customHeight="1" s="118">
      <c r="B36" s="10" t="inlineStr">
        <is>
          <t>해리포터와 혼혈왕자 - 4</t>
        </is>
      </c>
      <c r="C36" s="44" t="n"/>
    </row>
    <row r="37" ht="12.75" customHeight="1" s="118">
      <c r="B37" s="10" t="inlineStr">
        <is>
          <t>해리포터와 혼혈왕자 - 3</t>
        </is>
      </c>
      <c r="C37" s="44" t="n"/>
    </row>
    <row r="38" ht="12.75" customHeight="1" s="118">
      <c r="B38" s="10" t="inlineStr">
        <is>
          <t>해리포터와 혼혈왕자 - 2</t>
        </is>
      </c>
      <c r="C38" s="44" t="n"/>
    </row>
    <row r="39" ht="12.75" customHeight="1" s="118">
      <c r="B39" s="10" t="inlineStr">
        <is>
          <t>해리포터와 혼혈왕자 - 1</t>
        </is>
      </c>
      <c r="C39" s="44" t="n"/>
    </row>
    <row r="40" ht="12.75" customHeight="1" s="118">
      <c r="B40" s="10" t="inlineStr">
        <is>
          <t>해리포터와 불사조 기사단 - 5</t>
        </is>
      </c>
      <c r="C40" s="44" t="n"/>
    </row>
    <row r="41" ht="12.75" customHeight="1" s="118">
      <c r="B41" s="10" t="inlineStr">
        <is>
          <t>해리포터와 불사조 기사단 - 4</t>
        </is>
      </c>
      <c r="C41" s="44" t="n"/>
    </row>
    <row r="42" ht="12.75" customHeight="1" s="118">
      <c r="B42" s="10" t="inlineStr">
        <is>
          <t>해리포터와 불사조 기사단 - 3</t>
        </is>
      </c>
      <c r="C42" s="44" t="n"/>
    </row>
    <row r="43" ht="12.75" customHeight="1" s="118">
      <c r="B43" s="10" t="inlineStr">
        <is>
          <t>해리포터와 불사조 기사단 - 2</t>
        </is>
      </c>
      <c r="C43" s="44" t="n"/>
    </row>
    <row r="44" ht="12.75" customHeight="1" s="118">
      <c r="B44" s="10" t="inlineStr">
        <is>
          <t>해리포터와 불사조 기사단 - 1</t>
        </is>
      </c>
      <c r="C44" s="44" t="n"/>
    </row>
    <row r="45" ht="12.75" customHeight="1" s="118">
      <c r="B45" s="10" t="inlineStr">
        <is>
          <t>해리포터와 불의 잔 - 4</t>
        </is>
      </c>
      <c r="C45" s="44" t="n"/>
    </row>
    <row r="46" ht="12.75" customHeight="1" s="118">
      <c r="B46" s="10" t="inlineStr">
        <is>
          <t>해리포터와 불의 잔 - 3</t>
        </is>
      </c>
      <c r="C46" s="44" t="n"/>
    </row>
    <row r="47" ht="12.75" customHeight="1" s="118">
      <c r="B47" s="10" t="inlineStr">
        <is>
          <t>해리포터와 불의 잔 - 2</t>
        </is>
      </c>
      <c r="C47" s="44" t="n"/>
    </row>
    <row r="48" ht="12.75" customHeight="1" s="118">
      <c r="B48" s="10" t="inlineStr">
        <is>
          <t>해리포터와 불의 잔 - 1</t>
        </is>
      </c>
      <c r="C48" s="44" t="n"/>
    </row>
    <row r="49" ht="12.75" customHeight="1" s="118">
      <c r="B49" s="10" t="inlineStr">
        <is>
          <t>해리포터와 아즈카반의 죄수 - 2</t>
        </is>
      </c>
      <c r="C49" s="44" t="n"/>
    </row>
    <row r="50" ht="12.75" customHeight="1" s="118">
      <c r="B50" s="10" t="inlineStr">
        <is>
          <t>해리포터와 아즈카반의 죄수 - 1</t>
        </is>
      </c>
      <c r="C50" s="44" t="n"/>
    </row>
    <row r="51" ht="12.75" customHeight="1" s="118">
      <c r="B51" s="10" t="inlineStr">
        <is>
          <t>해리포터와 비밀의 방 - 2</t>
        </is>
      </c>
      <c r="C51" s="44" t="n"/>
    </row>
    <row r="52" ht="12.75" customHeight="1" s="118">
      <c r="B52" s="10" t="inlineStr">
        <is>
          <t>해리포터와 비밀의 방 - 1</t>
        </is>
      </c>
      <c r="C52" s="44" t="n"/>
    </row>
    <row r="53" ht="12.75" customHeight="1" s="118">
      <c r="B53" s="10" t="inlineStr">
        <is>
          <t>해리포터와 마법사의 돌 - 2</t>
        </is>
      </c>
      <c r="C53" s="44" t="n"/>
    </row>
    <row r="54" ht="12.75" customHeight="1" s="118">
      <c r="B54" s="10" t="inlineStr">
        <is>
          <t>해리포터와 마법사의 돌 - 1</t>
        </is>
      </c>
      <c r="C54" s="44" t="n"/>
    </row>
    <row r="55" ht="12.75" customHeight="1" s="118">
      <c r="B55" s="10" t="inlineStr">
        <is>
          <t>작은 아씨들</t>
        </is>
      </c>
      <c r="C55" s="44" t="n"/>
    </row>
    <row r="56" ht="12.75" customHeight="1" s="118">
      <c r="B56" s="10" t="inlineStr">
        <is>
          <t>백야행 - 3</t>
        </is>
      </c>
      <c r="C56" s="44" t="n"/>
    </row>
    <row r="57" ht="12.75" customHeight="1" s="118">
      <c r="B57" s="10" t="inlineStr">
        <is>
          <t>백야행 - 2</t>
        </is>
      </c>
      <c r="C57" s="44" t="n"/>
    </row>
    <row r="58" ht="12.75" customHeight="1" s="118">
      <c r="B58" s="10" t="inlineStr">
        <is>
          <t>백야행 - 1</t>
        </is>
      </c>
      <c r="C58" s="44" t="n"/>
    </row>
    <row r="59" ht="12.75" customHeight="1" s="118">
      <c r="B59" s="10" t="inlineStr">
        <is>
          <t>조선 상고사</t>
        </is>
      </c>
      <c r="C59" s="44" t="n"/>
    </row>
    <row r="60" ht="12.75" customHeight="1" s="118">
      <c r="B60" s="10" t="inlineStr">
        <is>
          <t>과자, 내 아이를 해치는 달콤한 유혹</t>
        </is>
      </c>
      <c r="C60" s="44" t="n"/>
    </row>
    <row r="61" ht="12.75" customHeight="1" s="118">
      <c r="B61" s="10" t="n"/>
      <c r="C61" s="44" t="n"/>
    </row>
    <row r="62" ht="12.75" customHeight="1" s="118">
      <c r="B62" s="10" t="n"/>
      <c r="C62" s="44" t="n"/>
    </row>
    <row r="63" ht="12.75" customHeight="1" s="118">
      <c r="B63" s="10" t="n"/>
      <c r="C63" s="44" t="n"/>
    </row>
    <row r="64" ht="12.75" customHeight="1" s="118">
      <c r="B64" s="10" t="n"/>
      <c r="C64" s="44" t="n"/>
    </row>
    <row r="65" ht="12.75" customHeight="1" s="118">
      <c r="B65" s="10" t="n"/>
      <c r="C65" s="44" t="n"/>
    </row>
    <row r="66" ht="12.75" customHeight="1" s="118">
      <c r="B66" s="10" t="n"/>
      <c r="C66" s="44" t="n"/>
    </row>
    <row r="67" ht="12.75" customHeight="1" s="118">
      <c r="B67" s="10" t="n"/>
      <c r="C67" s="44" t="n"/>
    </row>
    <row r="68" ht="12.75" customHeight="1" s="118">
      <c r="B68" s="10" t="n"/>
      <c r="C68" s="44" t="n"/>
    </row>
    <row r="69" ht="12.75" customHeight="1" s="118">
      <c r="B69" s="10" t="n"/>
      <c r="C69" s="44" t="n"/>
    </row>
    <row r="70" ht="12.75" customHeight="1" s="118">
      <c r="B70" s="10" t="n"/>
      <c r="C70" s="44" t="n"/>
    </row>
    <row r="71" ht="12.75" customHeight="1" s="118">
      <c r="B71" s="10" t="n"/>
      <c r="C71" s="44" t="n"/>
    </row>
    <row r="72" ht="12.75" customHeight="1" s="118">
      <c r="B72" s="10" t="n"/>
      <c r="C72" s="44" t="n"/>
    </row>
    <row r="73" ht="12.75" customHeight="1" s="118">
      <c r="B73" s="10" t="n"/>
      <c r="C73" s="44" t="n"/>
    </row>
    <row r="74" ht="12.75" customHeight="1" s="118">
      <c r="B74" s="10" t="n"/>
      <c r="C74" s="44" t="n"/>
    </row>
    <row r="75" ht="12.75" customHeight="1" s="118">
      <c r="B75" s="10" t="n"/>
      <c r="C75" s="44" t="n"/>
    </row>
    <row r="76" ht="12.75" customHeight="1" s="118">
      <c r="B76" s="44" t="n"/>
      <c r="C76" s="44" t="n"/>
    </row>
    <row r="77" ht="12.75" customHeight="1" s="118">
      <c r="B77" s="44" t="n"/>
      <c r="C77" s="44" t="n"/>
    </row>
    <row r="78" ht="12.75" customHeight="1" s="118">
      <c r="B78" s="44" t="n"/>
      <c r="C78" s="44" t="n"/>
    </row>
    <row r="79" ht="12.75" customHeight="1" s="118">
      <c r="B79" s="44" t="n"/>
      <c r="C79" s="44" t="n"/>
    </row>
    <row r="80" ht="12.75" customHeight="1" s="118">
      <c r="B80" s="44" t="n"/>
      <c r="C80" s="44" t="n"/>
    </row>
    <row r="81" ht="12.75" customHeight="1" s="118">
      <c r="B81" s="44" t="n"/>
      <c r="C81" s="44" t="n"/>
    </row>
    <row r="82" ht="12.75" customHeight="1" s="118">
      <c r="B82" s="44" t="n"/>
      <c r="C82" s="44" t="n"/>
    </row>
    <row r="83" ht="12.75" customHeight="1" s="118">
      <c r="B83" s="44" t="n"/>
      <c r="C83" s="44" t="n"/>
    </row>
    <row r="84" ht="12.75" customHeight="1" s="118">
      <c r="B84" s="44" t="n"/>
      <c r="C84" s="44" t="n"/>
    </row>
    <row r="85" ht="12.75" customHeight="1" s="118">
      <c r="B85" s="44" t="n"/>
      <c r="C85" s="44" t="n"/>
    </row>
    <row r="86" ht="12.75" customHeight="1" s="118">
      <c r="B86" s="44" t="n"/>
      <c r="C86" s="44" t="n"/>
    </row>
    <row r="87" ht="12.75" customHeight="1" s="118">
      <c r="B87" s="44" t="n"/>
      <c r="C87" s="44" t="n"/>
    </row>
    <row r="88" ht="12.75" customHeight="1" s="118">
      <c r="B88" s="44" t="n"/>
      <c r="C88" s="44" t="n"/>
    </row>
    <row r="89" ht="12.75" customHeight="1" s="118">
      <c r="B89" s="44" t="n"/>
      <c r="C89" s="4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2026-05-07T05:45:52Z</dcterms:created>
  <dcterms:modified xmlns:dcterms="http://purl.org/dc/terms/" xmlns:xsi="http://www.w3.org/2001/XMLSchema-instance" xsi:type="dcterms:W3CDTF">2026-05-07T06:34:09Z</dcterms:modified>
  <cp:lastModifiedBy>대현 이</cp:lastModifiedBy>
</cp:coreProperties>
</file>